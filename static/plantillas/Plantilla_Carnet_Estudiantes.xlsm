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media/image9.jpg" ContentType="image/png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Sistemas\CTPC_ASISTENCIAS\"/>
    </mc:Choice>
  </mc:AlternateContent>
  <xr:revisionPtr revIDLastSave="0" documentId="13_ncr:1_{C3DDC563-F792-486A-A5CA-D0226D53F23C}" xr6:coauthVersionLast="47" xr6:coauthVersionMax="47" xr10:uidLastSave="{00000000-0000-0000-0000-000000000000}"/>
  <bookViews>
    <workbookView xWindow="-120" yWindow="0" windowWidth="35625" windowHeight="18180" tabRatio="645" firstSheet="1" activeTab="7" xr2:uid="{848B1B89-A402-4E6F-8459-406DF7C2B4E7}"/>
  </bookViews>
  <sheets>
    <sheet name="Import 2025" sheetId="28" state="hidden" r:id="rId1"/>
    <sheet name="Catalogo" sheetId="12" r:id="rId2"/>
    <sheet name="Casilleros" sheetId="26" state="hidden" r:id="rId3"/>
    <sheet name="Import_Comedor" sheetId="32" state="hidden" r:id="rId4"/>
    <sheet name="Hoja2" sheetId="30" state="hidden" r:id="rId5"/>
    <sheet name="Transporte" sheetId="27" state="hidden" r:id="rId6"/>
    <sheet name="Comedor" sheetId="1" state="hidden" r:id="rId7"/>
    <sheet name="FRENTE" sheetId="25" r:id="rId8"/>
    <sheet name="ATRAS" sheetId="22" r:id="rId9"/>
  </sheets>
  <functionGroups builtInGroupCount="19"/>
  <definedNames>
    <definedName name="_xlnm._FilterDatabase" localSheetId="1" hidden="1">Catalogo!$B$3:$N$1730</definedName>
    <definedName name="_xlnm._FilterDatabase" localSheetId="6" hidden="1">Comedor!$B$4:$D$800</definedName>
    <definedName name="_xlnm._FilterDatabase" localSheetId="0" hidden="1">'Import 2025'!$B$3:$M$3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2" l="1"/>
  <c r="L11" i="12"/>
  <c r="K11" i="12"/>
  <c r="M10" i="12"/>
  <c r="L10" i="12"/>
  <c r="K10" i="12"/>
  <c r="M9" i="12"/>
  <c r="L9" i="12"/>
  <c r="K9" i="12"/>
  <c r="M8" i="12"/>
  <c r="L8" i="12"/>
  <c r="K8" i="12"/>
  <c r="M7" i="12"/>
  <c r="L7" i="12"/>
  <c r="K7" i="12"/>
  <c r="M6" i="12"/>
  <c r="L6" i="12"/>
  <c r="K6" i="12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C164" i="1"/>
  <c r="D164" i="1"/>
  <c r="C165" i="1"/>
  <c r="D165" i="1"/>
  <c r="C166" i="1"/>
  <c r="D166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C232" i="1"/>
  <c r="D232" i="1"/>
  <c r="C233" i="1"/>
  <c r="D233" i="1"/>
  <c r="C234" i="1"/>
  <c r="D234" i="1"/>
  <c r="C235" i="1"/>
  <c r="D235" i="1"/>
  <c r="C236" i="1"/>
  <c r="D236" i="1"/>
  <c r="C237" i="1"/>
  <c r="D237" i="1"/>
  <c r="C238" i="1"/>
  <c r="D238" i="1"/>
  <c r="C239" i="1"/>
  <c r="D239" i="1"/>
  <c r="C240" i="1"/>
  <c r="D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K4" i="12"/>
  <c r="L4" i="12"/>
  <c r="M4" i="12"/>
  <c r="K5" i="12"/>
  <c r="L5" i="12"/>
  <c r="M5" i="12"/>
  <c r="F10" i="32"/>
  <c r="H10" i="32" s="1"/>
  <c r="J10" i="32" s="1"/>
  <c r="F11" i="32"/>
  <c r="H11" i="32" s="1"/>
  <c r="J11" i="32" s="1"/>
  <c r="F12" i="32"/>
  <c r="H12" i="32" s="1"/>
  <c r="J12" i="32" s="1"/>
  <c r="F13" i="32"/>
  <c r="H13" i="32" s="1"/>
  <c r="J13" i="32" s="1"/>
  <c r="F14" i="32"/>
  <c r="H14" i="32" s="1"/>
  <c r="J14" i="32" s="1"/>
  <c r="F15" i="32"/>
  <c r="H15" i="32" s="1"/>
  <c r="J15" i="32" s="1"/>
  <c r="F16" i="32"/>
  <c r="H16" i="32" s="1"/>
  <c r="J16" i="32" s="1"/>
  <c r="F17" i="32"/>
  <c r="H17" i="32" s="1"/>
  <c r="J17" i="32" s="1"/>
  <c r="F18" i="32"/>
  <c r="H18" i="32" s="1"/>
  <c r="J18" i="32" s="1"/>
  <c r="F19" i="32"/>
  <c r="H19" i="32" s="1"/>
  <c r="J19" i="32" s="1"/>
  <c r="F20" i="32"/>
  <c r="H20" i="32" s="1"/>
  <c r="J20" i="32" s="1"/>
  <c r="F21" i="32"/>
  <c r="H21" i="32" s="1"/>
  <c r="J21" i="32" s="1"/>
  <c r="F22" i="32"/>
  <c r="H22" i="32" s="1"/>
  <c r="J22" i="32" s="1"/>
  <c r="F23" i="32"/>
  <c r="H23" i="32" s="1"/>
  <c r="J23" i="32" s="1"/>
  <c r="F24" i="32"/>
  <c r="H24" i="32" s="1"/>
  <c r="J24" i="32" s="1"/>
  <c r="F25" i="32"/>
  <c r="H25" i="32" s="1"/>
  <c r="J25" i="32" s="1"/>
  <c r="F26" i="32"/>
  <c r="H26" i="32" s="1"/>
  <c r="J26" i="32" s="1"/>
  <c r="F27" i="32"/>
  <c r="H27" i="32" s="1"/>
  <c r="J27" i="32" s="1"/>
  <c r="F28" i="32"/>
  <c r="H28" i="32" s="1"/>
  <c r="J28" i="32" s="1"/>
  <c r="F29" i="32"/>
  <c r="H29" i="32" s="1"/>
  <c r="J29" i="32" s="1"/>
  <c r="F30" i="32"/>
  <c r="H30" i="32" s="1"/>
  <c r="J30" i="32" s="1"/>
  <c r="F31" i="32"/>
  <c r="H31" i="32" s="1"/>
  <c r="J31" i="32" s="1"/>
  <c r="F32" i="32"/>
  <c r="H32" i="32" s="1"/>
  <c r="J32" i="32" s="1"/>
  <c r="F33" i="32"/>
  <c r="H33" i="32" s="1"/>
  <c r="J33" i="32" s="1"/>
  <c r="F34" i="32"/>
  <c r="H34" i="32" s="1"/>
  <c r="J34" i="32" s="1"/>
  <c r="F35" i="32"/>
  <c r="H35" i="32" s="1"/>
  <c r="J35" i="32" s="1"/>
  <c r="F36" i="32"/>
  <c r="H36" i="32" s="1"/>
  <c r="J36" i="32" s="1"/>
  <c r="F37" i="32"/>
  <c r="H37" i="32" s="1"/>
  <c r="J37" i="32" s="1"/>
  <c r="F38" i="32"/>
  <c r="H38" i="32" s="1"/>
  <c r="J38" i="32" s="1"/>
  <c r="F39" i="32"/>
  <c r="H39" i="32" s="1"/>
  <c r="J39" i="32" s="1"/>
  <c r="F40" i="32"/>
  <c r="H40" i="32" s="1"/>
  <c r="J40" i="32" s="1"/>
  <c r="F41" i="32"/>
  <c r="H41" i="32" s="1"/>
  <c r="J41" i="32" s="1"/>
  <c r="F42" i="32"/>
  <c r="H42" i="32" s="1"/>
  <c r="J42" i="32" s="1"/>
  <c r="F43" i="32"/>
  <c r="H43" i="32" s="1"/>
  <c r="J43" i="32" s="1"/>
  <c r="F44" i="32"/>
  <c r="H44" i="32" s="1"/>
  <c r="J44" i="32" s="1"/>
  <c r="F45" i="32"/>
  <c r="H45" i="32" s="1"/>
  <c r="J45" i="32" s="1"/>
  <c r="F46" i="32"/>
  <c r="H46" i="32" s="1"/>
  <c r="J46" i="32" s="1"/>
  <c r="F47" i="32"/>
  <c r="H47" i="32" s="1"/>
  <c r="J47" i="32" s="1"/>
  <c r="F48" i="32"/>
  <c r="H48" i="32" s="1"/>
  <c r="J48" i="32" s="1"/>
  <c r="F49" i="32"/>
  <c r="H49" i="32" s="1"/>
  <c r="J49" i="32" s="1"/>
  <c r="F50" i="32"/>
  <c r="H50" i="32" s="1"/>
  <c r="J50" i="32" s="1"/>
  <c r="F51" i="32"/>
  <c r="H51" i="32" s="1"/>
  <c r="J51" i="32" s="1"/>
  <c r="F52" i="32"/>
  <c r="H52" i="32" s="1"/>
  <c r="J52" i="32" s="1"/>
  <c r="F53" i="32"/>
  <c r="H53" i="32" s="1"/>
  <c r="J53" i="32" s="1"/>
  <c r="F54" i="32"/>
  <c r="H54" i="32" s="1"/>
  <c r="J54" i="32" s="1"/>
  <c r="F55" i="32"/>
  <c r="H55" i="32" s="1"/>
  <c r="J55" i="32" s="1"/>
  <c r="F56" i="32"/>
  <c r="H56" i="32" s="1"/>
  <c r="J56" i="32" s="1"/>
  <c r="F57" i="32"/>
  <c r="H57" i="32" s="1"/>
  <c r="J57" i="32" s="1"/>
  <c r="F58" i="32"/>
  <c r="H58" i="32" s="1"/>
  <c r="J58" i="32" s="1"/>
  <c r="F59" i="32"/>
  <c r="H59" i="32" s="1"/>
  <c r="J59" i="32" s="1"/>
  <c r="F60" i="32"/>
  <c r="H60" i="32" s="1"/>
  <c r="J60" i="32" s="1"/>
  <c r="F61" i="32"/>
  <c r="H61" i="32" s="1"/>
  <c r="J61" i="32" s="1"/>
  <c r="F62" i="32"/>
  <c r="H62" i="32" s="1"/>
  <c r="J62" i="32" s="1"/>
  <c r="F63" i="32"/>
  <c r="H63" i="32" s="1"/>
  <c r="J63" i="32" s="1"/>
  <c r="F64" i="32"/>
  <c r="H64" i="32" s="1"/>
  <c r="J64" i="32" s="1"/>
  <c r="F65" i="32"/>
  <c r="H65" i="32" s="1"/>
  <c r="J65" i="32" s="1"/>
  <c r="F66" i="32"/>
  <c r="H66" i="32" s="1"/>
  <c r="J66" i="32" s="1"/>
  <c r="F67" i="32"/>
  <c r="H67" i="32" s="1"/>
  <c r="J67" i="32" s="1"/>
  <c r="F68" i="32"/>
  <c r="H68" i="32" s="1"/>
  <c r="J68" i="32" s="1"/>
  <c r="F69" i="32"/>
  <c r="H69" i="32" s="1"/>
  <c r="J69" i="32" s="1"/>
  <c r="F70" i="32"/>
  <c r="H70" i="32" s="1"/>
  <c r="J70" i="32" s="1"/>
  <c r="F71" i="32"/>
  <c r="H71" i="32" s="1"/>
  <c r="J71" i="32" s="1"/>
  <c r="F72" i="32"/>
  <c r="H72" i="32" s="1"/>
  <c r="J72" i="32" s="1"/>
  <c r="F73" i="32"/>
  <c r="H73" i="32" s="1"/>
  <c r="J73" i="32" s="1"/>
  <c r="F74" i="32"/>
  <c r="H74" i="32" s="1"/>
  <c r="J74" i="32" s="1"/>
  <c r="F75" i="32"/>
  <c r="H75" i="32" s="1"/>
  <c r="J75" i="32" s="1"/>
  <c r="F76" i="32"/>
  <c r="H76" i="32" s="1"/>
  <c r="J76" i="32" s="1"/>
  <c r="F77" i="32"/>
  <c r="H77" i="32" s="1"/>
  <c r="J77" i="32" s="1"/>
  <c r="F78" i="32"/>
  <c r="H78" i="32" s="1"/>
  <c r="J78" i="32" s="1"/>
  <c r="F79" i="32"/>
  <c r="H79" i="32" s="1"/>
  <c r="J79" i="32" s="1"/>
  <c r="F80" i="32"/>
  <c r="H80" i="32" s="1"/>
  <c r="J80" i="32" s="1"/>
  <c r="F81" i="32"/>
  <c r="H81" i="32" s="1"/>
  <c r="J81" i="32" s="1"/>
  <c r="F82" i="32"/>
  <c r="H82" i="32" s="1"/>
  <c r="J82" i="32" s="1"/>
  <c r="F83" i="32"/>
  <c r="H83" i="32" s="1"/>
  <c r="J83" i="32" s="1"/>
  <c r="F84" i="32"/>
  <c r="H84" i="32" s="1"/>
  <c r="J84" i="32" s="1"/>
  <c r="F85" i="32"/>
  <c r="H85" i="32" s="1"/>
  <c r="J85" i="32" s="1"/>
  <c r="F86" i="32"/>
  <c r="H86" i="32" s="1"/>
  <c r="J86" i="32" s="1"/>
  <c r="F87" i="32"/>
  <c r="H87" i="32" s="1"/>
  <c r="J87" i="32" s="1"/>
  <c r="F88" i="32"/>
  <c r="H88" i="32" s="1"/>
  <c r="J88" i="32" s="1"/>
  <c r="F89" i="32"/>
  <c r="H89" i="32" s="1"/>
  <c r="J89" i="32" s="1"/>
  <c r="F90" i="32"/>
  <c r="H90" i="32" s="1"/>
  <c r="J90" i="32" s="1"/>
  <c r="F91" i="32"/>
  <c r="H91" i="32" s="1"/>
  <c r="J91" i="32" s="1"/>
  <c r="F92" i="32"/>
  <c r="H92" i="32" s="1"/>
  <c r="J92" i="32" s="1"/>
  <c r="F93" i="32"/>
  <c r="H93" i="32" s="1"/>
  <c r="J93" i="32" s="1"/>
  <c r="F94" i="32"/>
  <c r="H94" i="32" s="1"/>
  <c r="J94" i="32" s="1"/>
  <c r="F95" i="32"/>
  <c r="H95" i="32" s="1"/>
  <c r="J95" i="32" s="1"/>
  <c r="F96" i="32"/>
  <c r="H96" i="32" s="1"/>
  <c r="J96" i="32" s="1"/>
  <c r="F97" i="32"/>
  <c r="H97" i="32" s="1"/>
  <c r="J97" i="32" s="1"/>
  <c r="F98" i="32"/>
  <c r="H98" i="32" s="1"/>
  <c r="J98" i="32" s="1"/>
  <c r="F99" i="32"/>
  <c r="H99" i="32" s="1"/>
  <c r="J99" i="32" s="1"/>
  <c r="F100" i="32"/>
  <c r="H100" i="32" s="1"/>
  <c r="J100" i="32" s="1"/>
  <c r="F101" i="32"/>
  <c r="H101" i="32" s="1"/>
  <c r="J101" i="32" s="1"/>
  <c r="F102" i="32"/>
  <c r="H102" i="32" s="1"/>
  <c r="J102" i="32" s="1"/>
  <c r="F103" i="32"/>
  <c r="H103" i="32" s="1"/>
  <c r="J103" i="32" s="1"/>
  <c r="F104" i="32"/>
  <c r="H104" i="32" s="1"/>
  <c r="J104" i="32" s="1"/>
  <c r="F105" i="32"/>
  <c r="H105" i="32" s="1"/>
  <c r="J105" i="32" s="1"/>
  <c r="F106" i="32"/>
  <c r="H106" i="32" s="1"/>
  <c r="J106" i="32" s="1"/>
  <c r="F107" i="32"/>
  <c r="H107" i="32" s="1"/>
  <c r="J107" i="32" s="1"/>
  <c r="F108" i="32"/>
  <c r="H108" i="32" s="1"/>
  <c r="J108" i="32" s="1"/>
  <c r="F109" i="32"/>
  <c r="H109" i="32" s="1"/>
  <c r="J109" i="32" s="1"/>
  <c r="F110" i="32"/>
  <c r="H110" i="32" s="1"/>
  <c r="J110" i="32" s="1"/>
  <c r="F111" i="32"/>
  <c r="H111" i="32" s="1"/>
  <c r="J111" i="32" s="1"/>
  <c r="F112" i="32"/>
  <c r="H112" i="32" s="1"/>
  <c r="J112" i="32" s="1"/>
  <c r="F113" i="32"/>
  <c r="H113" i="32" s="1"/>
  <c r="J113" i="32" s="1"/>
  <c r="F114" i="32"/>
  <c r="H114" i="32" s="1"/>
  <c r="J114" i="32" s="1"/>
  <c r="F115" i="32"/>
  <c r="H115" i="32" s="1"/>
  <c r="J115" i="32" s="1"/>
  <c r="F116" i="32"/>
  <c r="H116" i="32" s="1"/>
  <c r="J116" i="32" s="1"/>
  <c r="F117" i="32"/>
  <c r="H117" i="32" s="1"/>
  <c r="J117" i="32" s="1"/>
  <c r="F118" i="32"/>
  <c r="H118" i="32" s="1"/>
  <c r="J118" i="32" s="1"/>
  <c r="F119" i="32"/>
  <c r="H119" i="32" s="1"/>
  <c r="J119" i="32" s="1"/>
  <c r="F120" i="32"/>
  <c r="H120" i="32" s="1"/>
  <c r="J120" i="32" s="1"/>
  <c r="F121" i="32"/>
  <c r="H121" i="32" s="1"/>
  <c r="J121" i="32" s="1"/>
  <c r="F122" i="32"/>
  <c r="H122" i="32" s="1"/>
  <c r="J122" i="32" s="1"/>
  <c r="F123" i="32"/>
  <c r="H123" i="32" s="1"/>
  <c r="J123" i="32" s="1"/>
  <c r="F124" i="32"/>
  <c r="H124" i="32" s="1"/>
  <c r="J124" i="32" s="1"/>
  <c r="F125" i="32"/>
  <c r="H125" i="32" s="1"/>
  <c r="J125" i="32" s="1"/>
  <c r="F126" i="32"/>
  <c r="H126" i="32" s="1"/>
  <c r="J126" i="32" s="1"/>
  <c r="F127" i="32"/>
  <c r="H127" i="32" s="1"/>
  <c r="J127" i="32" s="1"/>
  <c r="F128" i="32"/>
  <c r="H128" i="32" s="1"/>
  <c r="J128" i="32" s="1"/>
  <c r="F129" i="32"/>
  <c r="H129" i="32" s="1"/>
  <c r="J129" i="32" s="1"/>
  <c r="F130" i="32"/>
  <c r="H130" i="32" s="1"/>
  <c r="J130" i="32" s="1"/>
  <c r="F131" i="32"/>
  <c r="H131" i="32" s="1"/>
  <c r="J131" i="32" s="1"/>
  <c r="F132" i="32"/>
  <c r="H132" i="32" s="1"/>
  <c r="J132" i="32" s="1"/>
  <c r="F133" i="32"/>
  <c r="H133" i="32" s="1"/>
  <c r="J133" i="32" s="1"/>
  <c r="F134" i="32"/>
  <c r="H134" i="32" s="1"/>
  <c r="J134" i="32" s="1"/>
  <c r="F135" i="32"/>
  <c r="H135" i="32" s="1"/>
  <c r="J135" i="32" s="1"/>
  <c r="F136" i="32"/>
  <c r="H136" i="32" s="1"/>
  <c r="J136" i="32" s="1"/>
  <c r="F137" i="32"/>
  <c r="H137" i="32" s="1"/>
  <c r="J137" i="32" s="1"/>
  <c r="F138" i="32"/>
  <c r="H138" i="32" s="1"/>
  <c r="J138" i="32" s="1"/>
  <c r="F139" i="32"/>
  <c r="H139" i="32" s="1"/>
  <c r="J139" i="32" s="1"/>
  <c r="F140" i="32"/>
  <c r="H140" i="32" s="1"/>
  <c r="J140" i="32" s="1"/>
  <c r="F141" i="32"/>
  <c r="H141" i="32" s="1"/>
  <c r="J141" i="32" s="1"/>
  <c r="F142" i="32"/>
  <c r="H142" i="32" s="1"/>
  <c r="J142" i="32" s="1"/>
  <c r="F143" i="32"/>
  <c r="H143" i="32" s="1"/>
  <c r="J143" i="32" s="1"/>
  <c r="F144" i="32"/>
  <c r="H144" i="32" s="1"/>
  <c r="J144" i="32" s="1"/>
  <c r="F145" i="32"/>
  <c r="H145" i="32" s="1"/>
  <c r="J145" i="32" s="1"/>
  <c r="F146" i="32"/>
  <c r="H146" i="32" s="1"/>
  <c r="J146" i="32" s="1"/>
  <c r="F147" i="32"/>
  <c r="H147" i="32" s="1"/>
  <c r="J147" i="32" s="1"/>
  <c r="F148" i="32"/>
  <c r="H148" i="32" s="1"/>
  <c r="J148" i="32" s="1"/>
  <c r="F149" i="32"/>
  <c r="H149" i="32" s="1"/>
  <c r="J149" i="32" s="1"/>
  <c r="F150" i="32"/>
  <c r="H150" i="32" s="1"/>
  <c r="J150" i="32" s="1"/>
  <c r="F151" i="32"/>
  <c r="H151" i="32" s="1"/>
  <c r="J151" i="32" s="1"/>
  <c r="F152" i="32"/>
  <c r="H152" i="32" s="1"/>
  <c r="J152" i="32" s="1"/>
  <c r="F153" i="32"/>
  <c r="H153" i="32" s="1"/>
  <c r="J153" i="32" s="1"/>
  <c r="F154" i="32"/>
  <c r="H154" i="32" s="1"/>
  <c r="J154" i="32" s="1"/>
  <c r="F155" i="32"/>
  <c r="H155" i="32" s="1"/>
  <c r="J155" i="32" s="1"/>
  <c r="F156" i="32"/>
  <c r="H156" i="32" s="1"/>
  <c r="J156" i="32" s="1"/>
  <c r="F157" i="32"/>
  <c r="H157" i="32" s="1"/>
  <c r="J157" i="32" s="1"/>
  <c r="F158" i="32"/>
  <c r="H158" i="32" s="1"/>
  <c r="J158" i="32" s="1"/>
  <c r="F159" i="32"/>
  <c r="H159" i="32" s="1"/>
  <c r="J159" i="32" s="1"/>
  <c r="F160" i="32"/>
  <c r="H160" i="32" s="1"/>
  <c r="J160" i="32" s="1"/>
  <c r="F161" i="32"/>
  <c r="H161" i="32" s="1"/>
  <c r="J161" i="32" s="1"/>
  <c r="F162" i="32"/>
  <c r="H162" i="32" s="1"/>
  <c r="J162" i="32" s="1"/>
  <c r="F163" i="32"/>
  <c r="H163" i="32" s="1"/>
  <c r="J163" i="32" s="1"/>
  <c r="F164" i="32"/>
  <c r="H164" i="32" s="1"/>
  <c r="J164" i="32" s="1"/>
  <c r="F165" i="32"/>
  <c r="H165" i="32" s="1"/>
  <c r="J165" i="32" s="1"/>
  <c r="F166" i="32"/>
  <c r="H166" i="32" s="1"/>
  <c r="J166" i="32" s="1"/>
  <c r="F167" i="32"/>
  <c r="H167" i="32" s="1"/>
  <c r="J167" i="32" s="1"/>
  <c r="F168" i="32"/>
  <c r="H168" i="32" s="1"/>
  <c r="J168" i="32" s="1"/>
  <c r="F169" i="32"/>
  <c r="H169" i="32" s="1"/>
  <c r="J169" i="32" s="1"/>
  <c r="F170" i="32"/>
  <c r="H170" i="32" s="1"/>
  <c r="J170" i="32" s="1"/>
  <c r="F171" i="32"/>
  <c r="H171" i="32" s="1"/>
  <c r="J171" i="32" s="1"/>
  <c r="F172" i="32"/>
  <c r="H172" i="32" s="1"/>
  <c r="J172" i="32" s="1"/>
  <c r="F173" i="32"/>
  <c r="H173" i="32" s="1"/>
  <c r="J173" i="32" s="1"/>
  <c r="F174" i="32"/>
  <c r="H174" i="32" s="1"/>
  <c r="J174" i="32" s="1"/>
  <c r="F175" i="32"/>
  <c r="H175" i="32" s="1"/>
  <c r="J175" i="32" s="1"/>
  <c r="F176" i="32"/>
  <c r="H176" i="32" s="1"/>
  <c r="J176" i="32" s="1"/>
  <c r="F177" i="32"/>
  <c r="H177" i="32" s="1"/>
  <c r="J177" i="32" s="1"/>
  <c r="F178" i="32"/>
  <c r="H178" i="32" s="1"/>
  <c r="J178" i="32" s="1"/>
  <c r="F179" i="32"/>
  <c r="H179" i="32" s="1"/>
  <c r="J179" i="32" s="1"/>
  <c r="F180" i="32"/>
  <c r="H180" i="32" s="1"/>
  <c r="J180" i="32" s="1"/>
  <c r="F181" i="32"/>
  <c r="H181" i="32" s="1"/>
  <c r="J181" i="32" s="1"/>
  <c r="F182" i="32"/>
  <c r="H182" i="32" s="1"/>
  <c r="J182" i="32" s="1"/>
  <c r="F183" i="32"/>
  <c r="H183" i="32" s="1"/>
  <c r="J183" i="32" s="1"/>
  <c r="F184" i="32"/>
  <c r="H184" i="32" s="1"/>
  <c r="J184" i="32" s="1"/>
  <c r="F185" i="32"/>
  <c r="H185" i="32" s="1"/>
  <c r="J185" i="32" s="1"/>
  <c r="F186" i="32"/>
  <c r="H186" i="32" s="1"/>
  <c r="J186" i="32" s="1"/>
  <c r="F187" i="32"/>
  <c r="H187" i="32" s="1"/>
  <c r="J187" i="32" s="1"/>
  <c r="F188" i="32"/>
  <c r="H188" i="32" s="1"/>
  <c r="J188" i="32" s="1"/>
  <c r="F189" i="32"/>
  <c r="H189" i="32" s="1"/>
  <c r="J189" i="32" s="1"/>
  <c r="F190" i="32"/>
  <c r="H190" i="32" s="1"/>
  <c r="J190" i="32" s="1"/>
  <c r="F191" i="32"/>
  <c r="H191" i="32" s="1"/>
  <c r="J191" i="32" s="1"/>
  <c r="F192" i="32"/>
  <c r="H192" i="32" s="1"/>
  <c r="J192" i="32" s="1"/>
  <c r="F193" i="32"/>
  <c r="H193" i="32" s="1"/>
  <c r="J193" i="32" s="1"/>
  <c r="F194" i="32"/>
  <c r="H194" i="32" s="1"/>
  <c r="J194" i="32" s="1"/>
  <c r="F195" i="32"/>
  <c r="H195" i="32" s="1"/>
  <c r="J195" i="32" s="1"/>
  <c r="F196" i="32"/>
  <c r="H196" i="32" s="1"/>
  <c r="J196" i="32" s="1"/>
  <c r="F197" i="32"/>
  <c r="H197" i="32" s="1"/>
  <c r="J197" i="32" s="1"/>
  <c r="F198" i="32"/>
  <c r="H198" i="32" s="1"/>
  <c r="J198" i="32" s="1"/>
  <c r="F199" i="32"/>
  <c r="H199" i="32" s="1"/>
  <c r="J199" i="32" s="1"/>
  <c r="F200" i="32"/>
  <c r="H200" i="32" s="1"/>
  <c r="J200" i="32" s="1"/>
  <c r="F201" i="32"/>
  <c r="H201" i="32" s="1"/>
  <c r="J201" i="32" s="1"/>
  <c r="F202" i="32"/>
  <c r="H202" i="32" s="1"/>
  <c r="J202" i="32" s="1"/>
  <c r="F203" i="32"/>
  <c r="H203" i="32" s="1"/>
  <c r="J203" i="32" s="1"/>
  <c r="F204" i="32"/>
  <c r="H204" i="32" s="1"/>
  <c r="J204" i="32" s="1"/>
  <c r="F205" i="32"/>
  <c r="H205" i="32" s="1"/>
  <c r="J205" i="32" s="1"/>
  <c r="F206" i="32"/>
  <c r="H206" i="32" s="1"/>
  <c r="J206" i="32" s="1"/>
  <c r="F207" i="32"/>
  <c r="H207" i="32" s="1"/>
  <c r="J207" i="32" s="1"/>
  <c r="F208" i="32"/>
  <c r="H208" i="32" s="1"/>
  <c r="J208" i="32" s="1"/>
  <c r="F209" i="32"/>
  <c r="H209" i="32" s="1"/>
  <c r="J209" i="32" s="1"/>
  <c r="F210" i="32"/>
  <c r="H210" i="32" s="1"/>
  <c r="J210" i="32" s="1"/>
  <c r="F211" i="32"/>
  <c r="H211" i="32" s="1"/>
  <c r="J211" i="32" s="1"/>
  <c r="F212" i="32"/>
  <c r="H212" i="32" s="1"/>
  <c r="J212" i="32" s="1"/>
  <c r="F213" i="32"/>
  <c r="H213" i="32" s="1"/>
  <c r="J213" i="32" s="1"/>
  <c r="F214" i="32"/>
  <c r="H214" i="32" s="1"/>
  <c r="J214" i="32" s="1"/>
  <c r="F215" i="32"/>
  <c r="H215" i="32" s="1"/>
  <c r="J215" i="32" s="1"/>
  <c r="F216" i="32"/>
  <c r="H216" i="32" s="1"/>
  <c r="J216" i="32" s="1"/>
  <c r="F217" i="32"/>
  <c r="H217" i="32" s="1"/>
  <c r="J217" i="32" s="1"/>
  <c r="F218" i="32"/>
  <c r="H218" i="32" s="1"/>
  <c r="J218" i="32" s="1"/>
  <c r="F219" i="32"/>
  <c r="H219" i="32" s="1"/>
  <c r="J219" i="32" s="1"/>
  <c r="F220" i="32"/>
  <c r="H220" i="32" s="1"/>
  <c r="J220" i="32" s="1"/>
  <c r="F221" i="32"/>
  <c r="H221" i="32" s="1"/>
  <c r="J221" i="32" s="1"/>
  <c r="F222" i="32"/>
  <c r="H222" i="32" s="1"/>
  <c r="J222" i="32" s="1"/>
  <c r="F223" i="32"/>
  <c r="H223" i="32" s="1"/>
  <c r="J223" i="32" s="1"/>
  <c r="F224" i="32"/>
  <c r="H224" i="32" s="1"/>
  <c r="J224" i="32" s="1"/>
  <c r="F225" i="32"/>
  <c r="H225" i="32" s="1"/>
  <c r="J225" i="32" s="1"/>
  <c r="F226" i="32"/>
  <c r="H226" i="32" s="1"/>
  <c r="J226" i="32" s="1"/>
  <c r="F227" i="32"/>
  <c r="H227" i="32" s="1"/>
  <c r="J227" i="32" s="1"/>
  <c r="F228" i="32"/>
  <c r="H228" i="32" s="1"/>
  <c r="J228" i="32" s="1"/>
  <c r="F229" i="32"/>
  <c r="H229" i="32" s="1"/>
  <c r="J229" i="32" s="1"/>
  <c r="F230" i="32"/>
  <c r="H230" i="32" s="1"/>
  <c r="J230" i="32" s="1"/>
  <c r="F231" i="32"/>
  <c r="H231" i="32" s="1"/>
  <c r="J231" i="32" s="1"/>
  <c r="F232" i="32"/>
  <c r="H232" i="32" s="1"/>
  <c r="J232" i="32" s="1"/>
  <c r="F233" i="32"/>
  <c r="H233" i="32" s="1"/>
  <c r="J233" i="32" s="1"/>
  <c r="F234" i="32"/>
  <c r="H234" i="32" s="1"/>
  <c r="J234" i="32" s="1"/>
  <c r="F235" i="32"/>
  <c r="H235" i="32" s="1"/>
  <c r="J235" i="32" s="1"/>
  <c r="F236" i="32"/>
  <c r="H236" i="32" s="1"/>
  <c r="J236" i="32" s="1"/>
  <c r="F237" i="32"/>
  <c r="H237" i="32" s="1"/>
  <c r="J237" i="32" s="1"/>
  <c r="F238" i="32"/>
  <c r="H238" i="32" s="1"/>
  <c r="J238" i="32" s="1"/>
  <c r="F239" i="32"/>
  <c r="H239" i="32" s="1"/>
  <c r="J239" i="32" s="1"/>
  <c r="F240" i="32"/>
  <c r="H240" i="32" s="1"/>
  <c r="J240" i="32" s="1"/>
  <c r="F241" i="32"/>
  <c r="H241" i="32" s="1"/>
  <c r="J241" i="32" s="1"/>
  <c r="F242" i="32"/>
  <c r="H242" i="32" s="1"/>
  <c r="J242" i="32" s="1"/>
  <c r="F243" i="32"/>
  <c r="H243" i="32" s="1"/>
  <c r="J243" i="32" s="1"/>
  <c r="F244" i="32"/>
  <c r="H244" i="32" s="1"/>
  <c r="J244" i="32" s="1"/>
  <c r="F245" i="32"/>
  <c r="H245" i="32" s="1"/>
  <c r="J245" i="32" s="1"/>
  <c r="F246" i="32"/>
  <c r="H246" i="32" s="1"/>
  <c r="J246" i="32" s="1"/>
  <c r="F247" i="32"/>
  <c r="H247" i="32" s="1"/>
  <c r="J247" i="32" s="1"/>
  <c r="F248" i="32"/>
  <c r="H248" i="32" s="1"/>
  <c r="J248" i="32" s="1"/>
  <c r="F249" i="32"/>
  <c r="H249" i="32" s="1"/>
  <c r="J249" i="32" s="1"/>
  <c r="F250" i="32"/>
  <c r="H250" i="32" s="1"/>
  <c r="J250" i="32" s="1"/>
  <c r="F251" i="32"/>
  <c r="H251" i="32" s="1"/>
  <c r="J251" i="32" s="1"/>
  <c r="F252" i="32"/>
  <c r="H252" i="32" s="1"/>
  <c r="J252" i="32" s="1"/>
  <c r="F253" i="32"/>
  <c r="H253" i="32" s="1"/>
  <c r="J253" i="32" s="1"/>
  <c r="F254" i="32"/>
  <c r="H254" i="32" s="1"/>
  <c r="J254" i="32" s="1"/>
  <c r="F255" i="32"/>
  <c r="H255" i="32" s="1"/>
  <c r="J255" i="32" s="1"/>
  <c r="F256" i="32"/>
  <c r="H256" i="32" s="1"/>
  <c r="J256" i="32" s="1"/>
  <c r="F257" i="32"/>
  <c r="H257" i="32" s="1"/>
  <c r="J257" i="32" s="1"/>
  <c r="F258" i="32"/>
  <c r="H258" i="32" s="1"/>
  <c r="J258" i="32" s="1"/>
  <c r="F259" i="32"/>
  <c r="H259" i="32" s="1"/>
  <c r="J259" i="32" s="1"/>
  <c r="F260" i="32"/>
  <c r="H260" i="32" s="1"/>
  <c r="J260" i="32" s="1"/>
  <c r="F261" i="32"/>
  <c r="H261" i="32" s="1"/>
  <c r="J261" i="32" s="1"/>
  <c r="F262" i="32"/>
  <c r="H262" i="32" s="1"/>
  <c r="J262" i="32" s="1"/>
  <c r="F263" i="32"/>
  <c r="H263" i="32" s="1"/>
  <c r="J263" i="32" s="1"/>
  <c r="F264" i="32"/>
  <c r="H264" i="32" s="1"/>
  <c r="J264" i="32" s="1"/>
  <c r="F265" i="32"/>
  <c r="H265" i="32" s="1"/>
  <c r="J265" i="32" s="1"/>
  <c r="F266" i="32"/>
  <c r="H266" i="32" s="1"/>
  <c r="J266" i="32" s="1"/>
  <c r="F267" i="32"/>
  <c r="H267" i="32" s="1"/>
  <c r="J267" i="32" s="1"/>
  <c r="F268" i="32"/>
  <c r="H268" i="32" s="1"/>
  <c r="J268" i="32" s="1"/>
  <c r="F269" i="32"/>
  <c r="H269" i="32" s="1"/>
  <c r="J269" i="32" s="1"/>
  <c r="F270" i="32"/>
  <c r="H270" i="32" s="1"/>
  <c r="J270" i="32" s="1"/>
  <c r="F271" i="32"/>
  <c r="H271" i="32" s="1"/>
  <c r="J271" i="32" s="1"/>
  <c r="F272" i="32"/>
  <c r="H272" i="32" s="1"/>
  <c r="J272" i="32" s="1"/>
  <c r="F273" i="32"/>
  <c r="H273" i="32" s="1"/>
  <c r="J273" i="32" s="1"/>
  <c r="F274" i="32"/>
  <c r="H274" i="32" s="1"/>
  <c r="J274" i="32" s="1"/>
  <c r="F275" i="32"/>
  <c r="H275" i="32" s="1"/>
  <c r="J275" i="32" s="1"/>
  <c r="F276" i="32"/>
  <c r="H276" i="32" s="1"/>
  <c r="J276" i="32" s="1"/>
  <c r="F277" i="32"/>
  <c r="H277" i="32" s="1"/>
  <c r="J277" i="32" s="1"/>
  <c r="F278" i="32"/>
  <c r="H278" i="32" s="1"/>
  <c r="J278" i="32" s="1"/>
  <c r="F279" i="32"/>
  <c r="H279" i="32" s="1"/>
  <c r="J279" i="32" s="1"/>
  <c r="F280" i="32"/>
  <c r="H280" i="32" s="1"/>
  <c r="J280" i="32" s="1"/>
  <c r="F281" i="32"/>
  <c r="H281" i="32" s="1"/>
  <c r="J281" i="32" s="1"/>
  <c r="F282" i="32"/>
  <c r="H282" i="32" s="1"/>
  <c r="J282" i="32" s="1"/>
  <c r="F283" i="32"/>
  <c r="H283" i="32" s="1"/>
  <c r="J283" i="32" s="1"/>
  <c r="F284" i="32"/>
  <c r="H284" i="32" s="1"/>
  <c r="J284" i="32" s="1"/>
  <c r="F285" i="32"/>
  <c r="H285" i="32" s="1"/>
  <c r="J285" i="32" s="1"/>
  <c r="F286" i="32"/>
  <c r="H286" i="32" s="1"/>
  <c r="J286" i="32" s="1"/>
  <c r="F287" i="32"/>
  <c r="H287" i="32" s="1"/>
  <c r="J287" i="32" s="1"/>
  <c r="F288" i="32"/>
  <c r="H288" i="32" s="1"/>
  <c r="J288" i="32" s="1"/>
  <c r="F289" i="32"/>
  <c r="H289" i="32" s="1"/>
  <c r="J289" i="32" s="1"/>
  <c r="F290" i="32"/>
  <c r="H290" i="32" s="1"/>
  <c r="J290" i="32" s="1"/>
  <c r="F291" i="32"/>
  <c r="H291" i="32" s="1"/>
  <c r="J291" i="32" s="1"/>
  <c r="F292" i="32"/>
  <c r="H292" i="32" s="1"/>
  <c r="J292" i="32" s="1"/>
  <c r="F293" i="32"/>
  <c r="H293" i="32" s="1"/>
  <c r="J293" i="32" s="1"/>
  <c r="F294" i="32"/>
  <c r="H294" i="32" s="1"/>
  <c r="J294" i="32" s="1"/>
  <c r="F295" i="32"/>
  <c r="H295" i="32" s="1"/>
  <c r="J295" i="32" s="1"/>
  <c r="F296" i="32"/>
  <c r="H296" i="32" s="1"/>
  <c r="J296" i="32" s="1"/>
  <c r="F297" i="32"/>
  <c r="H297" i="32" s="1"/>
  <c r="J297" i="32" s="1"/>
  <c r="F298" i="32"/>
  <c r="H298" i="32" s="1"/>
  <c r="J298" i="32" s="1"/>
  <c r="F299" i="32"/>
  <c r="H299" i="32" s="1"/>
  <c r="J299" i="32" s="1"/>
  <c r="F300" i="32"/>
  <c r="H300" i="32" s="1"/>
  <c r="J300" i="32" s="1"/>
  <c r="F301" i="32"/>
  <c r="H301" i="32" s="1"/>
  <c r="J301" i="32" s="1"/>
  <c r="F302" i="32"/>
  <c r="H302" i="32" s="1"/>
  <c r="J302" i="32" s="1"/>
  <c r="F303" i="32"/>
  <c r="H303" i="32" s="1"/>
  <c r="J303" i="32" s="1"/>
  <c r="F304" i="32"/>
  <c r="H304" i="32" s="1"/>
  <c r="J304" i="32" s="1"/>
  <c r="F305" i="32"/>
  <c r="H305" i="32" s="1"/>
  <c r="J305" i="32" s="1"/>
  <c r="F306" i="32"/>
  <c r="H306" i="32" s="1"/>
  <c r="J306" i="32" s="1"/>
  <c r="F307" i="32"/>
  <c r="H307" i="32" s="1"/>
  <c r="J307" i="32" s="1"/>
  <c r="F308" i="32"/>
  <c r="H308" i="32" s="1"/>
  <c r="J308" i="32" s="1"/>
  <c r="F309" i="32"/>
  <c r="H309" i="32" s="1"/>
  <c r="J309" i="32" s="1"/>
  <c r="F310" i="32"/>
  <c r="H310" i="32" s="1"/>
  <c r="J310" i="32" s="1"/>
  <c r="F311" i="32"/>
  <c r="H311" i="32" s="1"/>
  <c r="J311" i="32" s="1"/>
  <c r="F312" i="32"/>
  <c r="H312" i="32" s="1"/>
  <c r="J312" i="32" s="1"/>
  <c r="F313" i="32"/>
  <c r="H313" i="32" s="1"/>
  <c r="J313" i="32" s="1"/>
  <c r="F314" i="32"/>
  <c r="H314" i="32" s="1"/>
  <c r="J314" i="32" s="1"/>
  <c r="F315" i="32"/>
  <c r="H315" i="32" s="1"/>
  <c r="J315" i="32" s="1"/>
  <c r="F316" i="32"/>
  <c r="H316" i="32" s="1"/>
  <c r="J316" i="32" s="1"/>
  <c r="F317" i="32"/>
  <c r="H317" i="32" s="1"/>
  <c r="J317" i="32" s="1"/>
  <c r="F318" i="32"/>
  <c r="H318" i="32" s="1"/>
  <c r="J318" i="32" s="1"/>
  <c r="F319" i="32"/>
  <c r="H319" i="32" s="1"/>
  <c r="J319" i="32" s="1"/>
  <c r="F320" i="32"/>
  <c r="H320" i="32" s="1"/>
  <c r="J320" i="32" s="1"/>
  <c r="F321" i="32"/>
  <c r="H321" i="32" s="1"/>
  <c r="J321" i="32" s="1"/>
  <c r="F322" i="32"/>
  <c r="H322" i="32" s="1"/>
  <c r="J322" i="32" s="1"/>
  <c r="F323" i="32"/>
  <c r="H323" i="32" s="1"/>
  <c r="J323" i="32" s="1"/>
  <c r="F324" i="32"/>
  <c r="H324" i="32" s="1"/>
  <c r="J324" i="32" s="1"/>
  <c r="F325" i="32"/>
  <c r="H325" i="32" s="1"/>
  <c r="J325" i="32" s="1"/>
  <c r="F326" i="32"/>
  <c r="H326" i="32" s="1"/>
  <c r="J326" i="32" s="1"/>
  <c r="F327" i="32"/>
  <c r="H327" i="32" s="1"/>
  <c r="J327" i="32" s="1"/>
  <c r="F328" i="32"/>
  <c r="H328" i="32" s="1"/>
  <c r="J328" i="32" s="1"/>
  <c r="F329" i="32"/>
  <c r="H329" i="32" s="1"/>
  <c r="J329" i="32" s="1"/>
  <c r="F330" i="32"/>
  <c r="H330" i="32" s="1"/>
  <c r="J330" i="32" s="1"/>
  <c r="F331" i="32"/>
  <c r="H331" i="32" s="1"/>
  <c r="J331" i="32" s="1"/>
  <c r="F332" i="32"/>
  <c r="H332" i="32" s="1"/>
  <c r="J332" i="32" s="1"/>
  <c r="F333" i="32"/>
  <c r="H333" i="32" s="1"/>
  <c r="J333" i="32" s="1"/>
  <c r="F334" i="32"/>
  <c r="H334" i="32" s="1"/>
  <c r="J334" i="32" s="1"/>
  <c r="F335" i="32"/>
  <c r="H335" i="32" s="1"/>
  <c r="J335" i="32" s="1"/>
  <c r="F336" i="32"/>
  <c r="H336" i="32" s="1"/>
  <c r="J336" i="32" s="1"/>
  <c r="F337" i="32"/>
  <c r="H337" i="32" s="1"/>
  <c r="J337" i="32" s="1"/>
  <c r="F338" i="32"/>
  <c r="H338" i="32" s="1"/>
  <c r="J338" i="32" s="1"/>
  <c r="F339" i="32"/>
  <c r="H339" i="32" s="1"/>
  <c r="J339" i="32" s="1"/>
  <c r="F340" i="32"/>
  <c r="H340" i="32" s="1"/>
  <c r="J340" i="32" s="1"/>
  <c r="F341" i="32"/>
  <c r="H341" i="32" s="1"/>
  <c r="J341" i="32" s="1"/>
  <c r="F342" i="32"/>
  <c r="H342" i="32" s="1"/>
  <c r="J342" i="32" s="1"/>
  <c r="F343" i="32"/>
  <c r="H343" i="32" s="1"/>
  <c r="J343" i="32" s="1"/>
  <c r="F344" i="32"/>
  <c r="H344" i="32" s="1"/>
  <c r="J344" i="32" s="1"/>
  <c r="F345" i="32"/>
  <c r="H345" i="32" s="1"/>
  <c r="J345" i="32" s="1"/>
  <c r="F346" i="32"/>
  <c r="H346" i="32" s="1"/>
  <c r="J346" i="32" s="1"/>
  <c r="F347" i="32"/>
  <c r="H347" i="32" s="1"/>
  <c r="J347" i="32" s="1"/>
  <c r="F348" i="32"/>
  <c r="H348" i="32" s="1"/>
  <c r="J348" i="32" s="1"/>
  <c r="F349" i="32"/>
  <c r="H349" i="32" s="1"/>
  <c r="J349" i="32" s="1"/>
  <c r="F350" i="32"/>
  <c r="H350" i="32" s="1"/>
  <c r="J350" i="32" s="1"/>
  <c r="F351" i="32"/>
  <c r="H351" i="32" s="1"/>
  <c r="J351" i="32" s="1"/>
  <c r="F352" i="32"/>
  <c r="H352" i="32" s="1"/>
  <c r="J352" i="32" s="1"/>
  <c r="F353" i="32"/>
  <c r="H353" i="32" s="1"/>
  <c r="J353" i="32" s="1"/>
  <c r="F354" i="32"/>
  <c r="H354" i="32" s="1"/>
  <c r="J354" i="32" s="1"/>
  <c r="F355" i="32"/>
  <c r="H355" i="32" s="1"/>
  <c r="J355" i="32" s="1"/>
  <c r="F356" i="32"/>
  <c r="H356" i="32" s="1"/>
  <c r="J356" i="32" s="1"/>
  <c r="F357" i="32"/>
  <c r="H357" i="32" s="1"/>
  <c r="J357" i="32" s="1"/>
  <c r="F358" i="32"/>
  <c r="H358" i="32" s="1"/>
  <c r="J358" i="32" s="1"/>
  <c r="F359" i="32"/>
  <c r="H359" i="32" s="1"/>
  <c r="J359" i="32" s="1"/>
  <c r="F360" i="32"/>
  <c r="H360" i="32" s="1"/>
  <c r="J360" i="32" s="1"/>
  <c r="F361" i="32"/>
  <c r="H361" i="32" s="1"/>
  <c r="J361" i="32" s="1"/>
  <c r="F362" i="32"/>
  <c r="H362" i="32" s="1"/>
  <c r="J362" i="32" s="1"/>
  <c r="F363" i="32"/>
  <c r="H363" i="32" s="1"/>
  <c r="J363" i="32" s="1"/>
  <c r="F364" i="32"/>
  <c r="H364" i="32" s="1"/>
  <c r="J364" i="32" s="1"/>
  <c r="F365" i="32"/>
  <c r="H365" i="32" s="1"/>
  <c r="J365" i="32" s="1"/>
  <c r="F366" i="32"/>
  <c r="H366" i="32" s="1"/>
  <c r="J366" i="32" s="1"/>
  <c r="F367" i="32"/>
  <c r="H367" i="32" s="1"/>
  <c r="J367" i="32" s="1"/>
  <c r="F368" i="32"/>
  <c r="H368" i="32" s="1"/>
  <c r="J368" i="32" s="1"/>
  <c r="F369" i="32"/>
  <c r="H369" i="32" s="1"/>
  <c r="J369" i="32" s="1"/>
  <c r="F370" i="32"/>
  <c r="H370" i="32" s="1"/>
  <c r="J370" i="32" s="1"/>
  <c r="F371" i="32"/>
  <c r="H371" i="32" s="1"/>
  <c r="J371" i="32" s="1"/>
  <c r="F372" i="32"/>
  <c r="H372" i="32" s="1"/>
  <c r="J372" i="32" s="1"/>
  <c r="F373" i="32"/>
  <c r="H373" i="32" s="1"/>
  <c r="J373" i="32" s="1"/>
  <c r="F374" i="32"/>
  <c r="H374" i="32" s="1"/>
  <c r="J374" i="32" s="1"/>
  <c r="F375" i="32"/>
  <c r="H375" i="32" s="1"/>
  <c r="J375" i="32" s="1"/>
  <c r="F376" i="32"/>
  <c r="H376" i="32" s="1"/>
  <c r="J376" i="32" s="1"/>
  <c r="F377" i="32"/>
  <c r="H377" i="32" s="1"/>
  <c r="J377" i="32" s="1"/>
  <c r="F378" i="32"/>
  <c r="H378" i="32" s="1"/>
  <c r="J378" i="32" s="1"/>
  <c r="F379" i="32"/>
  <c r="H379" i="32" s="1"/>
  <c r="J379" i="32" s="1"/>
  <c r="F380" i="32"/>
  <c r="H380" i="32" s="1"/>
  <c r="J380" i="32" s="1"/>
  <c r="F381" i="32"/>
  <c r="H381" i="32" s="1"/>
  <c r="J381" i="32" s="1"/>
  <c r="F382" i="32"/>
  <c r="H382" i="32" s="1"/>
  <c r="J382" i="32" s="1"/>
  <c r="F383" i="32"/>
  <c r="H383" i="32" s="1"/>
  <c r="J383" i="32" s="1"/>
  <c r="F384" i="32"/>
  <c r="H384" i="32" s="1"/>
  <c r="J384" i="32" s="1"/>
  <c r="F385" i="32"/>
  <c r="H385" i="32" s="1"/>
  <c r="J385" i="32" s="1"/>
  <c r="F386" i="32"/>
  <c r="H386" i="32" s="1"/>
  <c r="J386" i="32" s="1"/>
  <c r="F387" i="32"/>
  <c r="H387" i="32" s="1"/>
  <c r="J387" i="32" s="1"/>
  <c r="F388" i="32"/>
  <c r="H388" i="32" s="1"/>
  <c r="J388" i="32" s="1"/>
  <c r="F389" i="32"/>
  <c r="H389" i="32" s="1"/>
  <c r="J389" i="32" s="1"/>
  <c r="F390" i="32"/>
  <c r="H390" i="32" s="1"/>
  <c r="J390" i="32" s="1"/>
  <c r="F391" i="32"/>
  <c r="H391" i="32" s="1"/>
  <c r="J391" i="32" s="1"/>
  <c r="F392" i="32"/>
  <c r="H392" i="32" s="1"/>
  <c r="J392" i="32" s="1"/>
  <c r="F393" i="32"/>
  <c r="H393" i="32" s="1"/>
  <c r="J393" i="32" s="1"/>
  <c r="F394" i="32"/>
  <c r="H394" i="32" s="1"/>
  <c r="J394" i="32" s="1"/>
  <c r="F395" i="32"/>
  <c r="H395" i="32" s="1"/>
  <c r="J395" i="32" s="1"/>
  <c r="F396" i="32"/>
  <c r="H396" i="32" s="1"/>
  <c r="J396" i="32" s="1"/>
  <c r="F397" i="32"/>
  <c r="H397" i="32" s="1"/>
  <c r="J397" i="32" s="1"/>
  <c r="F398" i="32"/>
  <c r="H398" i="32" s="1"/>
  <c r="J398" i="32" s="1"/>
  <c r="F399" i="32"/>
  <c r="H399" i="32" s="1"/>
  <c r="J399" i="32" s="1"/>
  <c r="F400" i="32"/>
  <c r="H400" i="32" s="1"/>
  <c r="J400" i="32" s="1"/>
  <c r="F401" i="32"/>
  <c r="H401" i="32" s="1"/>
  <c r="J401" i="32" s="1"/>
  <c r="F402" i="32"/>
  <c r="H402" i="32" s="1"/>
  <c r="J402" i="32" s="1"/>
  <c r="F403" i="32"/>
  <c r="H403" i="32" s="1"/>
  <c r="J403" i="32" s="1"/>
  <c r="F404" i="32"/>
  <c r="H404" i="32" s="1"/>
  <c r="J404" i="32" s="1"/>
  <c r="F405" i="32"/>
  <c r="H405" i="32" s="1"/>
  <c r="J405" i="32" s="1"/>
  <c r="F406" i="32"/>
  <c r="H406" i="32" s="1"/>
  <c r="J406" i="32" s="1"/>
  <c r="F407" i="32"/>
  <c r="H407" i="32" s="1"/>
  <c r="J407" i="32" s="1"/>
  <c r="F408" i="32"/>
  <c r="H408" i="32" s="1"/>
  <c r="J408" i="32" s="1"/>
  <c r="F409" i="32"/>
  <c r="H409" i="32" s="1"/>
  <c r="J409" i="32" s="1"/>
  <c r="F410" i="32"/>
  <c r="H410" i="32" s="1"/>
  <c r="J410" i="32" s="1"/>
  <c r="F411" i="32"/>
  <c r="H411" i="32" s="1"/>
  <c r="J411" i="32" s="1"/>
  <c r="F412" i="32"/>
  <c r="H412" i="32" s="1"/>
  <c r="J412" i="32" s="1"/>
  <c r="F413" i="32"/>
  <c r="H413" i="32" s="1"/>
  <c r="J413" i="32" s="1"/>
  <c r="F414" i="32"/>
  <c r="H414" i="32" s="1"/>
  <c r="J414" i="32" s="1"/>
  <c r="F415" i="32"/>
  <c r="H415" i="32" s="1"/>
  <c r="J415" i="32" s="1"/>
  <c r="F416" i="32"/>
  <c r="H416" i="32" s="1"/>
  <c r="J416" i="32" s="1"/>
  <c r="F417" i="32"/>
  <c r="H417" i="32" s="1"/>
  <c r="J417" i="32" s="1"/>
  <c r="F418" i="32"/>
  <c r="H418" i="32" s="1"/>
  <c r="J418" i="32" s="1"/>
  <c r="F419" i="32"/>
  <c r="H419" i="32" s="1"/>
  <c r="J419" i="32" s="1"/>
  <c r="F420" i="32"/>
  <c r="H420" i="32" s="1"/>
  <c r="J420" i="32" s="1"/>
  <c r="F421" i="32"/>
  <c r="H421" i="32" s="1"/>
  <c r="J421" i="32" s="1"/>
  <c r="F422" i="32"/>
  <c r="H422" i="32" s="1"/>
  <c r="J422" i="32" s="1"/>
  <c r="F423" i="32"/>
  <c r="H423" i="32" s="1"/>
  <c r="J423" i="32" s="1"/>
  <c r="F424" i="32"/>
  <c r="H424" i="32" s="1"/>
  <c r="J424" i="32" s="1"/>
  <c r="F425" i="32"/>
  <c r="H425" i="32" s="1"/>
  <c r="J425" i="32" s="1"/>
  <c r="F426" i="32"/>
  <c r="H426" i="32" s="1"/>
  <c r="J426" i="32" s="1"/>
  <c r="F427" i="32"/>
  <c r="H427" i="32" s="1"/>
  <c r="J427" i="32" s="1"/>
  <c r="F428" i="32"/>
  <c r="H428" i="32" s="1"/>
  <c r="J428" i="32" s="1"/>
  <c r="F429" i="32"/>
  <c r="H429" i="32" s="1"/>
  <c r="J429" i="32" s="1"/>
  <c r="F430" i="32"/>
  <c r="H430" i="32" s="1"/>
  <c r="J430" i="32" s="1"/>
  <c r="F431" i="32"/>
  <c r="H431" i="32" s="1"/>
  <c r="J431" i="32" s="1"/>
  <c r="F432" i="32"/>
  <c r="H432" i="32" s="1"/>
  <c r="J432" i="32" s="1"/>
  <c r="F433" i="32"/>
  <c r="H433" i="32" s="1"/>
  <c r="J433" i="32" s="1"/>
  <c r="F434" i="32"/>
  <c r="H434" i="32" s="1"/>
  <c r="J434" i="32" s="1"/>
  <c r="F435" i="32"/>
  <c r="H435" i="32" s="1"/>
  <c r="J435" i="32" s="1"/>
  <c r="F436" i="32"/>
  <c r="H436" i="32" s="1"/>
  <c r="J436" i="32" s="1"/>
  <c r="F437" i="32"/>
  <c r="H437" i="32" s="1"/>
  <c r="J437" i="32" s="1"/>
  <c r="F438" i="32"/>
  <c r="H438" i="32" s="1"/>
  <c r="J438" i="32" s="1"/>
  <c r="F439" i="32"/>
  <c r="H439" i="32" s="1"/>
  <c r="J439" i="32" s="1"/>
  <c r="F440" i="32"/>
  <c r="H440" i="32" s="1"/>
  <c r="J440" i="32" s="1"/>
  <c r="F441" i="32"/>
  <c r="H441" i="32" s="1"/>
  <c r="J441" i="32" s="1"/>
  <c r="F442" i="32"/>
  <c r="H442" i="32" s="1"/>
  <c r="J442" i="32" s="1"/>
  <c r="F443" i="32"/>
  <c r="H443" i="32" s="1"/>
  <c r="J443" i="32" s="1"/>
  <c r="F444" i="32"/>
  <c r="H444" i="32" s="1"/>
  <c r="J444" i="32" s="1"/>
  <c r="F445" i="32"/>
  <c r="H445" i="32" s="1"/>
  <c r="J445" i="32" s="1"/>
  <c r="F446" i="32"/>
  <c r="H446" i="32" s="1"/>
  <c r="J446" i="32" s="1"/>
  <c r="F447" i="32"/>
  <c r="H447" i="32" s="1"/>
  <c r="J447" i="32" s="1"/>
  <c r="F448" i="32"/>
  <c r="H448" i="32" s="1"/>
  <c r="J448" i="32" s="1"/>
  <c r="F449" i="32"/>
  <c r="H449" i="32" s="1"/>
  <c r="J449" i="32" s="1"/>
  <c r="F450" i="32"/>
  <c r="H450" i="32" s="1"/>
  <c r="J450" i="32" s="1"/>
  <c r="F451" i="32"/>
  <c r="H451" i="32" s="1"/>
  <c r="J451" i="32" s="1"/>
  <c r="F452" i="32"/>
  <c r="H452" i="32" s="1"/>
  <c r="J452" i="32" s="1"/>
  <c r="F453" i="32"/>
  <c r="H453" i="32" s="1"/>
  <c r="J453" i="32" s="1"/>
  <c r="F454" i="32"/>
  <c r="H454" i="32" s="1"/>
  <c r="J454" i="32" s="1"/>
  <c r="F455" i="32"/>
  <c r="H455" i="32" s="1"/>
  <c r="J455" i="32" s="1"/>
  <c r="F456" i="32"/>
  <c r="H456" i="32" s="1"/>
  <c r="J456" i="32" s="1"/>
  <c r="F457" i="32"/>
  <c r="H457" i="32" s="1"/>
  <c r="J457" i="32" s="1"/>
  <c r="F458" i="32"/>
  <c r="H458" i="32" s="1"/>
  <c r="J458" i="32" s="1"/>
  <c r="F459" i="32"/>
  <c r="H459" i="32" s="1"/>
  <c r="J459" i="32" s="1"/>
  <c r="F460" i="32"/>
  <c r="H460" i="32" s="1"/>
  <c r="J460" i="32" s="1"/>
  <c r="F461" i="32"/>
  <c r="H461" i="32" s="1"/>
  <c r="J461" i="32" s="1"/>
  <c r="F462" i="32"/>
  <c r="H462" i="32" s="1"/>
  <c r="J462" i="32" s="1"/>
  <c r="F463" i="32"/>
  <c r="H463" i="32" s="1"/>
  <c r="J463" i="32" s="1"/>
  <c r="F464" i="32"/>
  <c r="H464" i="32" s="1"/>
  <c r="J464" i="32" s="1"/>
  <c r="F465" i="32"/>
  <c r="H465" i="32" s="1"/>
  <c r="J465" i="32" s="1"/>
  <c r="F466" i="32"/>
  <c r="H466" i="32" s="1"/>
  <c r="J466" i="32" s="1"/>
  <c r="F467" i="32"/>
  <c r="H467" i="32" s="1"/>
  <c r="J467" i="32" s="1"/>
  <c r="F468" i="32"/>
  <c r="H468" i="32" s="1"/>
  <c r="J468" i="32" s="1"/>
  <c r="F469" i="32"/>
  <c r="H469" i="32" s="1"/>
  <c r="J469" i="32" s="1"/>
  <c r="F470" i="32"/>
  <c r="H470" i="32" s="1"/>
  <c r="J470" i="32" s="1"/>
  <c r="F471" i="32"/>
  <c r="H471" i="32" s="1"/>
  <c r="J471" i="32" s="1"/>
  <c r="F472" i="32"/>
  <c r="H472" i="32" s="1"/>
  <c r="J472" i="32" s="1"/>
  <c r="F473" i="32"/>
  <c r="H473" i="32" s="1"/>
  <c r="J473" i="32" s="1"/>
  <c r="F474" i="32"/>
  <c r="H474" i="32" s="1"/>
  <c r="J474" i="32" s="1"/>
  <c r="F475" i="32"/>
  <c r="H475" i="32" s="1"/>
  <c r="J475" i="32" s="1"/>
  <c r="F476" i="32"/>
  <c r="H476" i="32" s="1"/>
  <c r="J476" i="32" s="1"/>
  <c r="F477" i="32"/>
  <c r="H477" i="32" s="1"/>
  <c r="J477" i="32" s="1"/>
  <c r="F478" i="32"/>
  <c r="H478" i="32" s="1"/>
  <c r="J478" i="32" s="1"/>
  <c r="F479" i="32"/>
  <c r="H479" i="32" s="1"/>
  <c r="J479" i="32" s="1"/>
  <c r="F480" i="32"/>
  <c r="H480" i="32" s="1"/>
  <c r="J480" i="32" s="1"/>
  <c r="F481" i="32"/>
  <c r="H481" i="32" s="1"/>
  <c r="J481" i="32" s="1"/>
  <c r="F482" i="32"/>
  <c r="H482" i="32" s="1"/>
  <c r="J482" i="32" s="1"/>
  <c r="F483" i="32"/>
  <c r="H483" i="32" s="1"/>
  <c r="J483" i="32" s="1"/>
  <c r="F484" i="32"/>
  <c r="H484" i="32" s="1"/>
  <c r="J484" i="32" s="1"/>
  <c r="F485" i="32"/>
  <c r="H485" i="32" s="1"/>
  <c r="J485" i="32" s="1"/>
  <c r="F486" i="32"/>
  <c r="H486" i="32" s="1"/>
  <c r="J486" i="32" s="1"/>
  <c r="F487" i="32"/>
  <c r="H487" i="32" s="1"/>
  <c r="J487" i="32" s="1"/>
  <c r="F488" i="32"/>
  <c r="H488" i="32" s="1"/>
  <c r="J488" i="32" s="1"/>
  <c r="F489" i="32"/>
  <c r="H489" i="32" s="1"/>
  <c r="J489" i="32" s="1"/>
  <c r="F490" i="32"/>
  <c r="H490" i="32" s="1"/>
  <c r="J490" i="32" s="1"/>
  <c r="F491" i="32"/>
  <c r="H491" i="32" s="1"/>
  <c r="J491" i="32" s="1"/>
  <c r="F492" i="32"/>
  <c r="H492" i="32" s="1"/>
  <c r="J492" i="32" s="1"/>
  <c r="F493" i="32"/>
  <c r="H493" i="32" s="1"/>
  <c r="J493" i="32" s="1"/>
  <c r="F494" i="32"/>
  <c r="H494" i="32" s="1"/>
  <c r="J494" i="32" s="1"/>
  <c r="F495" i="32"/>
  <c r="H495" i="32" s="1"/>
  <c r="J495" i="32" s="1"/>
  <c r="F496" i="32"/>
  <c r="H496" i="32" s="1"/>
  <c r="J496" i="32" s="1"/>
  <c r="F497" i="32"/>
  <c r="H497" i="32" s="1"/>
  <c r="J497" i="32" s="1"/>
  <c r="F498" i="32"/>
  <c r="H498" i="32" s="1"/>
  <c r="J498" i="32" s="1"/>
  <c r="F499" i="32"/>
  <c r="H499" i="32" s="1"/>
  <c r="J499" i="32" s="1"/>
  <c r="F500" i="32"/>
  <c r="H500" i="32" s="1"/>
  <c r="J500" i="32" s="1"/>
  <c r="F501" i="32"/>
  <c r="H501" i="32" s="1"/>
  <c r="J501" i="32" s="1"/>
  <c r="F502" i="32"/>
  <c r="H502" i="32" s="1"/>
  <c r="J502" i="32" s="1"/>
  <c r="F503" i="32"/>
  <c r="H503" i="32" s="1"/>
  <c r="J503" i="32" s="1"/>
  <c r="F504" i="32"/>
  <c r="H504" i="32" s="1"/>
  <c r="J504" i="32" s="1"/>
  <c r="F505" i="32"/>
  <c r="H505" i="32" s="1"/>
  <c r="J505" i="32" s="1"/>
  <c r="F506" i="32"/>
  <c r="H506" i="32" s="1"/>
  <c r="J506" i="32" s="1"/>
  <c r="F507" i="32"/>
  <c r="H507" i="32" s="1"/>
  <c r="J507" i="32" s="1"/>
  <c r="F508" i="32"/>
  <c r="H508" i="32" s="1"/>
  <c r="J508" i="32" s="1"/>
  <c r="F509" i="32"/>
  <c r="H509" i="32" s="1"/>
  <c r="J509" i="32" s="1"/>
  <c r="F510" i="32"/>
  <c r="H510" i="32" s="1"/>
  <c r="J510" i="32" s="1"/>
  <c r="F511" i="32"/>
  <c r="H511" i="32" s="1"/>
  <c r="J511" i="32" s="1"/>
  <c r="F512" i="32"/>
  <c r="H512" i="32" s="1"/>
  <c r="J512" i="32" s="1"/>
  <c r="F513" i="32"/>
  <c r="H513" i="32" s="1"/>
  <c r="J513" i="32" s="1"/>
  <c r="F514" i="32"/>
  <c r="H514" i="32" s="1"/>
  <c r="J514" i="32" s="1"/>
  <c r="F515" i="32"/>
  <c r="H515" i="32" s="1"/>
  <c r="J515" i="32" s="1"/>
  <c r="F516" i="32"/>
  <c r="H516" i="32" s="1"/>
  <c r="J516" i="32" s="1"/>
  <c r="F517" i="32"/>
  <c r="H517" i="32" s="1"/>
  <c r="J517" i="32" s="1"/>
  <c r="F518" i="32"/>
  <c r="H518" i="32" s="1"/>
  <c r="J518" i="32" s="1"/>
  <c r="F519" i="32"/>
  <c r="H519" i="32" s="1"/>
  <c r="J519" i="32" s="1"/>
  <c r="F520" i="32"/>
  <c r="H520" i="32" s="1"/>
  <c r="J520" i="32" s="1"/>
  <c r="F521" i="32"/>
  <c r="H521" i="32" s="1"/>
  <c r="J521" i="32" s="1"/>
  <c r="F522" i="32"/>
  <c r="H522" i="32" s="1"/>
  <c r="J522" i="32" s="1"/>
  <c r="F523" i="32"/>
  <c r="H523" i="32" s="1"/>
  <c r="J523" i="32" s="1"/>
  <c r="F524" i="32"/>
  <c r="H524" i="32" s="1"/>
  <c r="J524" i="32" s="1"/>
  <c r="F525" i="32"/>
  <c r="H525" i="32" s="1"/>
  <c r="J525" i="32" s="1"/>
  <c r="F526" i="32"/>
  <c r="H526" i="32" s="1"/>
  <c r="J526" i="32" s="1"/>
  <c r="F527" i="32"/>
  <c r="H527" i="32" s="1"/>
  <c r="J527" i="32" s="1"/>
  <c r="F528" i="32"/>
  <c r="H528" i="32" s="1"/>
  <c r="J528" i="32" s="1"/>
  <c r="F529" i="32"/>
  <c r="H529" i="32" s="1"/>
  <c r="J529" i="32" s="1"/>
  <c r="F530" i="32"/>
  <c r="H530" i="32" s="1"/>
  <c r="J530" i="32" s="1"/>
  <c r="F531" i="32"/>
  <c r="H531" i="32" s="1"/>
  <c r="J531" i="32" s="1"/>
  <c r="F532" i="32"/>
  <c r="H532" i="32" s="1"/>
  <c r="J532" i="32" s="1"/>
  <c r="F533" i="32"/>
  <c r="H533" i="32" s="1"/>
  <c r="J533" i="32" s="1"/>
  <c r="F534" i="32"/>
  <c r="H534" i="32" s="1"/>
  <c r="J534" i="32" s="1"/>
  <c r="F535" i="32"/>
  <c r="H535" i="32" s="1"/>
  <c r="J535" i="32" s="1"/>
  <c r="F536" i="32"/>
  <c r="H536" i="32" s="1"/>
  <c r="J536" i="32" s="1"/>
  <c r="F537" i="32"/>
  <c r="H537" i="32" s="1"/>
  <c r="J537" i="32" s="1"/>
  <c r="F538" i="32"/>
  <c r="H538" i="32" s="1"/>
  <c r="J538" i="32" s="1"/>
  <c r="F539" i="32"/>
  <c r="H539" i="32" s="1"/>
  <c r="J539" i="32" s="1"/>
  <c r="F540" i="32"/>
  <c r="H540" i="32" s="1"/>
  <c r="J540" i="32" s="1"/>
  <c r="F541" i="32"/>
  <c r="H541" i="32" s="1"/>
  <c r="J541" i="32" s="1"/>
  <c r="F542" i="32"/>
  <c r="H542" i="32" s="1"/>
  <c r="J542" i="32" s="1"/>
  <c r="F543" i="32"/>
  <c r="H543" i="32" s="1"/>
  <c r="J543" i="32" s="1"/>
  <c r="F544" i="32"/>
  <c r="H544" i="32" s="1"/>
  <c r="J544" i="32" s="1"/>
  <c r="F545" i="32"/>
  <c r="H545" i="32" s="1"/>
  <c r="J545" i="32" s="1"/>
  <c r="F546" i="32"/>
  <c r="H546" i="32" s="1"/>
  <c r="J546" i="32" s="1"/>
  <c r="F547" i="32"/>
  <c r="H547" i="32" s="1"/>
  <c r="J547" i="32" s="1"/>
  <c r="F548" i="32"/>
  <c r="H548" i="32" s="1"/>
  <c r="J548" i="32" s="1"/>
  <c r="F549" i="32"/>
  <c r="H549" i="32" s="1"/>
  <c r="J549" i="32" s="1"/>
  <c r="F550" i="32"/>
  <c r="H550" i="32" s="1"/>
  <c r="J550" i="32" s="1"/>
  <c r="F551" i="32"/>
  <c r="H551" i="32" s="1"/>
  <c r="J551" i="32" s="1"/>
  <c r="F552" i="32"/>
  <c r="H552" i="32" s="1"/>
  <c r="J552" i="32" s="1"/>
  <c r="F553" i="32"/>
  <c r="H553" i="32" s="1"/>
  <c r="J553" i="32" s="1"/>
  <c r="F554" i="32"/>
  <c r="H554" i="32" s="1"/>
  <c r="J554" i="32" s="1"/>
  <c r="F555" i="32"/>
  <c r="H555" i="32" s="1"/>
  <c r="J555" i="32" s="1"/>
  <c r="F556" i="32"/>
  <c r="H556" i="32" s="1"/>
  <c r="J556" i="32" s="1"/>
  <c r="F557" i="32"/>
  <c r="H557" i="32" s="1"/>
  <c r="J557" i="32" s="1"/>
  <c r="F558" i="32"/>
  <c r="H558" i="32" s="1"/>
  <c r="J558" i="32" s="1"/>
  <c r="F559" i="32"/>
  <c r="H559" i="32" s="1"/>
  <c r="J559" i="32" s="1"/>
  <c r="F560" i="32"/>
  <c r="H560" i="32" s="1"/>
  <c r="J560" i="32" s="1"/>
  <c r="F561" i="32"/>
  <c r="H561" i="32" s="1"/>
  <c r="J561" i="32" s="1"/>
  <c r="F562" i="32"/>
  <c r="H562" i="32" s="1"/>
  <c r="J562" i="32" s="1"/>
  <c r="F563" i="32"/>
  <c r="H563" i="32" s="1"/>
  <c r="J563" i="32" s="1"/>
  <c r="F564" i="32"/>
  <c r="H564" i="32" s="1"/>
  <c r="J564" i="32" s="1"/>
  <c r="F565" i="32"/>
  <c r="H565" i="32" s="1"/>
  <c r="J565" i="32" s="1"/>
  <c r="F566" i="32"/>
  <c r="H566" i="32" s="1"/>
  <c r="J566" i="32" s="1"/>
  <c r="F567" i="32"/>
  <c r="H567" i="32" s="1"/>
  <c r="J567" i="32" s="1"/>
  <c r="F568" i="32"/>
  <c r="H568" i="32" s="1"/>
  <c r="J568" i="32" s="1"/>
  <c r="F569" i="32"/>
  <c r="H569" i="32" s="1"/>
  <c r="J569" i="32" s="1"/>
  <c r="F570" i="32"/>
  <c r="H570" i="32" s="1"/>
  <c r="J570" i="32" s="1"/>
  <c r="F571" i="32"/>
  <c r="H571" i="32" s="1"/>
  <c r="J571" i="32" s="1"/>
  <c r="F572" i="32"/>
  <c r="H572" i="32" s="1"/>
  <c r="J572" i="32" s="1"/>
  <c r="F573" i="32"/>
  <c r="H573" i="32" s="1"/>
  <c r="J573" i="32" s="1"/>
  <c r="F574" i="32"/>
  <c r="H574" i="32" s="1"/>
  <c r="J574" i="32" s="1"/>
  <c r="F575" i="32"/>
  <c r="H575" i="32" s="1"/>
  <c r="J575" i="32" s="1"/>
  <c r="F576" i="32"/>
  <c r="H576" i="32" s="1"/>
  <c r="J576" i="32" s="1"/>
  <c r="F577" i="32"/>
  <c r="H577" i="32" s="1"/>
  <c r="J577" i="32" s="1"/>
  <c r="F578" i="32"/>
  <c r="H578" i="32" s="1"/>
  <c r="J578" i="32" s="1"/>
  <c r="F579" i="32"/>
  <c r="H579" i="32" s="1"/>
  <c r="J579" i="32" s="1"/>
  <c r="F580" i="32"/>
  <c r="H580" i="32" s="1"/>
  <c r="J580" i="32" s="1"/>
  <c r="F581" i="32"/>
  <c r="H581" i="32" s="1"/>
  <c r="J581" i="32" s="1"/>
  <c r="F582" i="32"/>
  <c r="H582" i="32" s="1"/>
  <c r="J582" i="32" s="1"/>
  <c r="F583" i="32"/>
  <c r="H583" i="32" s="1"/>
  <c r="J583" i="32" s="1"/>
  <c r="F584" i="32"/>
  <c r="H584" i="32" s="1"/>
  <c r="J584" i="32" s="1"/>
  <c r="F585" i="32"/>
  <c r="H585" i="32" s="1"/>
  <c r="J585" i="32" s="1"/>
  <c r="F586" i="32"/>
  <c r="H586" i="32" s="1"/>
  <c r="J586" i="32" s="1"/>
  <c r="F587" i="32"/>
  <c r="H587" i="32" s="1"/>
  <c r="J587" i="32" s="1"/>
  <c r="F588" i="32"/>
  <c r="H588" i="32" s="1"/>
  <c r="J588" i="32" s="1"/>
  <c r="F589" i="32"/>
  <c r="H589" i="32" s="1"/>
  <c r="J589" i="32" s="1"/>
  <c r="F590" i="32"/>
  <c r="H590" i="32" s="1"/>
  <c r="J590" i="32" s="1"/>
  <c r="F591" i="32"/>
  <c r="H591" i="32" s="1"/>
  <c r="J591" i="32" s="1"/>
  <c r="F592" i="32"/>
  <c r="H592" i="32" s="1"/>
  <c r="J592" i="32" s="1"/>
  <c r="F593" i="32"/>
  <c r="H593" i="32" s="1"/>
  <c r="J593" i="32" s="1"/>
  <c r="F594" i="32"/>
  <c r="H594" i="32" s="1"/>
  <c r="J594" i="32" s="1"/>
  <c r="F595" i="32"/>
  <c r="H595" i="32" s="1"/>
  <c r="J595" i="32" s="1"/>
  <c r="F596" i="32"/>
  <c r="H596" i="32" s="1"/>
  <c r="J596" i="32" s="1"/>
  <c r="F597" i="32"/>
  <c r="H597" i="32" s="1"/>
  <c r="J597" i="32" s="1"/>
  <c r="F598" i="32"/>
  <c r="H598" i="32" s="1"/>
  <c r="J598" i="32" s="1"/>
  <c r="F599" i="32"/>
  <c r="H599" i="32" s="1"/>
  <c r="J599" i="32" s="1"/>
  <c r="F600" i="32"/>
  <c r="H600" i="32" s="1"/>
  <c r="J600" i="32" s="1"/>
  <c r="F601" i="32"/>
  <c r="H601" i="32" s="1"/>
  <c r="J601" i="32" s="1"/>
  <c r="F602" i="32"/>
  <c r="H602" i="32" s="1"/>
  <c r="J602" i="32" s="1"/>
  <c r="F603" i="32"/>
  <c r="H603" i="32" s="1"/>
  <c r="J603" i="32" s="1"/>
  <c r="F604" i="32"/>
  <c r="H604" i="32" s="1"/>
  <c r="J604" i="32" s="1"/>
  <c r="F605" i="32"/>
  <c r="H605" i="32" s="1"/>
  <c r="J605" i="32" s="1"/>
  <c r="F606" i="32"/>
  <c r="H606" i="32" s="1"/>
  <c r="J606" i="32" s="1"/>
  <c r="F607" i="32"/>
  <c r="H607" i="32" s="1"/>
  <c r="J607" i="32" s="1"/>
  <c r="F608" i="32"/>
  <c r="H608" i="32" s="1"/>
  <c r="J608" i="32" s="1"/>
  <c r="F9" i="32"/>
  <c r="H9" i="32" s="1"/>
  <c r="J9" i="32" s="1"/>
  <c r="C806" i="1" l="1"/>
  <c r="D806" i="1"/>
  <c r="C807" i="1"/>
  <c r="D807" i="1"/>
  <c r="C808" i="1"/>
  <c r="D808" i="1"/>
  <c r="C809" i="1"/>
  <c r="D809" i="1"/>
  <c r="C810" i="1"/>
  <c r="D810" i="1"/>
  <c r="C811" i="1"/>
  <c r="D811" i="1"/>
  <c r="C812" i="1"/>
  <c r="D812" i="1"/>
  <c r="C813" i="1"/>
  <c r="D813" i="1"/>
  <c r="C814" i="1"/>
  <c r="D814" i="1"/>
  <c r="C815" i="1"/>
  <c r="D815" i="1"/>
  <c r="C816" i="1"/>
  <c r="D816" i="1"/>
  <c r="C817" i="1"/>
  <c r="D817" i="1"/>
  <c r="C818" i="1"/>
  <c r="D818" i="1"/>
  <c r="C819" i="1"/>
  <c r="D819" i="1"/>
  <c r="C820" i="1"/>
  <c r="D820" i="1"/>
  <c r="C821" i="1"/>
  <c r="D821" i="1"/>
  <c r="C822" i="1"/>
  <c r="D822" i="1"/>
  <c r="C823" i="1"/>
  <c r="D823" i="1"/>
  <c r="C824" i="1"/>
  <c r="D824" i="1"/>
  <c r="C825" i="1"/>
  <c r="D825" i="1"/>
  <c r="C826" i="1"/>
  <c r="D826" i="1"/>
  <c r="C827" i="1"/>
  <c r="D827" i="1"/>
  <c r="C828" i="1"/>
  <c r="D828" i="1"/>
  <c r="C829" i="1"/>
  <c r="D829" i="1"/>
  <c r="C830" i="1"/>
  <c r="D830" i="1"/>
  <c r="C831" i="1"/>
  <c r="D831" i="1"/>
  <c r="C832" i="1"/>
  <c r="D832" i="1"/>
  <c r="C833" i="1"/>
  <c r="D833" i="1"/>
  <c r="C834" i="1"/>
  <c r="D834" i="1"/>
  <c r="C835" i="1"/>
  <c r="D835" i="1"/>
  <c r="C836" i="1"/>
  <c r="D836" i="1"/>
  <c r="C837" i="1"/>
  <c r="D837" i="1"/>
  <c r="C838" i="1"/>
  <c r="D838" i="1"/>
  <c r="C839" i="1"/>
  <c r="D839" i="1"/>
  <c r="C840" i="1"/>
  <c r="D840" i="1"/>
  <c r="C841" i="1"/>
  <c r="D841" i="1"/>
  <c r="C842" i="1"/>
  <c r="D842" i="1"/>
  <c r="C843" i="1"/>
  <c r="D843" i="1"/>
  <c r="C844" i="1"/>
  <c r="D844" i="1"/>
  <c r="C845" i="1"/>
  <c r="D845" i="1"/>
  <c r="C846" i="1"/>
  <c r="D846" i="1"/>
  <c r="C847" i="1"/>
  <c r="D847" i="1"/>
  <c r="C848" i="1"/>
  <c r="D848" i="1"/>
  <c r="C849" i="1"/>
  <c r="D849" i="1"/>
  <c r="C850" i="1"/>
  <c r="D850" i="1"/>
  <c r="C851" i="1"/>
  <c r="D851" i="1"/>
  <c r="C852" i="1"/>
  <c r="D852" i="1"/>
  <c r="C853" i="1"/>
  <c r="D853" i="1"/>
  <c r="C854" i="1"/>
  <c r="D854" i="1"/>
  <c r="C855" i="1"/>
  <c r="D855" i="1"/>
  <c r="C856" i="1"/>
  <c r="D856" i="1"/>
  <c r="C857" i="1"/>
  <c r="D857" i="1"/>
  <c r="C858" i="1"/>
  <c r="D858" i="1"/>
  <c r="C859" i="1"/>
  <c r="D859" i="1"/>
  <c r="C860" i="1"/>
  <c r="D860" i="1"/>
  <c r="C861" i="1"/>
  <c r="D861" i="1"/>
  <c r="C862" i="1"/>
  <c r="D862" i="1"/>
  <c r="C863" i="1"/>
  <c r="D863" i="1"/>
  <c r="C864" i="1"/>
  <c r="D864" i="1"/>
  <c r="C865" i="1"/>
  <c r="D865" i="1"/>
  <c r="C866" i="1"/>
  <c r="D866" i="1"/>
  <c r="C867" i="1"/>
  <c r="D867" i="1"/>
  <c r="C868" i="1"/>
  <c r="D868" i="1"/>
  <c r="C869" i="1"/>
  <c r="D869" i="1"/>
  <c r="C870" i="1"/>
  <c r="D870" i="1"/>
  <c r="C871" i="1"/>
  <c r="D871" i="1"/>
  <c r="C872" i="1"/>
  <c r="D872" i="1"/>
  <c r="C873" i="1"/>
  <c r="D873" i="1"/>
  <c r="C874" i="1"/>
  <c r="D874" i="1"/>
  <c r="C875" i="1"/>
  <c r="D875" i="1"/>
  <c r="C876" i="1"/>
  <c r="D876" i="1"/>
  <c r="C877" i="1"/>
  <c r="D877" i="1"/>
  <c r="C878" i="1"/>
  <c r="D878" i="1"/>
  <c r="C879" i="1"/>
  <c r="D879" i="1"/>
  <c r="C880" i="1"/>
  <c r="D880" i="1"/>
  <c r="C881" i="1"/>
  <c r="D881" i="1"/>
  <c r="C882" i="1"/>
  <c r="D882" i="1"/>
  <c r="C883" i="1"/>
  <c r="D883" i="1"/>
  <c r="C884" i="1"/>
  <c r="D884" i="1"/>
  <c r="C885" i="1"/>
  <c r="D885" i="1"/>
  <c r="C886" i="1"/>
  <c r="D886" i="1"/>
  <c r="C887" i="1"/>
  <c r="D887" i="1"/>
  <c r="C888" i="1"/>
  <c r="D888" i="1"/>
  <c r="C889" i="1"/>
  <c r="D889" i="1"/>
  <c r="C890" i="1"/>
  <c r="D890" i="1"/>
  <c r="C891" i="1"/>
  <c r="D891" i="1"/>
  <c r="C892" i="1"/>
  <c r="D892" i="1"/>
  <c r="C893" i="1"/>
  <c r="D893" i="1"/>
  <c r="C894" i="1"/>
  <c r="D894" i="1"/>
  <c r="C895" i="1"/>
  <c r="D895" i="1"/>
  <c r="C896" i="1"/>
  <c r="D896" i="1"/>
  <c r="C897" i="1"/>
  <c r="D897" i="1"/>
  <c r="C898" i="1"/>
  <c r="D898" i="1"/>
  <c r="C899" i="1"/>
  <c r="D899" i="1"/>
  <c r="C900" i="1"/>
  <c r="D900" i="1"/>
  <c r="C901" i="1"/>
  <c r="D901" i="1"/>
  <c r="C902" i="1"/>
  <c r="D902" i="1"/>
  <c r="C903" i="1"/>
  <c r="D903" i="1"/>
  <c r="C904" i="1"/>
  <c r="D904" i="1"/>
  <c r="C905" i="1"/>
  <c r="D905" i="1"/>
  <c r="C1080" i="28"/>
  <c r="E805" i="27" l="1"/>
  <c r="D805" i="27"/>
  <c r="E804" i="27"/>
  <c r="D804" i="27"/>
  <c r="E803" i="27"/>
  <c r="D803" i="27"/>
  <c r="E802" i="27"/>
  <c r="D802" i="27"/>
  <c r="E801" i="27"/>
  <c r="D801" i="27"/>
  <c r="E800" i="27"/>
  <c r="D800" i="27"/>
  <c r="E799" i="27"/>
  <c r="D799" i="27"/>
  <c r="E798" i="27"/>
  <c r="D798" i="27"/>
  <c r="E797" i="27"/>
  <c r="D797" i="27"/>
  <c r="E796" i="27"/>
  <c r="D796" i="27"/>
  <c r="E795" i="27"/>
  <c r="D795" i="27"/>
  <c r="E794" i="27"/>
  <c r="D794" i="27"/>
  <c r="E793" i="27"/>
  <c r="D793" i="27"/>
  <c r="E792" i="27"/>
  <c r="D792" i="27"/>
  <c r="E791" i="27"/>
  <c r="D791" i="27"/>
  <c r="E790" i="27"/>
  <c r="D790" i="27"/>
  <c r="E789" i="27"/>
  <c r="D789" i="27"/>
  <c r="E788" i="27"/>
  <c r="D788" i="27"/>
  <c r="E787" i="27"/>
  <c r="D787" i="27"/>
  <c r="E786" i="27"/>
  <c r="D786" i="27"/>
  <c r="E785" i="27"/>
  <c r="D785" i="27"/>
  <c r="E784" i="27"/>
  <c r="D784" i="27"/>
  <c r="E783" i="27"/>
  <c r="D783" i="27"/>
  <c r="E782" i="27"/>
  <c r="D782" i="27"/>
  <c r="E781" i="27"/>
  <c r="D781" i="27"/>
  <c r="E780" i="27"/>
  <c r="D780" i="27"/>
  <c r="E779" i="27"/>
  <c r="D779" i="27"/>
  <c r="E778" i="27"/>
  <c r="D778" i="27"/>
  <c r="E777" i="27"/>
  <c r="D777" i="27"/>
  <c r="E776" i="27"/>
  <c r="D776" i="27"/>
  <c r="E775" i="27"/>
  <c r="D775" i="27"/>
  <c r="E774" i="27"/>
  <c r="D774" i="27"/>
  <c r="E773" i="27"/>
  <c r="D773" i="27"/>
  <c r="E772" i="27"/>
  <c r="D772" i="27"/>
  <c r="E771" i="27"/>
  <c r="D771" i="27"/>
  <c r="E770" i="27"/>
  <c r="D770" i="27"/>
  <c r="E769" i="27"/>
  <c r="D769" i="27"/>
  <c r="E768" i="27"/>
  <c r="D768" i="27"/>
  <c r="E767" i="27"/>
  <c r="D767" i="27"/>
  <c r="E766" i="27"/>
  <c r="D766" i="27"/>
  <c r="E765" i="27"/>
  <c r="D765" i="27"/>
  <c r="E764" i="27"/>
  <c r="D764" i="27"/>
  <c r="E763" i="27"/>
  <c r="D763" i="27"/>
  <c r="E762" i="27"/>
  <c r="D762" i="27"/>
  <c r="E761" i="27"/>
  <c r="D761" i="27"/>
  <c r="E760" i="27"/>
  <c r="D760" i="27"/>
  <c r="E759" i="27"/>
  <c r="D759" i="27"/>
  <c r="E758" i="27"/>
  <c r="D758" i="27"/>
  <c r="E757" i="27"/>
  <c r="D757" i="27"/>
  <c r="E756" i="27"/>
  <c r="D756" i="27"/>
  <c r="E755" i="27"/>
  <c r="D755" i="27"/>
  <c r="E754" i="27"/>
  <c r="D754" i="27"/>
  <c r="E753" i="27"/>
  <c r="D753" i="27"/>
  <c r="E752" i="27"/>
  <c r="D752" i="27"/>
  <c r="E751" i="27"/>
  <c r="D751" i="27"/>
  <c r="E750" i="27"/>
  <c r="D750" i="27"/>
  <c r="E749" i="27"/>
  <c r="D749" i="27"/>
  <c r="E748" i="27"/>
  <c r="D748" i="27"/>
  <c r="E747" i="27"/>
  <c r="D747" i="27"/>
  <c r="E746" i="27"/>
  <c r="D746" i="27"/>
  <c r="E745" i="27"/>
  <c r="D745" i="27"/>
  <c r="E744" i="27"/>
  <c r="D744" i="27"/>
  <c r="E743" i="27"/>
  <c r="D743" i="27"/>
  <c r="E742" i="27"/>
  <c r="D742" i="27"/>
  <c r="E741" i="27"/>
  <c r="D741" i="27"/>
  <c r="E740" i="27"/>
  <c r="D740" i="27"/>
  <c r="E739" i="27"/>
  <c r="D739" i="27"/>
  <c r="E738" i="27"/>
  <c r="D738" i="27"/>
  <c r="E737" i="27"/>
  <c r="D737" i="27"/>
  <c r="E736" i="27"/>
  <c r="D736" i="27"/>
  <c r="E735" i="27"/>
  <c r="D735" i="27"/>
  <c r="E734" i="27"/>
  <c r="D734" i="27"/>
  <c r="E733" i="27"/>
  <c r="D733" i="27"/>
  <c r="E732" i="27"/>
  <c r="D732" i="27"/>
  <c r="E731" i="27"/>
  <c r="D731" i="27"/>
  <c r="E730" i="27"/>
  <c r="D730" i="27"/>
  <c r="E729" i="27"/>
  <c r="D729" i="27"/>
  <c r="E728" i="27"/>
  <c r="D728" i="27"/>
  <c r="E727" i="27"/>
  <c r="D727" i="27"/>
  <c r="E726" i="27"/>
  <c r="D726" i="27"/>
  <c r="E725" i="27"/>
  <c r="D725" i="27"/>
  <c r="E724" i="27"/>
  <c r="D724" i="27"/>
  <c r="E723" i="27"/>
  <c r="D723" i="27"/>
  <c r="E722" i="27"/>
  <c r="D722" i="27"/>
  <c r="E721" i="27"/>
  <c r="D721" i="27"/>
  <c r="E720" i="27"/>
  <c r="D720" i="27"/>
  <c r="E719" i="27"/>
  <c r="D719" i="27"/>
  <c r="E718" i="27"/>
  <c r="D718" i="27"/>
  <c r="E717" i="27"/>
  <c r="D717" i="27"/>
  <c r="E716" i="27"/>
  <c r="D716" i="27"/>
  <c r="E715" i="27"/>
  <c r="D715" i="27"/>
  <c r="E714" i="27"/>
  <c r="D714" i="27"/>
  <c r="E713" i="27"/>
  <c r="D713" i="27"/>
  <c r="E712" i="27"/>
  <c r="D712" i="27"/>
  <c r="E711" i="27"/>
  <c r="D711" i="27"/>
  <c r="E710" i="27"/>
  <c r="D710" i="27"/>
  <c r="E709" i="27"/>
  <c r="D709" i="27"/>
  <c r="E708" i="27"/>
  <c r="D708" i="27"/>
  <c r="E707" i="27"/>
  <c r="D707" i="27"/>
  <c r="E706" i="27"/>
  <c r="D706" i="27"/>
  <c r="E705" i="27"/>
  <c r="D705" i="27"/>
  <c r="E704" i="27"/>
  <c r="D704" i="27"/>
  <c r="E703" i="27"/>
  <c r="D703" i="27"/>
  <c r="E702" i="27"/>
  <c r="D702" i="27"/>
  <c r="E701" i="27"/>
  <c r="D701" i="27"/>
  <c r="E700" i="27"/>
  <c r="D700" i="27"/>
  <c r="E699" i="27"/>
  <c r="D699" i="27"/>
  <c r="E698" i="27"/>
  <c r="D698" i="27"/>
  <c r="E697" i="27"/>
  <c r="D697" i="27"/>
  <c r="E696" i="27"/>
  <c r="D696" i="27"/>
  <c r="E695" i="27"/>
  <c r="D695" i="27"/>
  <c r="E694" i="27"/>
  <c r="D694" i="27"/>
  <c r="E693" i="27"/>
  <c r="D693" i="27"/>
  <c r="E692" i="27"/>
  <c r="D692" i="27"/>
  <c r="E691" i="27"/>
  <c r="D691" i="27"/>
  <c r="E690" i="27"/>
  <c r="D690" i="27"/>
  <c r="E689" i="27"/>
  <c r="D689" i="27"/>
  <c r="E688" i="27"/>
  <c r="D688" i="27"/>
  <c r="E687" i="27"/>
  <c r="D687" i="27"/>
  <c r="E686" i="27"/>
  <c r="D686" i="27"/>
  <c r="E685" i="27"/>
  <c r="D685" i="27"/>
  <c r="E684" i="27"/>
  <c r="D684" i="27"/>
  <c r="E683" i="27"/>
  <c r="D683" i="27"/>
  <c r="E682" i="27"/>
  <c r="D682" i="27"/>
  <c r="E681" i="27"/>
  <c r="D681" i="27"/>
  <c r="E680" i="27"/>
  <c r="D680" i="27"/>
  <c r="E679" i="27"/>
  <c r="D679" i="27"/>
  <c r="E678" i="27"/>
  <c r="D678" i="27"/>
  <c r="E677" i="27"/>
  <c r="D677" i="27"/>
  <c r="E676" i="27"/>
  <c r="D676" i="27"/>
  <c r="E675" i="27"/>
  <c r="D675" i="27"/>
  <c r="E674" i="27"/>
  <c r="D674" i="27"/>
  <c r="E673" i="27"/>
  <c r="D673" i="27"/>
  <c r="E672" i="27"/>
  <c r="D672" i="27"/>
  <c r="E671" i="27"/>
  <c r="D671" i="27"/>
  <c r="E670" i="27"/>
  <c r="D670" i="27"/>
  <c r="E669" i="27"/>
  <c r="D669" i="27"/>
  <c r="E668" i="27"/>
  <c r="D668" i="27"/>
  <c r="E667" i="27"/>
  <c r="D667" i="27"/>
  <c r="E666" i="27"/>
  <c r="D666" i="27"/>
  <c r="E665" i="27"/>
  <c r="D665" i="27"/>
  <c r="E664" i="27"/>
  <c r="D664" i="27"/>
  <c r="E663" i="27"/>
  <c r="D663" i="27"/>
  <c r="E662" i="27"/>
  <c r="D662" i="27"/>
  <c r="E661" i="27"/>
  <c r="D661" i="27"/>
  <c r="E660" i="27"/>
  <c r="D660" i="27"/>
  <c r="E659" i="27"/>
  <c r="D659" i="27"/>
  <c r="E658" i="27"/>
  <c r="D658" i="27"/>
  <c r="E657" i="27"/>
  <c r="D657" i="27"/>
  <c r="E656" i="27"/>
  <c r="D656" i="27"/>
  <c r="E655" i="27"/>
  <c r="D655" i="27"/>
  <c r="E654" i="27"/>
  <c r="D654" i="27"/>
  <c r="E653" i="27"/>
  <c r="D653" i="27"/>
  <c r="E652" i="27"/>
  <c r="D652" i="27"/>
  <c r="E651" i="27"/>
  <c r="D651" i="27"/>
  <c r="E650" i="27"/>
  <c r="D650" i="27"/>
  <c r="E649" i="27"/>
  <c r="D649" i="27"/>
  <c r="E648" i="27"/>
  <c r="D648" i="27"/>
  <c r="E647" i="27"/>
  <c r="D647" i="27"/>
  <c r="E646" i="27"/>
  <c r="D646" i="27"/>
  <c r="E645" i="27"/>
  <c r="D645" i="27"/>
  <c r="E644" i="27"/>
  <c r="D644" i="27"/>
  <c r="E643" i="27"/>
  <c r="D643" i="27"/>
  <c r="E642" i="27"/>
  <c r="D642" i="27"/>
  <c r="E641" i="27"/>
  <c r="D641" i="27"/>
  <c r="E640" i="27"/>
  <c r="D640" i="27"/>
  <c r="E639" i="27"/>
  <c r="D639" i="27"/>
  <c r="E638" i="27"/>
  <c r="D638" i="27"/>
  <c r="E637" i="27"/>
  <c r="D637" i="27"/>
  <c r="E636" i="27"/>
  <c r="D636" i="27"/>
  <c r="E635" i="27"/>
  <c r="D635" i="27"/>
  <c r="E634" i="27"/>
  <c r="D634" i="27"/>
  <c r="E633" i="27"/>
  <c r="D633" i="27"/>
  <c r="E632" i="27"/>
  <c r="D632" i="27"/>
  <c r="E631" i="27"/>
  <c r="D631" i="27"/>
  <c r="E630" i="27"/>
  <c r="D630" i="27"/>
  <c r="E629" i="27"/>
  <c r="D629" i="27"/>
  <c r="E628" i="27"/>
  <c r="D628" i="27"/>
  <c r="E627" i="27"/>
  <c r="D627" i="27"/>
  <c r="E626" i="27"/>
  <c r="D626" i="27"/>
  <c r="E625" i="27"/>
  <c r="D625" i="27"/>
  <c r="E624" i="27"/>
  <c r="D624" i="27"/>
  <c r="E623" i="27"/>
  <c r="D623" i="27"/>
  <c r="E622" i="27"/>
  <c r="D622" i="27"/>
  <c r="E621" i="27"/>
  <c r="D621" i="27"/>
  <c r="E620" i="27"/>
  <c r="D620" i="27"/>
  <c r="E619" i="27"/>
  <c r="D619" i="27"/>
  <c r="E618" i="27"/>
  <c r="D618" i="27"/>
  <c r="E617" i="27"/>
  <c r="D617" i="27"/>
  <c r="E616" i="27"/>
  <c r="D616" i="27"/>
  <c r="E615" i="27"/>
  <c r="D615" i="27"/>
  <c r="E614" i="27"/>
  <c r="D614" i="27"/>
  <c r="E613" i="27"/>
  <c r="D613" i="27"/>
  <c r="E612" i="27"/>
  <c r="D612" i="27"/>
  <c r="E611" i="27"/>
  <c r="D611" i="27"/>
  <c r="E610" i="27"/>
  <c r="D610" i="27"/>
  <c r="E609" i="27"/>
  <c r="D609" i="27"/>
  <c r="E608" i="27"/>
  <c r="D608" i="27"/>
  <c r="E607" i="27"/>
  <c r="D607" i="27"/>
  <c r="E606" i="27"/>
  <c r="D606" i="27"/>
  <c r="E605" i="27"/>
  <c r="D605" i="27"/>
  <c r="E604" i="27"/>
  <c r="D604" i="27"/>
  <c r="E603" i="27"/>
  <c r="D603" i="27"/>
  <c r="E602" i="27"/>
  <c r="D602" i="27"/>
  <c r="E601" i="27"/>
  <c r="D601" i="27"/>
  <c r="E600" i="27"/>
  <c r="D600" i="27"/>
  <c r="E599" i="27"/>
  <c r="D599" i="27"/>
  <c r="E598" i="27"/>
  <c r="D598" i="27"/>
  <c r="E597" i="27"/>
  <c r="D597" i="27"/>
  <c r="E596" i="27"/>
  <c r="D596" i="27"/>
  <c r="E595" i="27"/>
  <c r="D595" i="27"/>
  <c r="E594" i="27"/>
  <c r="D594" i="27"/>
  <c r="E593" i="27"/>
  <c r="D593" i="27"/>
  <c r="E592" i="27"/>
  <c r="D592" i="27"/>
  <c r="E591" i="27"/>
  <c r="D591" i="27"/>
  <c r="E590" i="27"/>
  <c r="D590" i="27"/>
  <c r="E589" i="27"/>
  <c r="D589" i="27"/>
  <c r="E588" i="27"/>
  <c r="D588" i="27"/>
  <c r="E587" i="27"/>
  <c r="D587" i="27"/>
  <c r="E586" i="27"/>
  <c r="D586" i="27"/>
  <c r="E585" i="27"/>
  <c r="D585" i="27"/>
  <c r="E584" i="27"/>
  <c r="D584" i="27"/>
  <c r="E583" i="27"/>
  <c r="D583" i="27"/>
  <c r="E582" i="27"/>
  <c r="D582" i="27"/>
  <c r="E581" i="27"/>
  <c r="D581" i="27"/>
  <c r="E580" i="27"/>
  <c r="D580" i="27"/>
  <c r="E579" i="27"/>
  <c r="D579" i="27"/>
  <c r="E578" i="27"/>
  <c r="D578" i="27"/>
  <c r="E577" i="27"/>
  <c r="D577" i="27"/>
  <c r="E576" i="27"/>
  <c r="D576" i="27"/>
  <c r="E575" i="27"/>
  <c r="D575" i="27"/>
  <c r="E574" i="27"/>
  <c r="D574" i="27"/>
  <c r="E573" i="27"/>
  <c r="D573" i="27"/>
  <c r="E572" i="27"/>
  <c r="D572" i="27"/>
  <c r="E571" i="27"/>
  <c r="D571" i="27"/>
  <c r="E570" i="27"/>
  <c r="D570" i="27"/>
  <c r="E569" i="27"/>
  <c r="D569" i="27"/>
  <c r="E568" i="27"/>
  <c r="D568" i="27"/>
  <c r="E567" i="27"/>
  <c r="D567" i="27"/>
  <c r="E566" i="27"/>
  <c r="D566" i="27"/>
  <c r="E565" i="27"/>
  <c r="D565" i="27"/>
  <c r="E564" i="27"/>
  <c r="D564" i="27"/>
  <c r="E563" i="27"/>
  <c r="D563" i="27"/>
  <c r="E562" i="27"/>
  <c r="D562" i="27"/>
  <c r="E561" i="27"/>
  <c r="D561" i="27"/>
  <c r="E560" i="27"/>
  <c r="D560" i="27"/>
  <c r="E559" i="27"/>
  <c r="D559" i="27"/>
  <c r="E558" i="27"/>
  <c r="D558" i="27"/>
  <c r="E557" i="27"/>
  <c r="D557" i="27"/>
  <c r="E556" i="27"/>
  <c r="D556" i="27"/>
  <c r="E555" i="27"/>
  <c r="D555" i="27"/>
  <c r="E554" i="27"/>
  <c r="D554" i="27"/>
  <c r="E553" i="27"/>
  <c r="D553" i="27"/>
  <c r="E552" i="27"/>
  <c r="D552" i="27"/>
  <c r="E551" i="27"/>
  <c r="D551" i="27"/>
  <c r="E550" i="27"/>
  <c r="D550" i="27"/>
  <c r="E549" i="27"/>
  <c r="D549" i="27"/>
  <c r="E548" i="27"/>
  <c r="D548" i="27"/>
  <c r="E547" i="27"/>
  <c r="D547" i="27"/>
  <c r="E546" i="27"/>
  <c r="D546" i="27"/>
  <c r="E545" i="27"/>
  <c r="D545" i="27"/>
  <c r="E544" i="27"/>
  <c r="D544" i="27"/>
  <c r="E543" i="27"/>
  <c r="D543" i="27"/>
  <c r="E542" i="27"/>
  <c r="D542" i="27"/>
  <c r="E541" i="27"/>
  <c r="D541" i="27"/>
  <c r="E540" i="27"/>
  <c r="D540" i="27"/>
  <c r="E539" i="27"/>
  <c r="D539" i="27"/>
  <c r="E538" i="27"/>
  <c r="D538" i="27"/>
  <c r="E537" i="27"/>
  <c r="D537" i="27"/>
  <c r="E536" i="27"/>
  <c r="D536" i="27"/>
  <c r="E535" i="27"/>
  <c r="D535" i="27"/>
  <c r="E534" i="27"/>
  <c r="D534" i="27"/>
  <c r="E533" i="27"/>
  <c r="D533" i="27"/>
  <c r="E532" i="27"/>
  <c r="D532" i="27"/>
  <c r="E531" i="27"/>
  <c r="D531" i="27"/>
  <c r="E530" i="27"/>
  <c r="D530" i="27"/>
  <c r="E529" i="27"/>
  <c r="D529" i="27"/>
  <c r="E528" i="27"/>
  <c r="D528" i="27"/>
  <c r="E527" i="27"/>
  <c r="D527" i="27"/>
  <c r="E526" i="27"/>
  <c r="D526" i="27"/>
  <c r="E525" i="27"/>
  <c r="D525" i="27"/>
  <c r="E524" i="27"/>
  <c r="D524" i="27"/>
  <c r="E523" i="27"/>
  <c r="D523" i="27"/>
  <c r="E522" i="27"/>
  <c r="D522" i="27"/>
  <c r="E521" i="27"/>
  <c r="D521" i="27"/>
  <c r="E520" i="27"/>
  <c r="D520" i="27"/>
  <c r="E519" i="27"/>
  <c r="D519" i="27"/>
  <c r="E518" i="27"/>
  <c r="D518" i="27"/>
  <c r="E517" i="27"/>
  <c r="D517" i="27"/>
  <c r="E516" i="27"/>
  <c r="D516" i="27"/>
  <c r="E515" i="27"/>
  <c r="D515" i="27"/>
  <c r="E514" i="27"/>
  <c r="D514" i="27"/>
  <c r="E513" i="27"/>
  <c r="D513" i="27"/>
  <c r="E512" i="27"/>
  <c r="D512" i="27"/>
  <c r="E511" i="27"/>
  <c r="D511" i="27"/>
  <c r="E510" i="27"/>
  <c r="D510" i="27"/>
  <c r="E509" i="27"/>
  <c r="D509" i="27"/>
  <c r="E508" i="27"/>
  <c r="D508" i="27"/>
  <c r="E507" i="27"/>
  <c r="D507" i="27"/>
  <c r="E506" i="27"/>
  <c r="D506" i="27"/>
  <c r="E505" i="27"/>
  <c r="D505" i="27"/>
  <c r="E504" i="27"/>
  <c r="D504" i="27"/>
  <c r="E503" i="27"/>
  <c r="D503" i="27"/>
  <c r="E502" i="27"/>
  <c r="D502" i="27"/>
  <c r="E501" i="27"/>
  <c r="D501" i="27"/>
  <c r="E500" i="27"/>
  <c r="D500" i="27"/>
  <c r="E499" i="27"/>
  <c r="D499" i="27"/>
  <c r="E498" i="27"/>
  <c r="D498" i="27"/>
  <c r="E497" i="27"/>
  <c r="D497" i="27"/>
  <c r="E496" i="27"/>
  <c r="D496" i="27"/>
  <c r="E495" i="27"/>
  <c r="D495" i="27"/>
  <c r="E494" i="27"/>
  <c r="D494" i="27"/>
  <c r="E493" i="27"/>
  <c r="D493" i="27"/>
  <c r="E492" i="27"/>
  <c r="D492" i="27"/>
  <c r="E491" i="27"/>
  <c r="D491" i="27"/>
  <c r="E490" i="27"/>
  <c r="D490" i="27"/>
  <c r="E489" i="27"/>
  <c r="D489" i="27"/>
  <c r="E488" i="27"/>
  <c r="D488" i="27"/>
  <c r="E487" i="27"/>
  <c r="D487" i="27"/>
  <c r="E486" i="27"/>
  <c r="D486" i="27"/>
  <c r="E485" i="27"/>
  <c r="D485" i="27"/>
  <c r="E484" i="27"/>
  <c r="D484" i="27"/>
  <c r="E483" i="27"/>
  <c r="D483" i="27"/>
  <c r="E482" i="27"/>
  <c r="D482" i="27"/>
  <c r="E481" i="27"/>
  <c r="D481" i="27"/>
  <c r="E480" i="27"/>
  <c r="D480" i="27"/>
  <c r="E479" i="27"/>
  <c r="D479" i="27"/>
  <c r="E478" i="27"/>
  <c r="D478" i="27"/>
  <c r="E477" i="27"/>
  <c r="D477" i="27"/>
  <c r="E476" i="27"/>
  <c r="D476" i="27"/>
  <c r="E475" i="27"/>
  <c r="D475" i="27"/>
  <c r="E474" i="27"/>
  <c r="D474" i="27"/>
  <c r="E473" i="27"/>
  <c r="D473" i="27"/>
  <c r="E472" i="27"/>
  <c r="D472" i="27"/>
  <c r="E471" i="27"/>
  <c r="D471" i="27"/>
  <c r="E470" i="27"/>
  <c r="D470" i="27"/>
  <c r="E469" i="27"/>
  <c r="D469" i="27"/>
  <c r="E468" i="27"/>
  <c r="D468" i="27"/>
  <c r="E467" i="27"/>
  <c r="D467" i="27"/>
  <c r="E466" i="27"/>
  <c r="D466" i="27"/>
  <c r="E465" i="27"/>
  <c r="D465" i="27"/>
  <c r="E464" i="27"/>
  <c r="D464" i="27"/>
  <c r="E463" i="27"/>
  <c r="D463" i="27"/>
  <c r="E462" i="27"/>
  <c r="D462" i="27"/>
  <c r="E461" i="27"/>
  <c r="D461" i="27"/>
  <c r="E460" i="27"/>
  <c r="D460" i="27"/>
  <c r="E459" i="27"/>
  <c r="D459" i="27"/>
  <c r="E458" i="27"/>
  <c r="D458" i="27"/>
  <c r="E457" i="27"/>
  <c r="D457" i="27"/>
  <c r="E456" i="27"/>
  <c r="D456" i="27"/>
  <c r="E455" i="27"/>
  <c r="D455" i="27"/>
  <c r="E454" i="27"/>
  <c r="D454" i="27"/>
  <c r="E453" i="27"/>
  <c r="D453" i="27"/>
  <c r="E452" i="27"/>
  <c r="D452" i="27"/>
  <c r="E451" i="27"/>
  <c r="D451" i="27"/>
  <c r="E450" i="27"/>
  <c r="D450" i="27"/>
  <c r="E449" i="27"/>
  <c r="D449" i="27"/>
  <c r="E448" i="27"/>
  <c r="D448" i="27"/>
  <c r="E447" i="27"/>
  <c r="D447" i="27"/>
  <c r="E446" i="27"/>
  <c r="D446" i="27"/>
  <c r="E445" i="27"/>
  <c r="D445" i="27"/>
  <c r="E444" i="27"/>
  <c r="D444" i="27"/>
  <c r="E443" i="27"/>
  <c r="D443" i="27"/>
  <c r="E442" i="27"/>
  <c r="D442" i="27"/>
  <c r="E441" i="27"/>
  <c r="D441" i="27"/>
  <c r="E440" i="27"/>
  <c r="D440" i="27"/>
  <c r="E439" i="27"/>
  <c r="D439" i="27"/>
  <c r="E438" i="27"/>
  <c r="D438" i="27"/>
  <c r="E437" i="27"/>
  <c r="D437" i="27"/>
  <c r="E436" i="27"/>
  <c r="D436" i="27"/>
  <c r="E435" i="27"/>
  <c r="D435" i="27"/>
  <c r="E434" i="27"/>
  <c r="D434" i="27"/>
  <c r="E433" i="27"/>
  <c r="D433" i="27"/>
  <c r="E432" i="27"/>
  <c r="D432" i="27"/>
  <c r="E431" i="27"/>
  <c r="D431" i="27"/>
  <c r="E430" i="27"/>
  <c r="D430" i="27"/>
  <c r="E429" i="27"/>
  <c r="D429" i="27"/>
  <c r="E428" i="27"/>
  <c r="D428" i="27"/>
  <c r="E427" i="27"/>
  <c r="D427" i="27"/>
  <c r="E426" i="27"/>
  <c r="D426" i="27"/>
  <c r="E425" i="27"/>
  <c r="D425" i="27"/>
  <c r="E424" i="27"/>
  <c r="D424" i="27"/>
  <c r="E423" i="27"/>
  <c r="D423" i="27"/>
  <c r="E422" i="27"/>
  <c r="D422" i="27"/>
  <c r="E421" i="27"/>
  <c r="D421" i="27"/>
  <c r="E420" i="27"/>
  <c r="D420" i="27"/>
  <c r="E419" i="27"/>
  <c r="D419" i="27"/>
  <c r="E418" i="27"/>
  <c r="D418" i="27"/>
  <c r="E417" i="27"/>
  <c r="D417" i="27"/>
  <c r="E416" i="27"/>
  <c r="D416" i="27"/>
  <c r="E415" i="27"/>
  <c r="D415" i="27"/>
  <c r="E414" i="27"/>
  <c r="D414" i="27"/>
  <c r="E413" i="27"/>
  <c r="D413" i="27"/>
  <c r="E412" i="27"/>
  <c r="D412" i="27"/>
  <c r="E411" i="27"/>
  <c r="D411" i="27"/>
  <c r="E410" i="27"/>
  <c r="D410" i="27"/>
  <c r="E409" i="27"/>
  <c r="D409" i="27"/>
  <c r="E408" i="27"/>
  <c r="D408" i="27"/>
  <c r="E407" i="27"/>
  <c r="D407" i="27"/>
  <c r="E406" i="27"/>
  <c r="D406" i="27"/>
  <c r="E405" i="27"/>
  <c r="D405" i="27"/>
  <c r="E404" i="27"/>
  <c r="D404" i="27"/>
  <c r="E403" i="27"/>
  <c r="D403" i="27"/>
  <c r="E402" i="27"/>
  <c r="D402" i="27"/>
  <c r="E401" i="27"/>
  <c r="D401" i="27"/>
  <c r="E400" i="27"/>
  <c r="D400" i="27"/>
  <c r="E399" i="27"/>
  <c r="D399" i="27"/>
  <c r="E398" i="27"/>
  <c r="D398" i="27"/>
  <c r="E397" i="27"/>
  <c r="D397" i="27"/>
  <c r="E396" i="27"/>
  <c r="D396" i="27"/>
  <c r="E395" i="27"/>
  <c r="D395" i="27"/>
  <c r="E394" i="27"/>
  <c r="D394" i="27"/>
  <c r="E393" i="27"/>
  <c r="D393" i="27"/>
  <c r="E392" i="27"/>
  <c r="D392" i="27"/>
  <c r="E391" i="27"/>
  <c r="D391" i="27"/>
  <c r="E390" i="27"/>
  <c r="D390" i="27"/>
  <c r="E389" i="27"/>
  <c r="D389" i="27"/>
  <c r="E388" i="27"/>
  <c r="D388" i="27"/>
  <c r="E387" i="27"/>
  <c r="D387" i="27"/>
  <c r="E386" i="27"/>
  <c r="D386" i="27"/>
  <c r="E385" i="27"/>
  <c r="D385" i="27"/>
  <c r="E384" i="27"/>
  <c r="D384" i="27"/>
  <c r="E383" i="27"/>
  <c r="D383" i="27"/>
  <c r="E382" i="27"/>
  <c r="D382" i="27"/>
  <c r="E381" i="27"/>
  <c r="D381" i="27"/>
  <c r="E380" i="27"/>
  <c r="D380" i="27"/>
  <c r="E379" i="27"/>
  <c r="D379" i="27"/>
  <c r="E378" i="27"/>
  <c r="D378" i="27"/>
  <c r="E377" i="27"/>
  <c r="D377" i="27"/>
  <c r="E376" i="27"/>
  <c r="D376" i="27"/>
  <c r="E375" i="27"/>
  <c r="D375" i="27"/>
  <c r="E374" i="27"/>
  <c r="D374" i="27"/>
  <c r="E373" i="27"/>
  <c r="D373" i="27"/>
  <c r="E372" i="27"/>
  <c r="D372" i="27"/>
  <c r="E371" i="27"/>
  <c r="D371" i="27"/>
  <c r="E370" i="27"/>
  <c r="D370" i="27"/>
  <c r="E369" i="27"/>
  <c r="D369" i="27"/>
  <c r="E368" i="27"/>
  <c r="D368" i="27"/>
  <c r="E367" i="27"/>
  <c r="D367" i="27"/>
  <c r="E366" i="27"/>
  <c r="D366" i="27"/>
  <c r="E365" i="27"/>
  <c r="D365" i="27"/>
  <c r="E364" i="27"/>
  <c r="D364" i="27"/>
  <c r="E363" i="27"/>
  <c r="D363" i="27"/>
  <c r="E362" i="27"/>
  <c r="D362" i="27"/>
  <c r="E361" i="27"/>
  <c r="D361" i="27"/>
  <c r="E360" i="27"/>
  <c r="D360" i="27"/>
  <c r="E359" i="27"/>
  <c r="D359" i="27"/>
  <c r="E358" i="27"/>
  <c r="D358" i="27"/>
  <c r="E357" i="27"/>
  <c r="D357" i="27"/>
  <c r="E356" i="27"/>
  <c r="D356" i="27"/>
  <c r="E355" i="27"/>
  <c r="D355" i="27"/>
  <c r="E354" i="27"/>
  <c r="D354" i="27"/>
  <c r="E353" i="27"/>
  <c r="D353" i="27"/>
  <c r="E352" i="27"/>
  <c r="D352" i="27"/>
  <c r="E351" i="27"/>
  <c r="D351" i="27"/>
  <c r="E350" i="27"/>
  <c r="D350" i="27"/>
  <c r="E349" i="27"/>
  <c r="D349" i="27"/>
  <c r="E348" i="27"/>
  <c r="D348" i="27"/>
  <c r="E347" i="27"/>
  <c r="D347" i="27"/>
  <c r="E346" i="27"/>
  <c r="D346" i="27"/>
  <c r="E345" i="27"/>
  <c r="D345" i="27"/>
  <c r="E344" i="27"/>
  <c r="D344" i="27"/>
  <c r="E343" i="27"/>
  <c r="D343" i="27"/>
  <c r="E342" i="27"/>
  <c r="D342" i="27"/>
  <c r="E341" i="27"/>
  <c r="D341" i="27"/>
  <c r="E340" i="27"/>
  <c r="D340" i="27"/>
  <c r="E339" i="27"/>
  <c r="D339" i="27"/>
  <c r="E338" i="27"/>
  <c r="D338" i="27"/>
  <c r="E337" i="27"/>
  <c r="D337" i="27"/>
  <c r="E336" i="27"/>
  <c r="D336" i="27"/>
  <c r="E335" i="27"/>
  <c r="D335" i="27"/>
  <c r="E334" i="27"/>
  <c r="D334" i="27"/>
  <c r="E333" i="27"/>
  <c r="D333" i="27"/>
  <c r="E332" i="27"/>
  <c r="D332" i="27"/>
  <c r="E331" i="27"/>
  <c r="D331" i="27"/>
  <c r="E330" i="27"/>
  <c r="D330" i="27"/>
  <c r="E329" i="27"/>
  <c r="D329" i="27"/>
  <c r="E328" i="27"/>
  <c r="D328" i="27"/>
  <c r="E327" i="27"/>
  <c r="D327" i="27"/>
  <c r="E326" i="27"/>
  <c r="D326" i="27"/>
  <c r="E325" i="27"/>
  <c r="D325" i="27"/>
  <c r="E324" i="27"/>
  <c r="D324" i="27"/>
  <c r="E323" i="27"/>
  <c r="D323" i="27"/>
  <c r="E322" i="27"/>
  <c r="D322" i="27"/>
  <c r="E321" i="27"/>
  <c r="D321" i="27"/>
  <c r="E320" i="27"/>
  <c r="D320" i="27"/>
  <c r="E319" i="27"/>
  <c r="D319" i="27"/>
  <c r="E318" i="27"/>
  <c r="D318" i="27"/>
  <c r="E317" i="27"/>
  <c r="D317" i="27"/>
  <c r="E316" i="27"/>
  <c r="D316" i="27"/>
  <c r="E315" i="27"/>
  <c r="D315" i="27"/>
  <c r="E314" i="27"/>
  <c r="D314" i="27"/>
  <c r="E313" i="27"/>
  <c r="D313" i="27"/>
  <c r="E312" i="27"/>
  <c r="D312" i="27"/>
  <c r="E311" i="27"/>
  <c r="D311" i="27"/>
  <c r="E310" i="27"/>
  <c r="D310" i="27"/>
  <c r="E309" i="27"/>
  <c r="D309" i="27"/>
  <c r="E308" i="27"/>
  <c r="D308" i="27"/>
  <c r="E307" i="27"/>
  <c r="D307" i="27"/>
  <c r="E306" i="27"/>
  <c r="D306" i="27"/>
  <c r="E305" i="27"/>
  <c r="D305" i="27"/>
  <c r="E304" i="27"/>
  <c r="D304" i="27"/>
  <c r="E303" i="27"/>
  <c r="D303" i="27"/>
  <c r="E302" i="27"/>
  <c r="D302" i="27"/>
  <c r="E301" i="27"/>
  <c r="D301" i="27"/>
  <c r="E300" i="27"/>
  <c r="D300" i="27"/>
  <c r="E299" i="27"/>
  <c r="D299" i="27"/>
  <c r="E298" i="27"/>
  <c r="D298" i="27"/>
  <c r="E297" i="27"/>
  <c r="D297" i="27"/>
  <c r="E296" i="27"/>
  <c r="D296" i="27"/>
  <c r="E295" i="27"/>
  <c r="D295" i="27"/>
  <c r="E294" i="27"/>
  <c r="D294" i="27"/>
  <c r="E293" i="27"/>
  <c r="D293" i="27"/>
  <c r="E292" i="27"/>
  <c r="D292" i="27"/>
  <c r="E291" i="27"/>
  <c r="D291" i="27"/>
  <c r="E290" i="27"/>
  <c r="D290" i="27"/>
  <c r="E289" i="27"/>
  <c r="D289" i="27"/>
  <c r="E288" i="27"/>
  <c r="D288" i="27"/>
  <c r="E287" i="27"/>
  <c r="D287" i="27"/>
  <c r="E286" i="27"/>
  <c r="D286" i="27"/>
  <c r="E285" i="27"/>
  <c r="D285" i="27"/>
  <c r="E284" i="27"/>
  <c r="D284" i="27"/>
  <c r="E283" i="27"/>
  <c r="D283" i="27"/>
  <c r="E282" i="27"/>
  <c r="D282" i="27"/>
  <c r="E281" i="27"/>
  <c r="D281" i="27"/>
  <c r="E280" i="27"/>
  <c r="D280" i="27"/>
  <c r="E279" i="27"/>
  <c r="D279" i="27"/>
  <c r="E278" i="27"/>
  <c r="D278" i="27"/>
  <c r="E277" i="27"/>
  <c r="D277" i="27"/>
  <c r="E276" i="27"/>
  <c r="D276" i="27"/>
  <c r="E275" i="27"/>
  <c r="D275" i="27"/>
  <c r="E274" i="27"/>
  <c r="D274" i="27"/>
  <c r="E273" i="27"/>
  <c r="D273" i="27"/>
  <c r="E272" i="27"/>
  <c r="D272" i="27"/>
  <c r="E271" i="27"/>
  <c r="D271" i="27"/>
  <c r="E270" i="27"/>
  <c r="D270" i="27"/>
  <c r="E269" i="27"/>
  <c r="D269" i="27"/>
  <c r="E268" i="27"/>
  <c r="D268" i="27"/>
  <c r="E267" i="27"/>
  <c r="D267" i="27"/>
  <c r="E266" i="27"/>
  <c r="D266" i="27"/>
  <c r="E265" i="27"/>
  <c r="D265" i="27"/>
  <c r="E264" i="27"/>
  <c r="D264" i="27"/>
  <c r="E263" i="27"/>
  <c r="D263" i="27"/>
  <c r="E262" i="27"/>
  <c r="D262" i="27"/>
  <c r="E261" i="27"/>
  <c r="D261" i="27"/>
  <c r="E260" i="27"/>
  <c r="D260" i="27"/>
  <c r="E259" i="27"/>
  <c r="D259" i="27"/>
  <c r="E258" i="27"/>
  <c r="D258" i="27"/>
  <c r="E257" i="27"/>
  <c r="D257" i="27"/>
  <c r="E256" i="27"/>
  <c r="D256" i="27"/>
  <c r="E255" i="27"/>
  <c r="D255" i="27"/>
  <c r="E254" i="27"/>
  <c r="D254" i="27"/>
  <c r="E253" i="27"/>
  <c r="D253" i="27"/>
  <c r="E252" i="27"/>
  <c r="D252" i="27"/>
  <c r="E251" i="27"/>
  <c r="D251" i="27"/>
  <c r="E250" i="27"/>
  <c r="D250" i="27"/>
  <c r="E249" i="27"/>
  <c r="D249" i="27"/>
  <c r="E248" i="27"/>
  <c r="D248" i="27"/>
  <c r="E247" i="27"/>
  <c r="D247" i="27"/>
  <c r="E246" i="27"/>
  <c r="D246" i="27"/>
  <c r="E245" i="27"/>
  <c r="D245" i="27"/>
  <c r="E244" i="27"/>
  <c r="D244" i="27"/>
  <c r="E243" i="27"/>
  <c r="D243" i="27"/>
  <c r="E242" i="27"/>
  <c r="D242" i="27"/>
  <c r="E241" i="27"/>
  <c r="D241" i="27"/>
  <c r="E240" i="27"/>
  <c r="D240" i="27"/>
  <c r="E239" i="27"/>
  <c r="D239" i="27"/>
  <c r="E238" i="27"/>
  <c r="D238" i="27"/>
  <c r="E237" i="27"/>
  <c r="D237" i="27"/>
  <c r="E236" i="27"/>
  <c r="D236" i="27"/>
  <c r="E235" i="27"/>
  <c r="D235" i="27"/>
  <c r="E234" i="27"/>
  <c r="D234" i="27"/>
  <c r="E233" i="27"/>
  <c r="D233" i="27"/>
  <c r="E232" i="27"/>
  <c r="D232" i="27"/>
  <c r="E231" i="27"/>
  <c r="D231" i="27"/>
  <c r="E230" i="27"/>
  <c r="D230" i="27"/>
  <c r="E229" i="27"/>
  <c r="D229" i="27"/>
  <c r="E228" i="27"/>
  <c r="D228" i="27"/>
  <c r="E227" i="27"/>
  <c r="D227" i="27"/>
  <c r="E226" i="27"/>
  <c r="D226" i="27"/>
  <c r="E225" i="27"/>
  <c r="D225" i="27"/>
  <c r="E224" i="27"/>
  <c r="D224" i="27"/>
  <c r="E223" i="27"/>
  <c r="D223" i="27"/>
  <c r="E222" i="27"/>
  <c r="D222" i="27"/>
  <c r="E221" i="27"/>
  <c r="D221" i="27"/>
  <c r="E220" i="27"/>
  <c r="D220" i="27"/>
  <c r="E219" i="27"/>
  <c r="D219" i="27"/>
  <c r="E218" i="27"/>
  <c r="D218" i="27"/>
  <c r="E217" i="27"/>
  <c r="D217" i="27"/>
  <c r="E216" i="27"/>
  <c r="D216" i="27"/>
  <c r="E215" i="27"/>
  <c r="D215" i="27"/>
  <c r="E214" i="27"/>
  <c r="D214" i="27"/>
  <c r="E213" i="27"/>
  <c r="D213" i="27"/>
  <c r="E212" i="27"/>
  <c r="D212" i="27"/>
  <c r="E211" i="27"/>
  <c r="D211" i="27"/>
  <c r="E210" i="27"/>
  <c r="D210" i="27"/>
  <c r="E209" i="27"/>
  <c r="D209" i="27"/>
  <c r="E208" i="27"/>
  <c r="D208" i="27"/>
  <c r="E207" i="27"/>
  <c r="D207" i="27"/>
  <c r="E206" i="27"/>
  <c r="D206" i="27"/>
  <c r="E205" i="27"/>
  <c r="D205" i="27"/>
  <c r="E204" i="27"/>
  <c r="D204" i="27"/>
  <c r="E203" i="27"/>
  <c r="D203" i="27"/>
  <c r="E202" i="27"/>
  <c r="D202" i="27"/>
  <c r="E201" i="27"/>
  <c r="D201" i="27"/>
  <c r="E200" i="27"/>
  <c r="D200" i="27"/>
  <c r="E199" i="27"/>
  <c r="D199" i="27"/>
  <c r="E198" i="27"/>
  <c r="D198" i="27"/>
  <c r="E197" i="27"/>
  <c r="D197" i="27"/>
  <c r="E196" i="27"/>
  <c r="D196" i="27"/>
  <c r="E195" i="27"/>
  <c r="D195" i="27"/>
  <c r="E194" i="27"/>
  <c r="D194" i="27"/>
  <c r="E193" i="27"/>
  <c r="D193" i="27"/>
  <c r="E192" i="27"/>
  <c r="D192" i="27"/>
  <c r="E191" i="27"/>
  <c r="D191" i="27"/>
  <c r="E190" i="27"/>
  <c r="D190" i="27"/>
  <c r="E189" i="27"/>
  <c r="D189" i="27"/>
  <c r="E188" i="27"/>
  <c r="D188" i="27"/>
  <c r="E187" i="27"/>
  <c r="D187" i="27"/>
  <c r="E186" i="27"/>
  <c r="D186" i="27"/>
  <c r="E185" i="27"/>
  <c r="D185" i="27"/>
  <c r="E184" i="27"/>
  <c r="D184" i="27"/>
  <c r="E183" i="27"/>
  <c r="D183" i="27"/>
  <c r="E182" i="27"/>
  <c r="D182" i="27"/>
  <c r="E181" i="27"/>
  <c r="D181" i="27"/>
  <c r="E180" i="27"/>
  <c r="D180" i="27"/>
  <c r="E179" i="27"/>
  <c r="D179" i="27"/>
  <c r="E178" i="27"/>
  <c r="D178" i="27"/>
  <c r="E177" i="27"/>
  <c r="D177" i="27"/>
  <c r="E176" i="27"/>
  <c r="D176" i="27"/>
  <c r="E175" i="27"/>
  <c r="D175" i="27"/>
  <c r="E174" i="27"/>
  <c r="D174" i="27"/>
  <c r="E173" i="27"/>
  <c r="D173" i="27"/>
  <c r="E172" i="27"/>
  <c r="D172" i="27"/>
  <c r="E171" i="27"/>
  <c r="D171" i="27"/>
  <c r="E170" i="27"/>
  <c r="D170" i="27"/>
  <c r="E169" i="27"/>
  <c r="D169" i="27"/>
  <c r="E168" i="27"/>
  <c r="D168" i="27"/>
  <c r="E167" i="27"/>
  <c r="D167" i="27"/>
  <c r="E166" i="27"/>
  <c r="D166" i="27"/>
  <c r="E165" i="27"/>
  <c r="D165" i="27"/>
  <c r="E164" i="27"/>
  <c r="D164" i="27"/>
  <c r="E163" i="27"/>
  <c r="D163" i="27"/>
  <c r="E162" i="27"/>
  <c r="D162" i="27"/>
  <c r="E161" i="27"/>
  <c r="D161" i="27"/>
  <c r="E160" i="27"/>
  <c r="D160" i="27"/>
  <c r="E159" i="27"/>
  <c r="D159" i="27"/>
  <c r="E158" i="27"/>
  <c r="D158" i="27"/>
  <c r="E157" i="27"/>
  <c r="D157" i="27"/>
  <c r="E156" i="27"/>
  <c r="D156" i="27"/>
  <c r="E155" i="27"/>
  <c r="D155" i="27"/>
  <c r="E154" i="27"/>
  <c r="D154" i="27"/>
  <c r="E153" i="27"/>
  <c r="D153" i="27"/>
  <c r="E152" i="27"/>
  <c r="D152" i="27"/>
  <c r="E151" i="27"/>
  <c r="D151" i="27"/>
  <c r="E150" i="27"/>
  <c r="D150" i="27"/>
  <c r="E149" i="27"/>
  <c r="D149" i="27"/>
  <c r="E148" i="27"/>
  <c r="D148" i="27"/>
  <c r="E147" i="27"/>
  <c r="D147" i="27"/>
  <c r="E146" i="27"/>
  <c r="D146" i="27"/>
  <c r="E145" i="27"/>
  <c r="D145" i="27"/>
  <c r="E144" i="27"/>
  <c r="D144" i="27"/>
  <c r="E143" i="27"/>
  <c r="D143" i="27"/>
  <c r="E142" i="27"/>
  <c r="D142" i="27"/>
  <c r="E141" i="27"/>
  <c r="D141" i="27"/>
  <c r="E140" i="27"/>
  <c r="D140" i="27"/>
  <c r="E139" i="27"/>
  <c r="D139" i="27"/>
  <c r="E138" i="27"/>
  <c r="D138" i="27"/>
  <c r="E137" i="27"/>
  <c r="D137" i="27"/>
  <c r="E136" i="27"/>
  <c r="D136" i="27"/>
  <c r="E135" i="27"/>
  <c r="D135" i="27"/>
  <c r="E134" i="27"/>
  <c r="D134" i="27"/>
  <c r="E133" i="27"/>
  <c r="D133" i="27"/>
  <c r="E132" i="27"/>
  <c r="D132" i="27"/>
  <c r="E131" i="27"/>
  <c r="D131" i="27"/>
  <c r="E130" i="27"/>
  <c r="D130" i="27"/>
  <c r="E129" i="27"/>
  <c r="D129" i="27"/>
  <c r="E128" i="27"/>
  <c r="D128" i="27"/>
  <c r="E127" i="27"/>
  <c r="D127" i="27"/>
  <c r="E126" i="27"/>
  <c r="D126" i="27"/>
  <c r="E125" i="27"/>
  <c r="D125" i="27"/>
  <c r="E124" i="27"/>
  <c r="D124" i="27"/>
  <c r="E123" i="27"/>
  <c r="D123" i="27"/>
  <c r="E122" i="27"/>
  <c r="D122" i="27"/>
  <c r="E121" i="27"/>
  <c r="D121" i="27"/>
  <c r="E120" i="27"/>
  <c r="D120" i="27"/>
  <c r="E119" i="27"/>
  <c r="D119" i="27"/>
  <c r="E118" i="27"/>
  <c r="D118" i="27"/>
  <c r="E117" i="27"/>
  <c r="D117" i="27"/>
  <c r="E116" i="27"/>
  <c r="D116" i="27"/>
  <c r="E115" i="27"/>
  <c r="D115" i="27"/>
  <c r="E114" i="27"/>
  <c r="D114" i="27"/>
  <c r="E113" i="27"/>
  <c r="D113" i="27"/>
  <c r="E112" i="27"/>
  <c r="D112" i="27"/>
  <c r="E111" i="27"/>
  <c r="D111" i="27"/>
  <c r="E110" i="27"/>
  <c r="D110" i="27"/>
  <c r="E109" i="27"/>
  <c r="D109" i="27"/>
  <c r="E108" i="27"/>
  <c r="D108" i="27"/>
  <c r="E107" i="27"/>
  <c r="D107" i="27"/>
  <c r="E106" i="27"/>
  <c r="D106" i="27"/>
  <c r="E105" i="27"/>
  <c r="D105" i="27"/>
  <c r="E104" i="27"/>
  <c r="D104" i="27"/>
  <c r="E103" i="27"/>
  <c r="D103" i="27"/>
  <c r="E102" i="27"/>
  <c r="D102" i="27"/>
  <c r="E101" i="27"/>
  <c r="D101" i="27"/>
  <c r="E100" i="27"/>
  <c r="D100" i="27"/>
  <c r="E99" i="27"/>
  <c r="D99" i="27"/>
  <c r="E98" i="27"/>
  <c r="D98" i="27"/>
  <c r="E97" i="27"/>
  <c r="D97" i="27"/>
  <c r="E96" i="27"/>
  <c r="D96" i="27"/>
  <c r="E95" i="27"/>
  <c r="D95" i="27"/>
  <c r="E94" i="27"/>
  <c r="D94" i="27"/>
  <c r="E93" i="27"/>
  <c r="D93" i="27"/>
  <c r="E92" i="27"/>
  <c r="D92" i="27"/>
  <c r="E91" i="27"/>
  <c r="D91" i="27"/>
  <c r="E90" i="27"/>
  <c r="D90" i="27"/>
  <c r="E89" i="27"/>
  <c r="D89" i="27"/>
  <c r="E88" i="27"/>
  <c r="D88" i="27"/>
  <c r="E87" i="27"/>
  <c r="D87" i="27"/>
  <c r="E86" i="27"/>
  <c r="D86" i="27"/>
  <c r="E85" i="27"/>
  <c r="D85" i="27"/>
  <c r="E84" i="27"/>
  <c r="D84" i="27"/>
  <c r="E83" i="27"/>
  <c r="D83" i="27"/>
  <c r="E82" i="27"/>
  <c r="D82" i="27"/>
  <c r="E81" i="27"/>
  <c r="D81" i="27"/>
  <c r="E80" i="27"/>
  <c r="D80" i="27"/>
  <c r="E79" i="27"/>
  <c r="D79" i="27"/>
  <c r="E78" i="27"/>
  <c r="D78" i="27"/>
  <c r="E77" i="27"/>
  <c r="D77" i="27"/>
  <c r="E76" i="27"/>
  <c r="D76" i="27"/>
  <c r="E75" i="27"/>
  <c r="D75" i="27"/>
  <c r="E74" i="27"/>
  <c r="D74" i="27"/>
  <c r="E73" i="27"/>
  <c r="D73" i="27"/>
  <c r="E72" i="27"/>
  <c r="D72" i="27"/>
  <c r="E71" i="27"/>
  <c r="D71" i="27"/>
  <c r="E70" i="27"/>
  <c r="D70" i="27"/>
  <c r="E69" i="27"/>
  <c r="D69" i="27"/>
  <c r="E68" i="27"/>
  <c r="D68" i="27"/>
  <c r="E67" i="27"/>
  <c r="D67" i="27"/>
  <c r="E66" i="27"/>
  <c r="D66" i="27"/>
  <c r="E65" i="27"/>
  <c r="D65" i="27"/>
  <c r="E64" i="27"/>
  <c r="D64" i="27"/>
  <c r="E63" i="27"/>
  <c r="D63" i="27"/>
  <c r="E62" i="27"/>
  <c r="D62" i="27"/>
  <c r="E61" i="27"/>
  <c r="D61" i="27"/>
  <c r="E60" i="27"/>
  <c r="D60" i="27"/>
  <c r="E59" i="27"/>
  <c r="D59" i="27"/>
  <c r="E58" i="27"/>
  <c r="D58" i="27"/>
  <c r="E57" i="27"/>
  <c r="D57" i="27"/>
  <c r="E56" i="27"/>
  <c r="D56" i="27"/>
  <c r="E55" i="27"/>
  <c r="D55" i="27"/>
  <c r="E54" i="27"/>
  <c r="D54" i="27"/>
  <c r="E53" i="27"/>
  <c r="D53" i="27"/>
  <c r="E52" i="27"/>
  <c r="D52" i="27"/>
  <c r="E51" i="27"/>
  <c r="D51" i="27"/>
  <c r="E50" i="27"/>
  <c r="D50" i="27"/>
  <c r="E49" i="27"/>
  <c r="D49" i="27"/>
  <c r="E48" i="27"/>
  <c r="D48" i="27"/>
  <c r="E47" i="27"/>
  <c r="D47" i="27"/>
  <c r="E46" i="27"/>
  <c r="D46" i="27"/>
  <c r="E45" i="27"/>
  <c r="D45" i="27"/>
  <c r="E44" i="27"/>
  <c r="D44" i="27"/>
  <c r="E43" i="27"/>
  <c r="D43" i="27"/>
  <c r="E42" i="27"/>
  <c r="D42" i="27"/>
  <c r="E41" i="27"/>
  <c r="D41" i="27"/>
  <c r="E40" i="27"/>
  <c r="D40" i="27"/>
  <c r="E39" i="27"/>
  <c r="D39" i="27"/>
  <c r="E38" i="27"/>
  <c r="D38" i="27"/>
  <c r="E37" i="27"/>
  <c r="D37" i="27"/>
  <c r="E36" i="27"/>
  <c r="D36" i="27"/>
  <c r="E35" i="27"/>
  <c r="D35" i="27"/>
  <c r="E34" i="27"/>
  <c r="D34" i="27"/>
  <c r="E33" i="27"/>
  <c r="D33" i="27"/>
  <c r="E32" i="27"/>
  <c r="D32" i="27"/>
  <c r="E31" i="27"/>
  <c r="D31" i="27"/>
  <c r="E30" i="27"/>
  <c r="D30" i="27"/>
  <c r="E29" i="27"/>
  <c r="D29" i="27"/>
  <c r="E28" i="27"/>
  <c r="D28" i="27"/>
  <c r="E27" i="27"/>
  <c r="D27" i="27"/>
  <c r="E26" i="27"/>
  <c r="D26" i="27"/>
  <c r="E25" i="27"/>
  <c r="D25" i="27"/>
  <c r="E24" i="27"/>
  <c r="D24" i="27"/>
  <c r="E23" i="27"/>
  <c r="D23" i="27"/>
  <c r="E22" i="27"/>
  <c r="D22" i="27"/>
  <c r="E21" i="27"/>
  <c r="D21" i="27"/>
  <c r="E20" i="27"/>
  <c r="D20" i="27"/>
  <c r="E19" i="27"/>
  <c r="D19" i="27"/>
  <c r="E18" i="27"/>
  <c r="D18" i="27"/>
  <c r="E17" i="27"/>
  <c r="D17" i="27"/>
  <c r="E16" i="27"/>
  <c r="D16" i="27"/>
  <c r="E15" i="27"/>
  <c r="D15" i="27"/>
  <c r="E14" i="27"/>
  <c r="D14" i="27"/>
  <c r="E13" i="27"/>
  <c r="D13" i="27"/>
  <c r="E12" i="27"/>
  <c r="D12" i="27"/>
  <c r="E11" i="27"/>
  <c r="D11" i="27"/>
  <c r="E10" i="27"/>
  <c r="D10" i="27"/>
  <c r="E9" i="27"/>
  <c r="D9" i="27"/>
  <c r="E8" i="27"/>
  <c r="D8" i="27"/>
  <c r="E7" i="27"/>
  <c r="D7" i="27"/>
  <c r="E6" i="27"/>
  <c r="D6" i="27"/>
  <c r="E5" i="27"/>
  <c r="D5" i="27"/>
  <c r="D5" i="28"/>
  <c r="D6" i="28"/>
  <c r="D7" i="28"/>
  <c r="D8" i="28"/>
  <c r="D9" i="28"/>
  <c r="D10" i="28"/>
  <c r="D11" i="28"/>
  <c r="D12" i="28"/>
  <c r="D13" i="28"/>
  <c r="D14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3" i="28"/>
  <c r="D244" i="28"/>
  <c r="D245" i="28"/>
  <c r="D246" i="28"/>
  <c r="D247" i="28"/>
  <c r="D248" i="28"/>
  <c r="D249" i="28"/>
  <c r="D250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D380" i="28"/>
  <c r="D381" i="28"/>
  <c r="D382" i="28"/>
  <c r="D383" i="28"/>
  <c r="D384" i="28"/>
  <c r="D385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D400" i="28"/>
  <c r="D401" i="28"/>
  <c r="D402" i="28"/>
  <c r="D403" i="28"/>
  <c r="D404" i="28"/>
  <c r="D405" i="28"/>
  <c r="D406" i="28"/>
  <c r="D407" i="28"/>
  <c r="D408" i="28"/>
  <c r="D409" i="28"/>
  <c r="D410" i="28"/>
  <c r="D412" i="28"/>
  <c r="D413" i="28"/>
  <c r="D414" i="28"/>
  <c r="D415" i="28"/>
  <c r="D416" i="28"/>
  <c r="D417" i="28"/>
  <c r="D418" i="28"/>
  <c r="D419" i="28"/>
  <c r="D420" i="28"/>
  <c r="D421" i="28"/>
  <c r="D422" i="28"/>
  <c r="D423" i="28"/>
  <c r="D424" i="28"/>
  <c r="D425" i="28"/>
  <c r="D426" i="28"/>
  <c r="D427" i="28"/>
  <c r="D428" i="28"/>
  <c r="D429" i="28"/>
  <c r="D430" i="28"/>
  <c r="D431" i="28"/>
  <c r="D432" i="28"/>
  <c r="D433" i="28"/>
  <c r="D434" i="28"/>
  <c r="D435" i="28"/>
  <c r="D436" i="28"/>
  <c r="D437" i="28"/>
  <c r="D438" i="28"/>
  <c r="D439" i="28"/>
  <c r="D440" i="28"/>
  <c r="D441" i="28"/>
  <c r="D442" i="28"/>
  <c r="D443" i="28"/>
  <c r="D444" i="28"/>
  <c r="D445" i="28"/>
  <c r="D446" i="28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D478" i="28"/>
  <c r="D479" i="28"/>
  <c r="D480" i="28"/>
  <c r="D481" i="28"/>
  <c r="D482" i="28"/>
  <c r="D483" i="28"/>
  <c r="D484" i="28"/>
  <c r="D485" i="28"/>
  <c r="D486" i="28"/>
  <c r="D487" i="28"/>
  <c r="D488" i="28"/>
  <c r="D489" i="28"/>
  <c r="D490" i="28"/>
  <c r="D491" i="28"/>
  <c r="D492" i="28"/>
  <c r="D493" i="28"/>
  <c r="D494" i="28"/>
  <c r="D495" i="28"/>
  <c r="D496" i="28"/>
  <c r="D497" i="28"/>
  <c r="D498" i="28"/>
  <c r="D499" i="28"/>
  <c r="D500" i="28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D527" i="28"/>
  <c r="D528" i="28"/>
  <c r="D529" i="28"/>
  <c r="D530" i="28"/>
  <c r="D531" i="28"/>
  <c r="D532" i="28"/>
  <c r="D533" i="28"/>
  <c r="D534" i="28"/>
  <c r="D535" i="28"/>
  <c r="D536" i="28"/>
  <c r="D537" i="28"/>
  <c r="D538" i="28"/>
  <c r="D539" i="28"/>
  <c r="D540" i="28"/>
  <c r="D541" i="28"/>
  <c r="D542" i="28"/>
  <c r="D543" i="28"/>
  <c r="D544" i="28"/>
  <c r="D545" i="28"/>
  <c r="D546" i="28"/>
  <c r="D547" i="28"/>
  <c r="D548" i="28"/>
  <c r="D549" i="28"/>
  <c r="D550" i="28"/>
  <c r="D551" i="28"/>
  <c r="D552" i="28"/>
  <c r="D553" i="28"/>
  <c r="D554" i="28"/>
  <c r="D555" i="28"/>
  <c r="D556" i="28"/>
  <c r="D557" i="28"/>
  <c r="D558" i="28"/>
  <c r="D559" i="28"/>
  <c r="D560" i="28"/>
  <c r="D561" i="28"/>
  <c r="D562" i="28"/>
  <c r="D563" i="28"/>
  <c r="D564" i="28"/>
  <c r="D565" i="28"/>
  <c r="D566" i="28"/>
  <c r="D567" i="28"/>
  <c r="D568" i="28"/>
  <c r="D569" i="28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D602" i="28"/>
  <c r="D603" i="28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D616" i="28"/>
  <c r="D617" i="28"/>
  <c r="D618" i="28"/>
  <c r="D619" i="28"/>
  <c r="D620" i="28"/>
  <c r="D621" i="28"/>
  <c r="D622" i="28"/>
  <c r="D623" i="28"/>
  <c r="D624" i="28"/>
  <c r="D625" i="28"/>
  <c r="D626" i="28"/>
  <c r="D627" i="28"/>
  <c r="D628" i="28"/>
  <c r="D629" i="28"/>
  <c r="D630" i="28"/>
  <c r="D631" i="28"/>
  <c r="D632" i="28"/>
  <c r="D633" i="28"/>
  <c r="D634" i="28"/>
  <c r="D635" i="28"/>
  <c r="D636" i="28"/>
  <c r="D637" i="28"/>
  <c r="D638" i="28"/>
  <c r="D639" i="28"/>
  <c r="D640" i="28"/>
  <c r="D641" i="28"/>
  <c r="D642" i="28"/>
  <c r="D643" i="28"/>
  <c r="D644" i="28"/>
  <c r="D645" i="28"/>
  <c r="D646" i="28"/>
  <c r="D647" i="28"/>
  <c r="D648" i="28"/>
  <c r="D649" i="28"/>
  <c r="D650" i="28"/>
  <c r="D651" i="28"/>
  <c r="D652" i="28"/>
  <c r="D653" i="28"/>
  <c r="D654" i="28"/>
  <c r="D655" i="28"/>
  <c r="D656" i="28"/>
  <c r="D658" i="28"/>
  <c r="D659" i="28"/>
  <c r="D660" i="28"/>
  <c r="D661" i="28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D676" i="28"/>
  <c r="D677" i="28"/>
  <c r="D678" i="28"/>
  <c r="D679" i="28"/>
  <c r="D680" i="28"/>
  <c r="D681" i="28"/>
  <c r="D682" i="28"/>
  <c r="D683" i="28"/>
  <c r="D684" i="28"/>
  <c r="D685" i="28"/>
  <c r="D686" i="28"/>
  <c r="D687" i="28"/>
  <c r="D688" i="28"/>
  <c r="D689" i="28"/>
  <c r="D690" i="28"/>
  <c r="D691" i="28"/>
  <c r="D692" i="28"/>
  <c r="D693" i="28"/>
  <c r="D694" i="28"/>
  <c r="D695" i="28"/>
  <c r="D696" i="28"/>
  <c r="D697" i="28"/>
  <c r="D698" i="28"/>
  <c r="D699" i="28"/>
  <c r="D700" i="28"/>
  <c r="D701" i="28"/>
  <c r="D702" i="28"/>
  <c r="D703" i="28"/>
  <c r="D704" i="28"/>
  <c r="D705" i="28"/>
  <c r="D706" i="28"/>
  <c r="D707" i="28"/>
  <c r="D709" i="28"/>
  <c r="D710" i="28"/>
  <c r="D711" i="28"/>
  <c r="D712" i="28"/>
  <c r="D713" i="28"/>
  <c r="D714" i="28"/>
  <c r="D715" i="28"/>
  <c r="D716" i="28"/>
  <c r="D717" i="28"/>
  <c r="D718" i="28"/>
  <c r="D719" i="28"/>
  <c r="D720" i="28"/>
  <c r="D721" i="28"/>
  <c r="D722" i="28"/>
  <c r="D723" i="28"/>
  <c r="D724" i="28"/>
  <c r="D725" i="28"/>
  <c r="D726" i="28"/>
  <c r="D727" i="28"/>
  <c r="D728" i="28"/>
  <c r="D729" i="28"/>
  <c r="D730" i="28"/>
  <c r="D731" i="28"/>
  <c r="D732" i="28"/>
  <c r="D733" i="28"/>
  <c r="D734" i="28"/>
  <c r="D735" i="28"/>
  <c r="D736" i="28"/>
  <c r="D737" i="28"/>
  <c r="D738" i="28"/>
  <c r="D739" i="28"/>
  <c r="D740" i="28"/>
  <c r="D741" i="28"/>
  <c r="D742" i="28"/>
  <c r="D743" i="28"/>
  <c r="D744" i="28"/>
  <c r="D745" i="28"/>
  <c r="D746" i="28"/>
  <c r="D747" i="28"/>
  <c r="D748" i="28"/>
  <c r="D749" i="28"/>
  <c r="D750" i="28"/>
  <c r="D751" i="28"/>
  <c r="D752" i="28"/>
  <c r="D753" i="28"/>
  <c r="D754" i="28"/>
  <c r="D755" i="28"/>
  <c r="D756" i="28"/>
  <c r="D757" i="28"/>
  <c r="D758" i="28"/>
  <c r="D759" i="28"/>
  <c r="D760" i="28"/>
  <c r="D761" i="28"/>
  <c r="D762" i="28"/>
  <c r="D763" i="28"/>
  <c r="D764" i="28"/>
  <c r="D765" i="28"/>
  <c r="D766" i="28"/>
  <c r="D767" i="28"/>
  <c r="D768" i="28"/>
  <c r="D769" i="28"/>
  <c r="D770" i="28"/>
  <c r="D772" i="28"/>
  <c r="D773" i="28"/>
  <c r="D775" i="28"/>
  <c r="D776" i="28"/>
  <c r="D777" i="28"/>
  <c r="D778" i="28"/>
  <c r="D779" i="28"/>
  <c r="D780" i="28"/>
  <c r="D781" i="28"/>
  <c r="D782" i="28"/>
  <c r="D783" i="28"/>
  <c r="D784" i="28"/>
  <c r="D785" i="28"/>
  <c r="D786" i="28"/>
  <c r="D787" i="28"/>
  <c r="D789" i="28"/>
  <c r="D790" i="28"/>
  <c r="D791" i="28"/>
  <c r="D792" i="28"/>
  <c r="D793" i="28"/>
  <c r="D794" i="28"/>
  <c r="D795" i="28"/>
  <c r="D796" i="28"/>
  <c r="D797" i="28"/>
  <c r="D798" i="28"/>
  <c r="D799" i="28"/>
  <c r="D800" i="28"/>
  <c r="D801" i="28"/>
  <c r="D802" i="28"/>
  <c r="D803" i="28"/>
  <c r="D804" i="28"/>
  <c r="D805" i="28"/>
  <c r="D806" i="28"/>
  <c r="D807" i="28"/>
  <c r="D808" i="28"/>
  <c r="D809" i="28"/>
  <c r="D810" i="28"/>
  <c r="D811" i="28"/>
  <c r="D812" i="28"/>
  <c r="D813" i="28"/>
  <c r="D814" i="28"/>
  <c r="D815" i="28"/>
  <c r="D816" i="28"/>
  <c r="D817" i="28"/>
  <c r="D818" i="28"/>
  <c r="D819" i="28"/>
  <c r="D820" i="28"/>
  <c r="D821" i="28"/>
  <c r="D822" i="28"/>
  <c r="D823" i="28"/>
  <c r="D824" i="28"/>
  <c r="D825" i="28"/>
  <c r="D826" i="28"/>
  <c r="D827" i="28"/>
  <c r="D828" i="28"/>
  <c r="D829" i="28"/>
  <c r="D830" i="28"/>
  <c r="D831" i="28"/>
  <c r="D832" i="28"/>
  <c r="D833" i="28"/>
  <c r="D834" i="28"/>
  <c r="D835" i="28"/>
  <c r="D836" i="28"/>
  <c r="D837" i="28"/>
  <c r="D838" i="28"/>
  <c r="D839" i="28"/>
  <c r="D840" i="28"/>
  <c r="D841" i="28"/>
  <c r="D842" i="28"/>
  <c r="D843" i="28"/>
  <c r="D844" i="28"/>
  <c r="D845" i="28"/>
  <c r="D846" i="28"/>
  <c r="D847" i="28"/>
  <c r="D848" i="28"/>
  <c r="D849" i="28"/>
  <c r="D850" i="28"/>
  <c r="D851" i="28"/>
  <c r="D852" i="28"/>
  <c r="D853" i="28"/>
  <c r="D854" i="28"/>
  <c r="D855" i="28"/>
  <c r="D857" i="28"/>
  <c r="D858" i="28"/>
  <c r="D860" i="28"/>
  <c r="D861" i="28"/>
  <c r="D862" i="28"/>
  <c r="D863" i="28"/>
  <c r="D864" i="28"/>
  <c r="D865" i="28"/>
  <c r="D866" i="28"/>
  <c r="D867" i="28"/>
  <c r="D868" i="28"/>
  <c r="D869" i="28"/>
  <c r="D870" i="28"/>
  <c r="D871" i="28"/>
  <c r="D872" i="28"/>
  <c r="D873" i="28"/>
  <c r="D874" i="28"/>
  <c r="D875" i="28"/>
  <c r="D876" i="28"/>
  <c r="D877" i="28"/>
  <c r="D878" i="28"/>
  <c r="D879" i="28"/>
  <c r="D880" i="28"/>
  <c r="D881" i="28"/>
  <c r="D882" i="28"/>
  <c r="D883" i="28"/>
  <c r="D884" i="28"/>
  <c r="D885" i="28"/>
  <c r="D886" i="28"/>
  <c r="D887" i="28"/>
  <c r="D888" i="28"/>
  <c r="D889" i="28"/>
  <c r="D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905" i="28"/>
  <c r="D906" i="28"/>
  <c r="D907" i="28"/>
  <c r="D908" i="28"/>
  <c r="D909" i="28"/>
  <c r="D910" i="28"/>
  <c r="D912" i="28"/>
  <c r="D913" i="28"/>
  <c r="D914" i="28"/>
  <c r="D915" i="28"/>
  <c r="D916" i="28"/>
  <c r="D917" i="28"/>
  <c r="D918" i="28"/>
  <c r="D919" i="28"/>
  <c r="D920" i="28"/>
  <c r="D921" i="28"/>
  <c r="D922" i="28"/>
  <c r="D923" i="28"/>
  <c r="D924" i="28"/>
  <c r="D925" i="28"/>
  <c r="D926" i="28"/>
  <c r="D927" i="28"/>
  <c r="D928" i="28"/>
  <c r="D929" i="28"/>
  <c r="D930" i="28"/>
  <c r="D931" i="28"/>
  <c r="D932" i="28"/>
  <c r="D933" i="28"/>
  <c r="D934" i="28"/>
  <c r="D935" i="28"/>
  <c r="D936" i="28"/>
  <c r="D937" i="28"/>
  <c r="D938" i="28"/>
  <c r="D939" i="28"/>
  <c r="D940" i="28"/>
  <c r="D941" i="28"/>
  <c r="D942" i="28"/>
  <c r="D943" i="28"/>
  <c r="D944" i="28"/>
  <c r="D945" i="28"/>
  <c r="D946" i="28"/>
  <c r="D947" i="28"/>
  <c r="D948" i="28"/>
  <c r="D949" i="28"/>
  <c r="D950" i="28"/>
  <c r="D951" i="28"/>
  <c r="D952" i="28"/>
  <c r="D953" i="28"/>
  <c r="D954" i="28"/>
  <c r="D955" i="28"/>
  <c r="D956" i="28"/>
  <c r="D957" i="28"/>
  <c r="D958" i="28"/>
  <c r="D959" i="28"/>
  <c r="D960" i="28"/>
  <c r="D961" i="28"/>
  <c r="D962" i="28"/>
  <c r="D963" i="28"/>
  <c r="D964" i="28"/>
  <c r="D965" i="28"/>
  <c r="D966" i="28"/>
  <c r="D967" i="28"/>
  <c r="D968" i="28"/>
  <c r="D969" i="28"/>
  <c r="D970" i="28"/>
  <c r="D971" i="28"/>
  <c r="D972" i="28"/>
  <c r="D973" i="28"/>
  <c r="D974" i="28"/>
  <c r="D975" i="28"/>
  <c r="D976" i="28"/>
  <c r="D977" i="28"/>
  <c r="D978" i="28"/>
  <c r="D979" i="28"/>
  <c r="D980" i="28"/>
  <c r="D981" i="28"/>
  <c r="D982" i="28"/>
  <c r="D983" i="28"/>
  <c r="D984" i="28"/>
  <c r="D986" i="28"/>
  <c r="D987" i="28"/>
  <c r="D988" i="28"/>
  <c r="D989" i="28"/>
  <c r="D990" i="28"/>
  <c r="D991" i="28"/>
  <c r="D992" i="28"/>
  <c r="D993" i="28"/>
  <c r="D994" i="28"/>
  <c r="D995" i="28"/>
  <c r="D996" i="28"/>
  <c r="D997" i="28"/>
  <c r="D998" i="28"/>
  <c r="D999" i="28"/>
  <c r="D1000" i="28"/>
  <c r="D1001" i="28"/>
  <c r="D1002" i="28"/>
  <c r="D1003" i="28"/>
  <c r="D1004" i="28"/>
  <c r="D1005" i="28"/>
  <c r="D1006" i="28"/>
  <c r="D1007" i="28"/>
  <c r="D1008" i="28"/>
  <c r="D1009" i="28"/>
  <c r="D1011" i="28"/>
  <c r="D1012" i="28"/>
  <c r="D1013" i="28"/>
  <c r="D1014" i="28"/>
  <c r="D1015" i="28"/>
  <c r="D1016" i="28"/>
  <c r="D1017" i="28"/>
  <c r="D1018" i="28"/>
  <c r="D1019" i="28"/>
  <c r="D1020" i="28"/>
  <c r="D1021" i="28"/>
  <c r="D1022" i="28"/>
  <c r="D1023" i="28"/>
  <c r="D1024" i="28"/>
  <c r="D1025" i="28"/>
  <c r="D1026" i="28"/>
  <c r="D1027" i="28"/>
  <c r="D1028" i="28"/>
  <c r="D1029" i="28"/>
  <c r="D1030" i="28"/>
  <c r="D1031" i="28"/>
  <c r="D1032" i="28"/>
  <c r="D1033" i="28"/>
  <c r="D1034" i="28"/>
  <c r="D1035" i="28"/>
  <c r="D1036" i="28"/>
  <c r="D1037" i="28"/>
  <c r="D1038" i="28"/>
  <c r="D1039" i="28"/>
  <c r="D1040" i="28"/>
  <c r="D1041" i="28"/>
  <c r="D1042" i="28"/>
  <c r="D1043" i="28"/>
  <c r="D1044" i="28"/>
  <c r="D1045" i="28"/>
  <c r="D1046" i="28"/>
  <c r="D1047" i="28"/>
  <c r="D1048" i="28"/>
  <c r="D1049" i="28"/>
  <c r="D1050" i="28"/>
  <c r="D1051" i="28"/>
  <c r="D1052" i="28"/>
  <c r="D1053" i="28"/>
  <c r="D1054" i="28"/>
  <c r="D1055" i="28"/>
  <c r="D1056" i="28"/>
  <c r="D1057" i="28"/>
  <c r="D1058" i="28"/>
  <c r="D1059" i="28"/>
  <c r="D1060" i="28"/>
  <c r="D1061" i="28"/>
  <c r="D1062" i="28"/>
  <c r="D1063" i="28"/>
  <c r="D1064" i="28"/>
  <c r="D1065" i="28"/>
  <c r="D1066" i="28"/>
  <c r="D1067" i="28"/>
  <c r="D1068" i="28"/>
  <c r="D1069" i="28"/>
  <c r="D1070" i="28"/>
  <c r="D1071" i="28"/>
  <c r="D1072" i="28"/>
  <c r="D1073" i="28"/>
  <c r="D1074" i="28"/>
  <c r="D1075" i="28"/>
  <c r="D1076" i="28"/>
  <c r="D1077" i="28"/>
  <c r="D1078" i="28"/>
  <c r="D1079" i="28"/>
  <c r="D1081" i="28"/>
  <c r="D1082" i="28"/>
  <c r="D1083" i="28"/>
  <c r="D1084" i="28"/>
  <c r="D1085" i="28"/>
  <c r="D1086" i="28"/>
  <c r="D1087" i="28"/>
  <c r="D1088" i="28"/>
  <c r="D1090" i="28"/>
  <c r="D1091" i="28"/>
  <c r="D1092" i="28"/>
  <c r="D1093" i="28"/>
  <c r="D1094" i="28"/>
  <c r="D1095" i="28"/>
  <c r="D1096" i="28"/>
  <c r="D1097" i="28"/>
  <c r="D1098" i="28"/>
  <c r="D1099" i="28"/>
  <c r="D1100" i="28"/>
  <c r="D1101" i="28"/>
  <c r="D1102" i="28"/>
  <c r="D1103" i="28"/>
  <c r="D1104" i="28"/>
  <c r="D1105" i="28"/>
  <c r="D1106" i="28"/>
  <c r="D1107" i="28"/>
  <c r="D1108" i="28"/>
  <c r="D1109" i="28"/>
  <c r="D1110" i="28"/>
  <c r="D1111" i="28"/>
  <c r="D1112" i="28"/>
  <c r="D1113" i="28"/>
  <c r="D1114" i="28"/>
  <c r="D1115" i="28"/>
  <c r="D1116" i="28"/>
  <c r="D1117" i="28"/>
  <c r="D1118" i="28"/>
  <c r="D1119" i="28"/>
  <c r="D1120" i="28"/>
  <c r="D1121" i="28"/>
  <c r="D1122" i="28"/>
  <c r="D1123" i="28"/>
  <c r="D1124" i="28"/>
  <c r="D1125" i="28"/>
  <c r="D1126" i="28"/>
  <c r="D1127" i="28"/>
  <c r="D1128" i="28"/>
  <c r="D1129" i="28"/>
  <c r="D1130" i="28"/>
  <c r="D1131" i="28"/>
  <c r="D1132" i="28"/>
  <c r="D1133" i="28"/>
  <c r="D1134" i="28"/>
  <c r="D1135" i="28"/>
  <c r="D1136" i="28"/>
  <c r="D1137" i="28"/>
  <c r="D1138" i="28"/>
  <c r="D1139" i="28"/>
  <c r="D1140" i="28"/>
  <c r="D1141" i="28"/>
  <c r="D1142" i="28"/>
  <c r="D1143" i="28"/>
  <c r="D1144" i="28"/>
  <c r="D1145" i="28"/>
  <c r="D1146" i="28"/>
  <c r="D1147" i="28"/>
  <c r="D1148" i="28"/>
  <c r="D1149" i="28"/>
  <c r="D1150" i="28"/>
  <c r="D1151" i="28"/>
  <c r="D1152" i="28"/>
  <c r="D1153" i="28"/>
  <c r="D1154" i="28"/>
  <c r="D1155" i="28"/>
  <c r="D1156" i="28"/>
  <c r="D1157" i="28"/>
  <c r="D1158" i="28"/>
  <c r="D1159" i="28"/>
  <c r="D1160" i="28"/>
  <c r="D1161" i="28"/>
  <c r="D1162" i="28"/>
  <c r="D1163" i="28"/>
  <c r="D1164" i="28"/>
  <c r="D1165" i="28"/>
  <c r="D1166" i="28"/>
  <c r="D1167" i="28"/>
  <c r="D1168" i="28"/>
  <c r="D1169" i="28"/>
  <c r="D1170" i="28"/>
  <c r="D1171" i="28"/>
  <c r="D1172" i="28"/>
  <c r="D1173" i="28"/>
  <c r="D1175" i="28"/>
  <c r="D1176" i="28"/>
  <c r="D1177" i="28"/>
  <c r="D1178" i="28"/>
  <c r="D1179" i="28"/>
  <c r="D1180" i="28"/>
  <c r="D1181" i="28"/>
  <c r="D1182" i="28"/>
  <c r="D1183" i="28"/>
  <c r="D1184" i="28"/>
  <c r="D1185" i="28"/>
  <c r="D1186" i="28"/>
  <c r="D1187" i="28"/>
  <c r="D1188" i="28"/>
  <c r="D1189" i="28"/>
  <c r="D1190" i="28"/>
  <c r="D1191" i="28"/>
  <c r="D1192" i="28"/>
  <c r="D1193" i="28"/>
  <c r="D1194" i="28"/>
  <c r="D1195" i="28"/>
  <c r="D1196" i="28"/>
  <c r="D1197" i="28"/>
  <c r="D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83" i="28"/>
  <c r="H84" i="28"/>
  <c r="H85" i="28"/>
  <c r="H86" i="28"/>
  <c r="H87" i="28"/>
  <c r="H88" i="28"/>
  <c r="H89" i="28"/>
  <c r="H90" i="28"/>
  <c r="H91" i="28"/>
  <c r="H92" i="28"/>
  <c r="H93" i="28"/>
  <c r="H94" i="28"/>
  <c r="H95" i="28"/>
  <c r="H96" i="28"/>
  <c r="H97" i="28"/>
  <c r="H98" i="28"/>
  <c r="H99" i="28"/>
  <c r="H100" i="28"/>
  <c r="H101" i="28"/>
  <c r="H102" i="28"/>
  <c r="H103" i="28"/>
  <c r="H104" i="28"/>
  <c r="H105" i="28"/>
  <c r="H106" i="28"/>
  <c r="H107" i="28"/>
  <c r="H108" i="28"/>
  <c r="H109" i="28"/>
  <c r="H110" i="28"/>
  <c r="H111" i="28"/>
  <c r="H112" i="28"/>
  <c r="H113" i="28"/>
  <c r="H114" i="28"/>
  <c r="H115" i="28"/>
  <c r="H116" i="28"/>
  <c r="H117" i="28"/>
  <c r="H118" i="28"/>
  <c r="H119" i="28"/>
  <c r="H120" i="28"/>
  <c r="H121" i="28"/>
  <c r="H122" i="28"/>
  <c r="H123" i="28"/>
  <c r="H124" i="28"/>
  <c r="H125" i="28"/>
  <c r="H126" i="28"/>
  <c r="H127" i="28"/>
  <c r="H128" i="28"/>
  <c r="H129" i="28"/>
  <c r="H130" i="28"/>
  <c r="H131" i="28"/>
  <c r="H132" i="28"/>
  <c r="H133" i="28"/>
  <c r="H134" i="28"/>
  <c r="H135" i="28"/>
  <c r="H136" i="28"/>
  <c r="H137" i="28"/>
  <c r="H138" i="28"/>
  <c r="H139" i="28"/>
  <c r="H140" i="28"/>
  <c r="H141" i="28"/>
  <c r="H142" i="28"/>
  <c r="H143" i="28"/>
  <c r="H144" i="28"/>
  <c r="H145" i="28"/>
  <c r="H146" i="28"/>
  <c r="H147" i="28"/>
  <c r="H148" i="28"/>
  <c r="H149" i="28"/>
  <c r="H150" i="28"/>
  <c r="H151" i="28"/>
  <c r="H152" i="28"/>
  <c r="H153" i="28"/>
  <c r="H154" i="28"/>
  <c r="H155" i="28"/>
  <c r="H156" i="28"/>
  <c r="H157" i="28"/>
  <c r="H158" i="28"/>
  <c r="H159" i="28"/>
  <c r="H160" i="28"/>
  <c r="H161" i="28"/>
  <c r="H162" i="28"/>
  <c r="H163" i="28"/>
  <c r="H164" i="28"/>
  <c r="H165" i="28"/>
  <c r="H166" i="28"/>
  <c r="H167" i="28"/>
  <c r="H168" i="28"/>
  <c r="H169" i="28"/>
  <c r="H170" i="28"/>
  <c r="H171" i="28"/>
  <c r="H172" i="28"/>
  <c r="H173" i="28"/>
  <c r="H174" i="28"/>
  <c r="H175" i="28"/>
  <c r="H176" i="28"/>
  <c r="H177" i="28"/>
  <c r="H178" i="28"/>
  <c r="H179" i="28"/>
  <c r="H180" i="28"/>
  <c r="H181" i="28"/>
  <c r="H182" i="28"/>
  <c r="H183" i="28"/>
  <c r="H184" i="28"/>
  <c r="H185" i="28"/>
  <c r="H186" i="28"/>
  <c r="H187" i="28"/>
  <c r="H188" i="28"/>
  <c r="H189" i="28"/>
  <c r="H190" i="28"/>
  <c r="H191" i="28"/>
  <c r="H192" i="28"/>
  <c r="H193" i="28"/>
  <c r="H194" i="28"/>
  <c r="H195" i="28"/>
  <c r="H196" i="28"/>
  <c r="H197" i="28"/>
  <c r="H198" i="28"/>
  <c r="H199" i="28"/>
  <c r="H200" i="28"/>
  <c r="H201" i="28"/>
  <c r="H202" i="28"/>
  <c r="H203" i="28"/>
  <c r="H204" i="28"/>
  <c r="H205" i="28"/>
  <c r="H206" i="28"/>
  <c r="H207" i="28"/>
  <c r="H208" i="28"/>
  <c r="H209" i="28"/>
  <c r="H210" i="28"/>
  <c r="H211" i="28"/>
  <c r="H212" i="28"/>
  <c r="H213" i="28"/>
  <c r="H214" i="28"/>
  <c r="H215" i="28"/>
  <c r="H216" i="28"/>
  <c r="H217" i="28"/>
  <c r="H218" i="28"/>
  <c r="H219" i="28"/>
  <c r="H220" i="28"/>
  <c r="H221" i="28"/>
  <c r="H222" i="28"/>
  <c r="H223" i="28"/>
  <c r="H224" i="28"/>
  <c r="H225" i="28"/>
  <c r="H226" i="28"/>
  <c r="H227" i="28"/>
  <c r="H228" i="28"/>
  <c r="H229" i="28"/>
  <c r="H230" i="28"/>
  <c r="H231" i="28"/>
  <c r="H232" i="28"/>
  <c r="H233" i="28"/>
  <c r="H234" i="28"/>
  <c r="H235" i="28"/>
  <c r="H236" i="28"/>
  <c r="H237" i="28"/>
  <c r="H238" i="28"/>
  <c r="H239" i="28"/>
  <c r="H240" i="28"/>
  <c r="H241" i="28"/>
  <c r="H242" i="28"/>
  <c r="H243" i="28"/>
  <c r="H244" i="28"/>
  <c r="H245" i="28"/>
  <c r="H246" i="28"/>
  <c r="H247" i="28"/>
  <c r="H248" i="28"/>
  <c r="H249" i="28"/>
  <c r="H250" i="28"/>
  <c r="H251" i="28"/>
  <c r="H252" i="28"/>
  <c r="H253" i="28"/>
  <c r="H254" i="28"/>
  <c r="H255" i="28"/>
  <c r="H256" i="28"/>
  <c r="H257" i="28"/>
  <c r="H258" i="28"/>
  <c r="H259" i="28"/>
  <c r="H260" i="28"/>
  <c r="H261" i="28"/>
  <c r="H262" i="28"/>
  <c r="H263" i="28"/>
  <c r="H264" i="28"/>
  <c r="H265" i="28"/>
  <c r="H266" i="28"/>
  <c r="H267" i="28"/>
  <c r="H268" i="28"/>
  <c r="H269" i="28"/>
  <c r="H270" i="28"/>
  <c r="H271" i="28"/>
  <c r="H272" i="28"/>
  <c r="H273" i="28"/>
  <c r="H274" i="28"/>
  <c r="H275" i="28"/>
  <c r="H276" i="28"/>
  <c r="H277" i="28"/>
  <c r="H278" i="28"/>
  <c r="H279" i="28"/>
  <c r="H280" i="28"/>
  <c r="H281" i="28"/>
  <c r="H282" i="28"/>
  <c r="H283" i="28"/>
  <c r="H284" i="28"/>
  <c r="H285" i="28"/>
  <c r="H286" i="28"/>
  <c r="H287" i="28"/>
  <c r="H288" i="28"/>
  <c r="H289" i="28"/>
  <c r="H290" i="28"/>
  <c r="H291" i="28"/>
  <c r="H292" i="28"/>
  <c r="H293" i="28"/>
  <c r="H294" i="28"/>
  <c r="H295" i="28"/>
  <c r="H296" i="28"/>
  <c r="H297" i="28"/>
  <c r="H298" i="28"/>
  <c r="H299" i="28"/>
  <c r="H300" i="28"/>
  <c r="H301" i="28"/>
  <c r="H302" i="28"/>
  <c r="H303" i="28"/>
  <c r="H304" i="28"/>
  <c r="H305" i="28"/>
  <c r="H306" i="28"/>
  <c r="H307" i="28"/>
  <c r="H308" i="28"/>
  <c r="H309" i="28"/>
  <c r="H310" i="28"/>
  <c r="H311" i="28"/>
  <c r="H312" i="28"/>
  <c r="H313" i="28"/>
  <c r="H314" i="28"/>
  <c r="H315" i="28"/>
  <c r="H316" i="28"/>
  <c r="H317" i="28"/>
  <c r="H318" i="28"/>
  <c r="H319" i="28"/>
  <c r="H320" i="28"/>
  <c r="H321" i="28"/>
  <c r="H322" i="28"/>
  <c r="H323" i="28"/>
  <c r="H324" i="28"/>
  <c r="H325" i="28"/>
  <c r="H326" i="28"/>
  <c r="H327" i="28"/>
  <c r="H328" i="28"/>
  <c r="H329" i="28"/>
  <c r="H330" i="28"/>
  <c r="H331" i="28"/>
  <c r="H332" i="28"/>
  <c r="H333" i="28"/>
  <c r="H334" i="28"/>
  <c r="H335" i="28"/>
  <c r="H336" i="28"/>
  <c r="H337" i="28"/>
  <c r="H338" i="28"/>
  <c r="H339" i="28"/>
  <c r="H340" i="28"/>
  <c r="H341" i="28"/>
  <c r="H342" i="28"/>
  <c r="H343" i="28"/>
  <c r="H344" i="28"/>
  <c r="H345" i="28"/>
  <c r="H346" i="28"/>
  <c r="H347" i="28"/>
  <c r="H348" i="28"/>
  <c r="H349" i="28"/>
  <c r="H350" i="28"/>
  <c r="H351" i="28"/>
  <c r="H352" i="28"/>
  <c r="H353" i="28"/>
  <c r="H354" i="28"/>
  <c r="H355" i="28"/>
  <c r="H356" i="28"/>
  <c r="H357" i="28"/>
  <c r="H358" i="28"/>
  <c r="H359" i="28"/>
  <c r="H360" i="28"/>
  <c r="H361" i="28"/>
  <c r="H362" i="28"/>
  <c r="H363" i="28"/>
  <c r="H364" i="28"/>
  <c r="H365" i="28"/>
  <c r="H366" i="28"/>
  <c r="H367" i="28"/>
  <c r="H368" i="28"/>
  <c r="H369" i="28"/>
  <c r="H370" i="28"/>
  <c r="H371" i="28"/>
  <c r="H372" i="28"/>
  <c r="H373" i="28"/>
  <c r="H374" i="28"/>
  <c r="H375" i="28"/>
  <c r="H376" i="28"/>
  <c r="H377" i="28"/>
  <c r="H378" i="28"/>
  <c r="H379" i="28"/>
  <c r="H380" i="28"/>
  <c r="H381" i="28"/>
  <c r="H382" i="28"/>
  <c r="H383" i="28"/>
  <c r="H384" i="28"/>
  <c r="H385" i="28"/>
  <c r="H386" i="28"/>
  <c r="H387" i="28"/>
  <c r="H388" i="28"/>
  <c r="H389" i="28"/>
  <c r="H390" i="28"/>
  <c r="H391" i="28"/>
  <c r="H392" i="28"/>
  <c r="H393" i="28"/>
  <c r="H394" i="28"/>
  <c r="H395" i="28"/>
  <c r="H396" i="28"/>
  <c r="H397" i="28"/>
  <c r="H398" i="28"/>
  <c r="H399" i="28"/>
  <c r="H400" i="28"/>
  <c r="H401" i="28"/>
  <c r="H402" i="28"/>
  <c r="H403" i="28"/>
  <c r="H404" i="28"/>
  <c r="H405" i="28"/>
  <c r="H406" i="28"/>
  <c r="H407" i="28"/>
  <c r="H408" i="28"/>
  <c r="H409" i="28"/>
  <c r="H410" i="28"/>
  <c r="H411" i="28"/>
  <c r="H412" i="28"/>
  <c r="H413" i="28"/>
  <c r="H414" i="28"/>
  <c r="H415" i="28"/>
  <c r="H416" i="28"/>
  <c r="H417" i="28"/>
  <c r="H418" i="28"/>
  <c r="H419" i="28"/>
  <c r="H420" i="28"/>
  <c r="H421" i="28"/>
  <c r="H422" i="28"/>
  <c r="H423" i="28"/>
  <c r="H424" i="28"/>
  <c r="H425" i="28"/>
  <c r="H426" i="28"/>
  <c r="H427" i="28"/>
  <c r="H428" i="28"/>
  <c r="H429" i="28"/>
  <c r="H430" i="28"/>
  <c r="H431" i="28"/>
  <c r="H432" i="28"/>
  <c r="H433" i="28"/>
  <c r="H434" i="28"/>
  <c r="H435" i="28"/>
  <c r="H436" i="28"/>
  <c r="H437" i="28"/>
  <c r="H438" i="28"/>
  <c r="H439" i="28"/>
  <c r="H440" i="28"/>
  <c r="H441" i="28"/>
  <c r="H442" i="28"/>
  <c r="H443" i="28"/>
  <c r="H444" i="28"/>
  <c r="H445" i="28"/>
  <c r="H446" i="28"/>
  <c r="H447" i="28"/>
  <c r="H448" i="28"/>
  <c r="H449" i="28"/>
  <c r="H450" i="28"/>
  <c r="H451" i="28"/>
  <c r="H452" i="28"/>
  <c r="H453" i="28"/>
  <c r="H454" i="28"/>
  <c r="H455" i="28"/>
  <c r="H456" i="28"/>
  <c r="H457" i="28"/>
  <c r="H458" i="28"/>
  <c r="H459" i="28"/>
  <c r="H460" i="28"/>
  <c r="H461" i="28"/>
  <c r="H462" i="28"/>
  <c r="H463" i="28"/>
  <c r="H464" i="28"/>
  <c r="H465" i="28"/>
  <c r="H466" i="28"/>
  <c r="H467" i="28"/>
  <c r="H468" i="28"/>
  <c r="H469" i="28"/>
  <c r="H470" i="28"/>
  <c r="H471" i="28"/>
  <c r="H472" i="28"/>
  <c r="H473" i="28"/>
  <c r="H474" i="28"/>
  <c r="H475" i="28"/>
  <c r="H476" i="28"/>
  <c r="H477" i="28"/>
  <c r="H478" i="28"/>
  <c r="H479" i="28"/>
  <c r="H480" i="28"/>
  <c r="H481" i="28"/>
  <c r="H482" i="28"/>
  <c r="H483" i="28"/>
  <c r="H484" i="28"/>
  <c r="H485" i="28"/>
  <c r="H486" i="28"/>
  <c r="H487" i="28"/>
  <c r="H488" i="28"/>
  <c r="H489" i="28"/>
  <c r="H490" i="28"/>
  <c r="H491" i="28"/>
  <c r="H492" i="28"/>
  <c r="H493" i="28"/>
  <c r="H494" i="28"/>
  <c r="H495" i="28"/>
  <c r="H496" i="28"/>
  <c r="H497" i="28"/>
  <c r="H498" i="28"/>
  <c r="H499" i="28"/>
  <c r="H500" i="28"/>
  <c r="H501" i="28"/>
  <c r="H502" i="28"/>
  <c r="H503" i="28"/>
  <c r="H504" i="28"/>
  <c r="H505" i="28"/>
  <c r="H506" i="28"/>
  <c r="H507" i="28"/>
  <c r="H508" i="28"/>
  <c r="H509" i="28"/>
  <c r="H510" i="28"/>
  <c r="H511" i="28"/>
  <c r="H512" i="28"/>
  <c r="H513" i="28"/>
  <c r="H514" i="28"/>
  <c r="H515" i="28"/>
  <c r="H516" i="28"/>
  <c r="H517" i="28"/>
  <c r="H518" i="28"/>
  <c r="H519" i="28"/>
  <c r="H520" i="28"/>
  <c r="H521" i="28"/>
  <c r="H522" i="28"/>
  <c r="H523" i="28"/>
  <c r="H524" i="28"/>
  <c r="H525" i="28"/>
  <c r="H526" i="28"/>
  <c r="H527" i="28"/>
  <c r="H528" i="28"/>
  <c r="H529" i="28"/>
  <c r="H530" i="28"/>
  <c r="H531" i="28"/>
  <c r="H532" i="28"/>
  <c r="H533" i="28"/>
  <c r="H534" i="28"/>
  <c r="H535" i="28"/>
  <c r="H536" i="28"/>
  <c r="H537" i="28"/>
  <c r="H538" i="28"/>
  <c r="H539" i="28"/>
  <c r="H540" i="28"/>
  <c r="H541" i="28"/>
  <c r="H542" i="28"/>
  <c r="H543" i="28"/>
  <c r="H544" i="28"/>
  <c r="H545" i="28"/>
  <c r="H546" i="28"/>
  <c r="H547" i="28"/>
  <c r="H548" i="28"/>
  <c r="H549" i="28"/>
  <c r="H550" i="28"/>
  <c r="H551" i="28"/>
  <c r="H552" i="28"/>
  <c r="H553" i="28"/>
  <c r="H554" i="28"/>
  <c r="H555" i="28"/>
  <c r="H556" i="28"/>
  <c r="H557" i="28"/>
  <c r="H558" i="28"/>
  <c r="H559" i="28"/>
  <c r="H560" i="28"/>
  <c r="H561" i="28"/>
  <c r="H562" i="28"/>
  <c r="H563" i="28"/>
  <c r="H564" i="28"/>
  <c r="H565" i="28"/>
  <c r="H566" i="28"/>
  <c r="H567" i="28"/>
  <c r="H568" i="28"/>
  <c r="H569" i="28"/>
  <c r="H570" i="28"/>
  <c r="H571" i="28"/>
  <c r="H572" i="28"/>
  <c r="H573" i="28"/>
  <c r="H574" i="28"/>
  <c r="H575" i="28"/>
  <c r="H576" i="28"/>
  <c r="H577" i="28"/>
  <c r="H578" i="28"/>
  <c r="H579" i="28"/>
  <c r="H580" i="28"/>
  <c r="H581" i="28"/>
  <c r="H582" i="28"/>
  <c r="H583" i="28"/>
  <c r="H584" i="28"/>
  <c r="H585" i="28"/>
  <c r="H586" i="28"/>
  <c r="H587" i="28"/>
  <c r="H588" i="28"/>
  <c r="H589" i="28"/>
  <c r="H590" i="28"/>
  <c r="H591" i="28"/>
  <c r="H592" i="28"/>
  <c r="H593" i="28"/>
  <c r="H594" i="28"/>
  <c r="H595" i="28"/>
  <c r="H596" i="28"/>
  <c r="H597" i="28"/>
  <c r="H598" i="28"/>
  <c r="H599" i="28"/>
  <c r="H600" i="28"/>
  <c r="H601" i="28"/>
  <c r="H602" i="28"/>
  <c r="H603" i="28"/>
  <c r="H604" i="28"/>
  <c r="H605" i="28"/>
  <c r="H606" i="28"/>
  <c r="H607" i="28"/>
  <c r="H608" i="28"/>
  <c r="H609" i="28"/>
  <c r="H610" i="28"/>
  <c r="H611" i="28"/>
  <c r="H612" i="28"/>
  <c r="H613" i="28"/>
  <c r="H614" i="28"/>
  <c r="H615" i="28"/>
  <c r="H616" i="28"/>
  <c r="H617" i="28"/>
  <c r="H618" i="28"/>
  <c r="H619" i="28"/>
  <c r="H620" i="28"/>
  <c r="H621" i="28"/>
  <c r="H622" i="28"/>
  <c r="H623" i="28"/>
  <c r="H624" i="28"/>
  <c r="H625" i="28"/>
  <c r="H626" i="28"/>
  <c r="H627" i="28"/>
  <c r="H628" i="28"/>
  <c r="H629" i="28"/>
  <c r="H630" i="28"/>
  <c r="H631" i="28"/>
  <c r="H632" i="28"/>
  <c r="H633" i="28"/>
  <c r="H634" i="28"/>
  <c r="H635" i="28"/>
  <c r="H636" i="28"/>
  <c r="H637" i="28"/>
  <c r="H638" i="28"/>
  <c r="H639" i="28"/>
  <c r="H640" i="28"/>
  <c r="H641" i="28"/>
  <c r="H642" i="28"/>
  <c r="H643" i="28"/>
  <c r="H644" i="28"/>
  <c r="H645" i="28"/>
  <c r="H646" i="28"/>
  <c r="H647" i="28"/>
  <c r="H648" i="28"/>
  <c r="H649" i="28"/>
  <c r="H650" i="28"/>
  <c r="H651" i="28"/>
  <c r="H652" i="28"/>
  <c r="H653" i="28"/>
  <c r="H654" i="28"/>
  <c r="H655" i="28"/>
  <c r="H656" i="28"/>
  <c r="H657" i="28"/>
  <c r="H658" i="28"/>
  <c r="H659" i="28"/>
  <c r="H660" i="28"/>
  <c r="H661" i="28"/>
  <c r="H662" i="28"/>
  <c r="H663" i="28"/>
  <c r="H664" i="28"/>
  <c r="H665" i="28"/>
  <c r="H666" i="28"/>
  <c r="H667" i="28"/>
  <c r="H668" i="28"/>
  <c r="H669" i="28"/>
  <c r="H670" i="28"/>
  <c r="H671" i="28"/>
  <c r="H672" i="28"/>
  <c r="H673" i="28"/>
  <c r="H674" i="28"/>
  <c r="H675" i="28"/>
  <c r="H676" i="28"/>
  <c r="H677" i="28"/>
  <c r="H678" i="28"/>
  <c r="H679" i="28"/>
  <c r="H680" i="28"/>
  <c r="H681" i="28"/>
  <c r="H682" i="28"/>
  <c r="H683" i="28"/>
  <c r="H684" i="28"/>
  <c r="H685" i="28"/>
  <c r="H686" i="28"/>
  <c r="H687" i="28"/>
  <c r="H688" i="28"/>
  <c r="H689" i="28"/>
  <c r="H690" i="28"/>
  <c r="H691" i="28"/>
  <c r="H692" i="28"/>
  <c r="H693" i="28"/>
  <c r="H694" i="28"/>
  <c r="H695" i="28"/>
  <c r="H696" i="28"/>
  <c r="H697" i="28"/>
  <c r="H698" i="28"/>
  <c r="H699" i="28"/>
  <c r="H700" i="28"/>
  <c r="H701" i="28"/>
  <c r="H702" i="28"/>
  <c r="H703" i="28"/>
  <c r="H704" i="28"/>
  <c r="H705" i="28"/>
  <c r="H706" i="28"/>
  <c r="H707" i="28"/>
  <c r="H708" i="28"/>
  <c r="H709" i="28"/>
  <c r="H710" i="28"/>
  <c r="H711" i="28"/>
  <c r="H712" i="28"/>
  <c r="H713" i="28"/>
  <c r="H714" i="28"/>
  <c r="H715" i="28"/>
  <c r="H716" i="28"/>
  <c r="H717" i="28"/>
  <c r="H718" i="28"/>
  <c r="H719" i="28"/>
  <c r="H720" i="28"/>
  <c r="H721" i="28"/>
  <c r="H722" i="28"/>
  <c r="H723" i="28"/>
  <c r="H724" i="28"/>
  <c r="H725" i="28"/>
  <c r="H726" i="28"/>
  <c r="H727" i="28"/>
  <c r="H728" i="28"/>
  <c r="H729" i="28"/>
  <c r="H730" i="28"/>
  <c r="H731" i="28"/>
  <c r="H732" i="28"/>
  <c r="H733" i="28"/>
  <c r="H734" i="28"/>
  <c r="H735" i="28"/>
  <c r="H736" i="28"/>
  <c r="H737" i="28"/>
  <c r="H738" i="28"/>
  <c r="H739" i="28"/>
  <c r="H740" i="28"/>
  <c r="H741" i="28"/>
  <c r="H742" i="28"/>
  <c r="H743" i="28"/>
  <c r="H744" i="28"/>
  <c r="H745" i="28"/>
  <c r="H746" i="28"/>
  <c r="H747" i="28"/>
  <c r="H748" i="28"/>
  <c r="H749" i="28"/>
  <c r="H750" i="28"/>
  <c r="H751" i="28"/>
  <c r="H752" i="28"/>
  <c r="H753" i="28"/>
  <c r="H754" i="28"/>
  <c r="H755" i="28"/>
  <c r="H756" i="28"/>
  <c r="H757" i="28"/>
  <c r="H758" i="28"/>
  <c r="H759" i="28"/>
  <c r="H760" i="28"/>
  <c r="H761" i="28"/>
  <c r="H762" i="28"/>
  <c r="H763" i="28"/>
  <c r="H764" i="28"/>
  <c r="H765" i="28"/>
  <c r="H766" i="28"/>
  <c r="H767" i="28"/>
  <c r="H768" i="28"/>
  <c r="H769" i="28"/>
  <c r="H770" i="28"/>
  <c r="H771" i="28"/>
  <c r="H772" i="28"/>
  <c r="H773" i="28"/>
  <c r="H774" i="28"/>
  <c r="H775" i="28"/>
  <c r="H776" i="28"/>
  <c r="H777" i="28"/>
  <c r="H778" i="28"/>
  <c r="H779" i="28"/>
  <c r="H780" i="28"/>
  <c r="H781" i="28"/>
  <c r="H782" i="28"/>
  <c r="H783" i="28"/>
  <c r="H784" i="28"/>
  <c r="H785" i="28"/>
  <c r="H786" i="28"/>
  <c r="H787" i="28"/>
  <c r="H788" i="28"/>
  <c r="H789" i="28"/>
  <c r="H790" i="28"/>
  <c r="H791" i="28"/>
  <c r="H792" i="28"/>
  <c r="H793" i="28"/>
  <c r="H794" i="28"/>
  <c r="H795" i="28"/>
  <c r="H796" i="28"/>
  <c r="H797" i="28"/>
  <c r="H798" i="28"/>
  <c r="H799" i="28"/>
  <c r="H800" i="28"/>
  <c r="H801" i="28"/>
  <c r="H802" i="28"/>
  <c r="H803" i="28"/>
  <c r="H804" i="28"/>
  <c r="H805" i="28"/>
  <c r="H806" i="28"/>
  <c r="H807" i="28"/>
  <c r="H808" i="28"/>
  <c r="H809" i="28"/>
  <c r="H810" i="28"/>
  <c r="H811" i="28"/>
  <c r="H812" i="28"/>
  <c r="H813" i="28"/>
  <c r="H814" i="28"/>
  <c r="H815" i="28"/>
  <c r="H816" i="28"/>
  <c r="H817" i="28"/>
  <c r="H818" i="28"/>
  <c r="H819" i="28"/>
  <c r="H820" i="28"/>
  <c r="H821" i="28"/>
  <c r="H822" i="28"/>
  <c r="H823" i="28"/>
  <c r="H824" i="28"/>
  <c r="H825" i="28"/>
  <c r="H826" i="28"/>
  <c r="H827" i="28"/>
  <c r="H828" i="28"/>
  <c r="H829" i="28"/>
  <c r="H830" i="28"/>
  <c r="H831" i="28"/>
  <c r="H832" i="28"/>
  <c r="H833" i="28"/>
  <c r="H834" i="28"/>
  <c r="H835" i="28"/>
  <c r="H836" i="28"/>
  <c r="H837" i="28"/>
  <c r="H838" i="28"/>
  <c r="H839" i="28"/>
  <c r="H840" i="28"/>
  <c r="H841" i="28"/>
  <c r="H842" i="28"/>
  <c r="H843" i="28"/>
  <c r="H844" i="28"/>
  <c r="H845" i="28"/>
  <c r="H846" i="28"/>
  <c r="H847" i="28"/>
  <c r="H848" i="28"/>
  <c r="H849" i="28"/>
  <c r="H850" i="28"/>
  <c r="H851" i="28"/>
  <c r="H852" i="28"/>
  <c r="H853" i="28"/>
  <c r="H854" i="28"/>
  <c r="H855" i="28"/>
  <c r="H856" i="28"/>
  <c r="H857" i="28"/>
  <c r="H858" i="28"/>
  <c r="H859" i="28"/>
  <c r="H860" i="28"/>
  <c r="H861" i="28"/>
  <c r="H862" i="28"/>
  <c r="H863" i="28"/>
  <c r="H864" i="28"/>
  <c r="H865" i="28"/>
  <c r="H866" i="28"/>
  <c r="H867" i="28"/>
  <c r="H868" i="28"/>
  <c r="H869" i="28"/>
  <c r="H870" i="28"/>
  <c r="H871" i="28"/>
  <c r="H872" i="28"/>
  <c r="H873" i="28"/>
  <c r="H874" i="28"/>
  <c r="H875" i="28"/>
  <c r="H876" i="28"/>
  <c r="H877" i="28"/>
  <c r="H878" i="28"/>
  <c r="H879" i="28"/>
  <c r="H880" i="28"/>
  <c r="H881" i="28"/>
  <c r="H882" i="28"/>
  <c r="H883" i="28"/>
  <c r="H884" i="28"/>
  <c r="H885" i="28"/>
  <c r="H886" i="28"/>
  <c r="H887" i="28"/>
  <c r="H888" i="28"/>
  <c r="H889" i="28"/>
  <c r="H890" i="28"/>
  <c r="H891" i="28"/>
  <c r="H892" i="28"/>
  <c r="H893" i="28"/>
  <c r="H894" i="28"/>
  <c r="H895" i="28"/>
  <c r="H896" i="28"/>
  <c r="H897" i="28"/>
  <c r="H898" i="28"/>
  <c r="H899" i="28"/>
  <c r="H900" i="28"/>
  <c r="H901" i="28"/>
  <c r="H902" i="28"/>
  <c r="H903" i="28"/>
  <c r="H904" i="28"/>
  <c r="H905" i="28"/>
  <c r="H906" i="28"/>
  <c r="H907" i="28"/>
  <c r="H908" i="28"/>
  <c r="H909" i="28"/>
  <c r="H910" i="28"/>
  <c r="H911" i="28"/>
  <c r="H912" i="28"/>
  <c r="H913" i="28"/>
  <c r="H914" i="28"/>
  <c r="H915" i="28"/>
  <c r="H916" i="28"/>
  <c r="H917" i="28"/>
  <c r="H918" i="28"/>
  <c r="H919" i="28"/>
  <c r="H920" i="28"/>
  <c r="H921" i="28"/>
  <c r="H922" i="28"/>
  <c r="H923" i="28"/>
  <c r="H924" i="28"/>
  <c r="H925" i="28"/>
  <c r="H926" i="28"/>
  <c r="H927" i="28"/>
  <c r="H928" i="28"/>
  <c r="H929" i="28"/>
  <c r="H930" i="28"/>
  <c r="H931" i="28"/>
  <c r="H932" i="28"/>
  <c r="H933" i="28"/>
  <c r="H934" i="28"/>
  <c r="H935" i="28"/>
  <c r="H936" i="28"/>
  <c r="H937" i="28"/>
  <c r="H938" i="28"/>
  <c r="H939" i="28"/>
  <c r="H940" i="28"/>
  <c r="H941" i="28"/>
  <c r="H942" i="28"/>
  <c r="H943" i="28"/>
  <c r="H944" i="28"/>
  <c r="H945" i="28"/>
  <c r="H946" i="28"/>
  <c r="H947" i="28"/>
  <c r="H948" i="28"/>
  <c r="H949" i="28"/>
  <c r="H950" i="28"/>
  <c r="H951" i="28"/>
  <c r="H952" i="28"/>
  <c r="H953" i="28"/>
  <c r="H954" i="28"/>
  <c r="H955" i="28"/>
  <c r="H956" i="28"/>
  <c r="H957" i="28"/>
  <c r="H958" i="28"/>
  <c r="H959" i="28"/>
  <c r="H960" i="28"/>
  <c r="H961" i="28"/>
  <c r="H962" i="28"/>
  <c r="H963" i="28"/>
  <c r="H964" i="28"/>
  <c r="H965" i="28"/>
  <c r="H966" i="28"/>
  <c r="H967" i="28"/>
  <c r="H968" i="28"/>
  <c r="H969" i="28"/>
  <c r="H970" i="28"/>
  <c r="H971" i="28"/>
  <c r="H972" i="28"/>
  <c r="H973" i="28"/>
  <c r="H974" i="28"/>
  <c r="H975" i="28"/>
  <c r="H976" i="28"/>
  <c r="H977" i="28"/>
  <c r="H978" i="28"/>
  <c r="H979" i="28"/>
  <c r="H980" i="28"/>
  <c r="H981" i="28"/>
  <c r="H982" i="28"/>
  <c r="H983" i="28"/>
  <c r="H984" i="28"/>
  <c r="H985" i="28"/>
  <c r="H986" i="28"/>
  <c r="H987" i="28"/>
  <c r="H988" i="28"/>
  <c r="H989" i="28"/>
  <c r="H990" i="28"/>
  <c r="H991" i="28"/>
  <c r="H992" i="28"/>
  <c r="H993" i="28"/>
  <c r="H994" i="28"/>
  <c r="H995" i="28"/>
  <c r="H996" i="28"/>
  <c r="H997" i="28"/>
  <c r="H998" i="28"/>
  <c r="H999" i="28"/>
  <c r="H1000" i="28"/>
  <c r="H1001" i="28"/>
  <c r="H1002" i="28"/>
  <c r="H1003" i="28"/>
  <c r="H1004" i="28"/>
  <c r="H1005" i="28"/>
  <c r="H1006" i="28"/>
  <c r="H1007" i="28"/>
  <c r="H1008" i="28"/>
  <c r="H1009" i="28"/>
  <c r="H1010" i="28"/>
  <c r="H1011" i="28"/>
  <c r="H1012" i="28"/>
  <c r="H1013" i="28"/>
  <c r="H1014" i="28"/>
  <c r="H1015" i="28"/>
  <c r="H1016" i="28"/>
  <c r="H1017" i="28"/>
  <c r="H1018" i="28"/>
  <c r="H1019" i="28"/>
  <c r="H1020" i="28"/>
  <c r="H1021" i="28"/>
  <c r="H1022" i="28"/>
  <c r="H1023" i="28"/>
  <c r="H1024" i="28"/>
  <c r="H1025" i="28"/>
  <c r="H1026" i="28"/>
  <c r="H1027" i="28"/>
  <c r="H1028" i="28"/>
  <c r="H1029" i="28"/>
  <c r="H1030" i="28"/>
  <c r="H1031" i="28"/>
  <c r="H1032" i="28"/>
  <c r="H1033" i="28"/>
  <c r="H1034" i="28"/>
  <c r="H1035" i="28"/>
  <c r="H1036" i="28"/>
  <c r="H1037" i="28"/>
  <c r="H1038" i="28"/>
  <c r="H1039" i="28"/>
  <c r="H1040" i="28"/>
  <c r="H1041" i="28"/>
  <c r="H1042" i="28"/>
  <c r="H1043" i="28"/>
  <c r="H1044" i="28"/>
  <c r="H1045" i="28"/>
  <c r="H1046" i="28"/>
  <c r="H1047" i="28"/>
  <c r="H1048" i="28"/>
  <c r="H1049" i="28"/>
  <c r="H1050" i="28"/>
  <c r="H1051" i="28"/>
  <c r="H1052" i="28"/>
  <c r="H1053" i="28"/>
  <c r="H1054" i="28"/>
  <c r="H1055" i="28"/>
  <c r="H1056" i="28"/>
  <c r="H1057" i="28"/>
  <c r="H1058" i="28"/>
  <c r="H1059" i="28"/>
  <c r="H1060" i="28"/>
  <c r="H1061" i="28"/>
  <c r="H1062" i="28"/>
  <c r="H1063" i="28"/>
  <c r="H1064" i="28"/>
  <c r="H1065" i="28"/>
  <c r="H1066" i="28"/>
  <c r="H1067" i="28"/>
  <c r="H1068" i="28"/>
  <c r="H1069" i="28"/>
  <c r="H1070" i="28"/>
  <c r="H1071" i="28"/>
  <c r="H1072" i="28"/>
  <c r="H1073" i="28"/>
  <c r="H1074" i="28"/>
  <c r="H1075" i="28"/>
  <c r="H1076" i="28"/>
  <c r="H1077" i="28"/>
  <c r="H1078" i="28"/>
  <c r="H1079" i="28"/>
  <c r="H1080" i="28"/>
  <c r="H1081" i="28"/>
  <c r="H1082" i="28"/>
  <c r="H1083" i="28"/>
  <c r="H1084" i="28"/>
  <c r="H1085" i="28"/>
  <c r="H1086" i="28"/>
  <c r="H1087" i="28"/>
  <c r="H1088" i="28"/>
  <c r="H1089" i="28"/>
  <c r="H1090" i="28"/>
  <c r="H1091" i="28"/>
  <c r="H1092" i="28"/>
  <c r="H1093" i="28"/>
  <c r="H1094" i="28"/>
  <c r="H1095" i="28"/>
  <c r="H1096" i="28"/>
  <c r="H1097" i="28"/>
  <c r="H1098" i="28"/>
  <c r="H1099" i="28"/>
  <c r="H1100" i="28"/>
  <c r="H1101" i="28"/>
  <c r="H1102" i="28"/>
  <c r="H1103" i="28"/>
  <c r="H1104" i="28"/>
  <c r="H1105" i="28"/>
  <c r="H1106" i="28"/>
  <c r="H1107" i="28"/>
  <c r="H1108" i="28"/>
  <c r="H1109" i="28"/>
  <c r="H1110" i="28"/>
  <c r="H1111" i="28"/>
  <c r="H1112" i="28"/>
  <c r="H1113" i="28"/>
  <c r="H1114" i="28"/>
  <c r="H1115" i="28"/>
  <c r="H1116" i="28"/>
  <c r="H1117" i="28"/>
  <c r="H1118" i="28"/>
  <c r="H1119" i="28"/>
  <c r="H1120" i="28"/>
  <c r="H1121" i="28"/>
  <c r="H1122" i="28"/>
  <c r="H1123" i="28"/>
  <c r="H1124" i="28"/>
  <c r="H1125" i="28"/>
  <c r="H1126" i="28"/>
  <c r="H1127" i="28"/>
  <c r="H1128" i="28"/>
  <c r="H1129" i="28"/>
  <c r="H1130" i="28"/>
  <c r="H1131" i="28"/>
  <c r="H1132" i="28"/>
  <c r="H1133" i="28"/>
  <c r="H1134" i="28"/>
  <c r="H1135" i="28"/>
  <c r="H1136" i="28"/>
  <c r="H1137" i="28"/>
  <c r="H1138" i="28"/>
  <c r="H1139" i="28"/>
  <c r="H1140" i="28"/>
  <c r="H1141" i="28"/>
  <c r="H1142" i="28"/>
  <c r="H1143" i="28"/>
  <c r="H1144" i="28"/>
  <c r="H1145" i="28"/>
  <c r="H1146" i="28"/>
  <c r="H1147" i="28"/>
  <c r="H1148" i="28"/>
  <c r="H1149" i="28"/>
  <c r="H1150" i="28"/>
  <c r="H1151" i="28"/>
  <c r="H1152" i="28"/>
  <c r="H1153" i="28"/>
  <c r="H1154" i="28"/>
  <c r="H1155" i="28"/>
  <c r="H1156" i="28"/>
  <c r="H1157" i="28"/>
  <c r="H1158" i="28"/>
  <c r="H1159" i="28"/>
  <c r="H1160" i="28"/>
  <c r="H1161" i="28"/>
  <c r="H1162" i="28"/>
  <c r="H1163" i="28"/>
  <c r="H1164" i="28"/>
  <c r="H1165" i="28"/>
  <c r="H1166" i="28"/>
  <c r="H1167" i="28"/>
  <c r="H1168" i="28"/>
  <c r="H1169" i="28"/>
  <c r="H1170" i="28"/>
  <c r="H1171" i="28"/>
  <c r="H1172" i="28"/>
  <c r="H1173" i="28"/>
  <c r="H1174" i="28"/>
  <c r="H1175" i="28"/>
  <c r="H1176" i="28"/>
  <c r="H1177" i="28"/>
  <c r="H1178" i="28"/>
  <c r="H1179" i="28"/>
  <c r="H1180" i="28"/>
  <c r="H1181" i="28"/>
  <c r="H1182" i="28"/>
  <c r="H1183" i="28"/>
  <c r="H1184" i="28"/>
  <c r="H1185" i="28"/>
  <c r="H1186" i="28"/>
  <c r="H1187" i="28"/>
  <c r="H1188" i="28"/>
  <c r="H1189" i="28"/>
  <c r="H1190" i="28"/>
  <c r="H1191" i="28"/>
  <c r="H1192" i="28"/>
  <c r="H1193" i="28"/>
  <c r="H1194" i="28"/>
  <c r="H1195" i="28"/>
  <c r="H1196" i="28"/>
  <c r="H1197" i="28"/>
  <c r="F5" i="28"/>
  <c r="G5" i="28" s="1"/>
  <c r="I5" i="28" s="1"/>
  <c r="F6" i="28"/>
  <c r="G6" i="28" s="1"/>
  <c r="I6" i="28" s="1"/>
  <c r="F7" i="28"/>
  <c r="G7" i="28" s="1"/>
  <c r="F8" i="28"/>
  <c r="G8" i="28" s="1"/>
  <c r="I8" i="28" s="1"/>
  <c r="F9" i="28"/>
  <c r="G9" i="28" s="1"/>
  <c r="I9" i="28" s="1"/>
  <c r="F10" i="28"/>
  <c r="G10" i="28" s="1"/>
  <c r="F11" i="28"/>
  <c r="G11" i="28" s="1"/>
  <c r="F12" i="28"/>
  <c r="G12" i="28" s="1"/>
  <c r="F13" i="28"/>
  <c r="G13" i="28" s="1"/>
  <c r="I13" i="28" s="1"/>
  <c r="F14" i="28"/>
  <c r="G14" i="28" s="1"/>
  <c r="I14" i="28" s="1"/>
  <c r="F15" i="28"/>
  <c r="G15" i="28" s="1"/>
  <c r="F16" i="28"/>
  <c r="G16" i="28" s="1"/>
  <c r="I16" i="28" s="1"/>
  <c r="F17" i="28"/>
  <c r="G17" i="28" s="1"/>
  <c r="I17" i="28" s="1"/>
  <c r="F18" i="28"/>
  <c r="G18" i="28" s="1"/>
  <c r="F19" i="28"/>
  <c r="G19" i="28" s="1"/>
  <c r="F20" i="28"/>
  <c r="G20" i="28" s="1"/>
  <c r="F21" i="28"/>
  <c r="G21" i="28" s="1"/>
  <c r="I21" i="28" s="1"/>
  <c r="F22" i="28"/>
  <c r="G22" i="28" s="1"/>
  <c r="I22" i="28" s="1"/>
  <c r="F23" i="28"/>
  <c r="G23" i="28" s="1"/>
  <c r="F24" i="28"/>
  <c r="G24" i="28" s="1"/>
  <c r="I24" i="28" s="1"/>
  <c r="F25" i="28"/>
  <c r="G25" i="28" s="1"/>
  <c r="I25" i="28" s="1"/>
  <c r="F26" i="28"/>
  <c r="G26" i="28" s="1"/>
  <c r="F27" i="28"/>
  <c r="G27" i="28" s="1"/>
  <c r="F28" i="28"/>
  <c r="G28" i="28" s="1"/>
  <c r="F29" i="28"/>
  <c r="G29" i="28" s="1"/>
  <c r="I29" i="28" s="1"/>
  <c r="F30" i="28"/>
  <c r="G30" i="28" s="1"/>
  <c r="I30" i="28" s="1"/>
  <c r="F31" i="28"/>
  <c r="G31" i="28" s="1"/>
  <c r="F32" i="28"/>
  <c r="G32" i="28" s="1"/>
  <c r="I32" i="28" s="1"/>
  <c r="F33" i="28"/>
  <c r="G33" i="28" s="1"/>
  <c r="I33" i="28" s="1"/>
  <c r="F34" i="28"/>
  <c r="G34" i="28" s="1"/>
  <c r="F35" i="28"/>
  <c r="G35" i="28" s="1"/>
  <c r="F36" i="28"/>
  <c r="G36" i="28" s="1"/>
  <c r="F37" i="28"/>
  <c r="G37" i="28" s="1"/>
  <c r="I37" i="28" s="1"/>
  <c r="F38" i="28"/>
  <c r="G38" i="28" s="1"/>
  <c r="I38" i="28" s="1"/>
  <c r="F39" i="28"/>
  <c r="G39" i="28" s="1"/>
  <c r="F40" i="28"/>
  <c r="G40" i="28" s="1"/>
  <c r="I40" i="28" s="1"/>
  <c r="F41" i="28"/>
  <c r="G41" i="28" s="1"/>
  <c r="I41" i="28" s="1"/>
  <c r="F42" i="28"/>
  <c r="G42" i="28" s="1"/>
  <c r="F43" i="28"/>
  <c r="G43" i="28" s="1"/>
  <c r="F44" i="28"/>
  <c r="G44" i="28" s="1"/>
  <c r="F45" i="28"/>
  <c r="G45" i="28" s="1"/>
  <c r="I45" i="28" s="1"/>
  <c r="F46" i="28"/>
  <c r="G46" i="28" s="1"/>
  <c r="I46" i="28" s="1"/>
  <c r="F47" i="28"/>
  <c r="G47" i="28" s="1"/>
  <c r="F48" i="28"/>
  <c r="G48" i="28" s="1"/>
  <c r="I48" i="28" s="1"/>
  <c r="F49" i="28"/>
  <c r="G49" i="28" s="1"/>
  <c r="I49" i="28" s="1"/>
  <c r="F50" i="28"/>
  <c r="G50" i="28" s="1"/>
  <c r="F51" i="28"/>
  <c r="G51" i="28" s="1"/>
  <c r="F52" i="28"/>
  <c r="G52" i="28" s="1"/>
  <c r="F53" i="28"/>
  <c r="G53" i="28" s="1"/>
  <c r="I53" i="28" s="1"/>
  <c r="F54" i="28"/>
  <c r="G54" i="28" s="1"/>
  <c r="I54" i="28" s="1"/>
  <c r="F55" i="28"/>
  <c r="G55" i="28" s="1"/>
  <c r="F56" i="28"/>
  <c r="G56" i="28" s="1"/>
  <c r="I56" i="28" s="1"/>
  <c r="F57" i="28"/>
  <c r="G57" i="28" s="1"/>
  <c r="I57" i="28" s="1"/>
  <c r="F58" i="28"/>
  <c r="G58" i="28" s="1"/>
  <c r="F59" i="28"/>
  <c r="G59" i="28" s="1"/>
  <c r="F60" i="28"/>
  <c r="G60" i="28" s="1"/>
  <c r="F61" i="28"/>
  <c r="G61" i="28" s="1"/>
  <c r="I61" i="28" s="1"/>
  <c r="F62" i="28"/>
  <c r="G62" i="28" s="1"/>
  <c r="I62" i="28" s="1"/>
  <c r="F63" i="28"/>
  <c r="G63" i="28" s="1"/>
  <c r="F64" i="28"/>
  <c r="G64" i="28" s="1"/>
  <c r="I64" i="28" s="1"/>
  <c r="F65" i="28"/>
  <c r="G65" i="28" s="1"/>
  <c r="I65" i="28" s="1"/>
  <c r="F66" i="28"/>
  <c r="G66" i="28" s="1"/>
  <c r="F67" i="28"/>
  <c r="G67" i="28" s="1"/>
  <c r="F68" i="28"/>
  <c r="G68" i="28" s="1"/>
  <c r="F69" i="28"/>
  <c r="G69" i="28" s="1"/>
  <c r="I69" i="28" s="1"/>
  <c r="F70" i="28"/>
  <c r="G70" i="28" s="1"/>
  <c r="I70" i="28" s="1"/>
  <c r="F71" i="28"/>
  <c r="G71" i="28" s="1"/>
  <c r="F72" i="28"/>
  <c r="G72" i="28" s="1"/>
  <c r="I72" i="28" s="1"/>
  <c r="F73" i="28"/>
  <c r="G73" i="28" s="1"/>
  <c r="I73" i="28" s="1"/>
  <c r="F74" i="28"/>
  <c r="G74" i="28" s="1"/>
  <c r="F75" i="28"/>
  <c r="G75" i="28" s="1"/>
  <c r="F76" i="28"/>
  <c r="G76" i="28" s="1"/>
  <c r="F77" i="28"/>
  <c r="G77" i="28" s="1"/>
  <c r="I77" i="28" s="1"/>
  <c r="F78" i="28"/>
  <c r="G78" i="28" s="1"/>
  <c r="I78" i="28" s="1"/>
  <c r="F79" i="28"/>
  <c r="G79" i="28" s="1"/>
  <c r="F80" i="28"/>
  <c r="G80" i="28" s="1"/>
  <c r="I80" i="28" s="1"/>
  <c r="F81" i="28"/>
  <c r="G81" i="28" s="1"/>
  <c r="I81" i="28" s="1"/>
  <c r="F82" i="28"/>
  <c r="G82" i="28" s="1"/>
  <c r="F83" i="28"/>
  <c r="G83" i="28" s="1"/>
  <c r="F84" i="28"/>
  <c r="G84" i="28" s="1"/>
  <c r="F85" i="28"/>
  <c r="G85" i="28" s="1"/>
  <c r="I85" i="28" s="1"/>
  <c r="F86" i="28"/>
  <c r="G86" i="28" s="1"/>
  <c r="I86" i="28" s="1"/>
  <c r="F87" i="28"/>
  <c r="G87" i="28" s="1"/>
  <c r="F88" i="28"/>
  <c r="G88" i="28" s="1"/>
  <c r="I88" i="28" s="1"/>
  <c r="F89" i="28"/>
  <c r="G89" i="28" s="1"/>
  <c r="I89" i="28" s="1"/>
  <c r="F90" i="28"/>
  <c r="G90" i="28" s="1"/>
  <c r="F91" i="28"/>
  <c r="G91" i="28" s="1"/>
  <c r="F92" i="28"/>
  <c r="G92" i="28" s="1"/>
  <c r="F93" i="28"/>
  <c r="G93" i="28" s="1"/>
  <c r="I93" i="28" s="1"/>
  <c r="F94" i="28"/>
  <c r="G94" i="28" s="1"/>
  <c r="I94" i="28" s="1"/>
  <c r="F95" i="28"/>
  <c r="G95" i="28" s="1"/>
  <c r="F96" i="28"/>
  <c r="G96" i="28" s="1"/>
  <c r="I96" i="28" s="1"/>
  <c r="F97" i="28"/>
  <c r="G97" i="28" s="1"/>
  <c r="I97" i="28" s="1"/>
  <c r="F98" i="28"/>
  <c r="G98" i="28" s="1"/>
  <c r="F99" i="28"/>
  <c r="G99" i="28" s="1"/>
  <c r="F100" i="28"/>
  <c r="G100" i="28" s="1"/>
  <c r="F101" i="28"/>
  <c r="G101" i="28" s="1"/>
  <c r="I101" i="28" s="1"/>
  <c r="F102" i="28"/>
  <c r="G102" i="28" s="1"/>
  <c r="I102" i="28" s="1"/>
  <c r="F103" i="28"/>
  <c r="G103" i="28" s="1"/>
  <c r="F104" i="28"/>
  <c r="G104" i="28" s="1"/>
  <c r="I104" i="28" s="1"/>
  <c r="F105" i="28"/>
  <c r="G105" i="28" s="1"/>
  <c r="I105" i="28" s="1"/>
  <c r="F106" i="28"/>
  <c r="G106" i="28" s="1"/>
  <c r="F107" i="28"/>
  <c r="G107" i="28" s="1"/>
  <c r="F108" i="28"/>
  <c r="G108" i="28" s="1"/>
  <c r="F109" i="28"/>
  <c r="G109" i="28" s="1"/>
  <c r="I109" i="28" s="1"/>
  <c r="F110" i="28"/>
  <c r="G110" i="28" s="1"/>
  <c r="I110" i="28" s="1"/>
  <c r="F111" i="28"/>
  <c r="G111" i="28" s="1"/>
  <c r="F112" i="28"/>
  <c r="G112" i="28" s="1"/>
  <c r="I112" i="28" s="1"/>
  <c r="F113" i="28"/>
  <c r="G113" i="28" s="1"/>
  <c r="I113" i="28" s="1"/>
  <c r="F114" i="28"/>
  <c r="G114" i="28" s="1"/>
  <c r="F115" i="28"/>
  <c r="G115" i="28" s="1"/>
  <c r="F116" i="28"/>
  <c r="G116" i="28" s="1"/>
  <c r="F117" i="28"/>
  <c r="G117" i="28" s="1"/>
  <c r="I117" i="28" s="1"/>
  <c r="F118" i="28"/>
  <c r="G118" i="28" s="1"/>
  <c r="I118" i="28" s="1"/>
  <c r="F119" i="28"/>
  <c r="G119" i="28" s="1"/>
  <c r="F120" i="28"/>
  <c r="G120" i="28" s="1"/>
  <c r="I120" i="28" s="1"/>
  <c r="F121" i="28"/>
  <c r="G121" i="28" s="1"/>
  <c r="I121" i="28" s="1"/>
  <c r="F122" i="28"/>
  <c r="G122" i="28" s="1"/>
  <c r="F123" i="28"/>
  <c r="G123" i="28" s="1"/>
  <c r="F124" i="28"/>
  <c r="G124" i="28" s="1"/>
  <c r="F125" i="28"/>
  <c r="G125" i="28" s="1"/>
  <c r="I125" i="28" s="1"/>
  <c r="F126" i="28"/>
  <c r="G126" i="28" s="1"/>
  <c r="I126" i="28" s="1"/>
  <c r="F127" i="28"/>
  <c r="G127" i="28" s="1"/>
  <c r="F128" i="28"/>
  <c r="G128" i="28" s="1"/>
  <c r="I128" i="28" s="1"/>
  <c r="F129" i="28"/>
  <c r="G129" i="28" s="1"/>
  <c r="I129" i="28" s="1"/>
  <c r="F130" i="28"/>
  <c r="G130" i="28" s="1"/>
  <c r="F131" i="28"/>
  <c r="G131" i="28" s="1"/>
  <c r="F132" i="28"/>
  <c r="G132" i="28" s="1"/>
  <c r="F133" i="28"/>
  <c r="G133" i="28" s="1"/>
  <c r="I133" i="28" s="1"/>
  <c r="F134" i="28"/>
  <c r="G134" i="28" s="1"/>
  <c r="I134" i="28" s="1"/>
  <c r="F135" i="28"/>
  <c r="G135" i="28" s="1"/>
  <c r="F136" i="28"/>
  <c r="G136" i="28" s="1"/>
  <c r="I136" i="28" s="1"/>
  <c r="F137" i="28"/>
  <c r="G137" i="28" s="1"/>
  <c r="I137" i="28" s="1"/>
  <c r="F138" i="28"/>
  <c r="G138" i="28" s="1"/>
  <c r="F139" i="28"/>
  <c r="G139" i="28" s="1"/>
  <c r="F140" i="28"/>
  <c r="G140" i="28" s="1"/>
  <c r="F141" i="28"/>
  <c r="G141" i="28" s="1"/>
  <c r="I141" i="28" s="1"/>
  <c r="F142" i="28"/>
  <c r="G142" i="28" s="1"/>
  <c r="I142" i="28" s="1"/>
  <c r="F143" i="28"/>
  <c r="G143" i="28" s="1"/>
  <c r="F144" i="28"/>
  <c r="G144" i="28" s="1"/>
  <c r="I144" i="28" s="1"/>
  <c r="F145" i="28"/>
  <c r="G145" i="28" s="1"/>
  <c r="I145" i="28" s="1"/>
  <c r="F146" i="28"/>
  <c r="G146" i="28" s="1"/>
  <c r="F147" i="28"/>
  <c r="G147" i="28" s="1"/>
  <c r="F148" i="28"/>
  <c r="G148" i="28" s="1"/>
  <c r="F149" i="28"/>
  <c r="G149" i="28" s="1"/>
  <c r="I149" i="28" s="1"/>
  <c r="F150" i="28"/>
  <c r="G150" i="28" s="1"/>
  <c r="I150" i="28" s="1"/>
  <c r="F151" i="28"/>
  <c r="G151" i="28" s="1"/>
  <c r="F152" i="28"/>
  <c r="G152" i="28" s="1"/>
  <c r="I152" i="28" s="1"/>
  <c r="F153" i="28"/>
  <c r="G153" i="28" s="1"/>
  <c r="I153" i="28" s="1"/>
  <c r="F154" i="28"/>
  <c r="G154" i="28" s="1"/>
  <c r="F155" i="28"/>
  <c r="G155" i="28" s="1"/>
  <c r="F156" i="28"/>
  <c r="G156" i="28" s="1"/>
  <c r="F157" i="28"/>
  <c r="G157" i="28" s="1"/>
  <c r="I157" i="28" s="1"/>
  <c r="F158" i="28"/>
  <c r="G158" i="28" s="1"/>
  <c r="I158" i="28" s="1"/>
  <c r="F159" i="28"/>
  <c r="G159" i="28" s="1"/>
  <c r="F160" i="28"/>
  <c r="G160" i="28" s="1"/>
  <c r="I160" i="28" s="1"/>
  <c r="F161" i="28"/>
  <c r="G161" i="28" s="1"/>
  <c r="I161" i="28" s="1"/>
  <c r="F162" i="28"/>
  <c r="G162" i="28" s="1"/>
  <c r="F163" i="28"/>
  <c r="G163" i="28" s="1"/>
  <c r="F164" i="28"/>
  <c r="G164" i="28" s="1"/>
  <c r="F165" i="28"/>
  <c r="G165" i="28" s="1"/>
  <c r="I165" i="28" s="1"/>
  <c r="F166" i="28"/>
  <c r="G166" i="28" s="1"/>
  <c r="I166" i="28" s="1"/>
  <c r="F167" i="28"/>
  <c r="G167" i="28" s="1"/>
  <c r="F168" i="28"/>
  <c r="G168" i="28" s="1"/>
  <c r="I168" i="28" s="1"/>
  <c r="F169" i="28"/>
  <c r="G169" i="28" s="1"/>
  <c r="I169" i="28" s="1"/>
  <c r="F170" i="28"/>
  <c r="G170" i="28" s="1"/>
  <c r="F171" i="28"/>
  <c r="G171" i="28" s="1"/>
  <c r="F172" i="28"/>
  <c r="G172" i="28" s="1"/>
  <c r="F173" i="28"/>
  <c r="G173" i="28" s="1"/>
  <c r="I173" i="28" s="1"/>
  <c r="F174" i="28"/>
  <c r="G174" i="28" s="1"/>
  <c r="I174" i="28" s="1"/>
  <c r="F175" i="28"/>
  <c r="G175" i="28" s="1"/>
  <c r="F176" i="28"/>
  <c r="G176" i="28" s="1"/>
  <c r="I176" i="28" s="1"/>
  <c r="F177" i="28"/>
  <c r="G177" i="28" s="1"/>
  <c r="I177" i="28" s="1"/>
  <c r="F178" i="28"/>
  <c r="G178" i="28" s="1"/>
  <c r="F179" i="28"/>
  <c r="G179" i="28" s="1"/>
  <c r="F180" i="28"/>
  <c r="G180" i="28" s="1"/>
  <c r="F181" i="28"/>
  <c r="G181" i="28" s="1"/>
  <c r="I181" i="28" s="1"/>
  <c r="F182" i="28"/>
  <c r="G182" i="28" s="1"/>
  <c r="I182" i="28" s="1"/>
  <c r="F183" i="28"/>
  <c r="G183" i="28" s="1"/>
  <c r="F184" i="28"/>
  <c r="G184" i="28" s="1"/>
  <c r="I184" i="28" s="1"/>
  <c r="F185" i="28"/>
  <c r="G185" i="28" s="1"/>
  <c r="I185" i="28" s="1"/>
  <c r="F186" i="28"/>
  <c r="G186" i="28" s="1"/>
  <c r="F187" i="28"/>
  <c r="G187" i="28" s="1"/>
  <c r="F188" i="28"/>
  <c r="G188" i="28" s="1"/>
  <c r="F189" i="28"/>
  <c r="G189" i="28" s="1"/>
  <c r="I189" i="28" s="1"/>
  <c r="F190" i="28"/>
  <c r="G190" i="28" s="1"/>
  <c r="I190" i="28" s="1"/>
  <c r="F191" i="28"/>
  <c r="G191" i="28" s="1"/>
  <c r="F192" i="28"/>
  <c r="G192" i="28" s="1"/>
  <c r="I192" i="28" s="1"/>
  <c r="F193" i="28"/>
  <c r="G193" i="28" s="1"/>
  <c r="I193" i="28" s="1"/>
  <c r="F194" i="28"/>
  <c r="G194" i="28" s="1"/>
  <c r="F195" i="28"/>
  <c r="G195" i="28" s="1"/>
  <c r="F196" i="28"/>
  <c r="G196" i="28" s="1"/>
  <c r="F197" i="28"/>
  <c r="G197" i="28" s="1"/>
  <c r="I197" i="28" s="1"/>
  <c r="F198" i="28"/>
  <c r="G198" i="28" s="1"/>
  <c r="I198" i="28" s="1"/>
  <c r="F199" i="28"/>
  <c r="G199" i="28" s="1"/>
  <c r="F200" i="28"/>
  <c r="G200" i="28" s="1"/>
  <c r="I200" i="28" s="1"/>
  <c r="F201" i="28"/>
  <c r="G201" i="28" s="1"/>
  <c r="I201" i="28" s="1"/>
  <c r="F202" i="28"/>
  <c r="G202" i="28" s="1"/>
  <c r="F203" i="28"/>
  <c r="G203" i="28" s="1"/>
  <c r="F204" i="28"/>
  <c r="G204" i="28" s="1"/>
  <c r="F205" i="28"/>
  <c r="G205" i="28" s="1"/>
  <c r="I205" i="28" s="1"/>
  <c r="F206" i="28"/>
  <c r="G206" i="28" s="1"/>
  <c r="I206" i="28" s="1"/>
  <c r="F207" i="28"/>
  <c r="G207" i="28" s="1"/>
  <c r="F208" i="28"/>
  <c r="G208" i="28" s="1"/>
  <c r="I208" i="28" s="1"/>
  <c r="F209" i="28"/>
  <c r="G209" i="28" s="1"/>
  <c r="I209" i="28" s="1"/>
  <c r="F210" i="28"/>
  <c r="G210" i="28" s="1"/>
  <c r="F211" i="28"/>
  <c r="G211" i="28" s="1"/>
  <c r="F212" i="28"/>
  <c r="G212" i="28" s="1"/>
  <c r="F213" i="28"/>
  <c r="G213" i="28" s="1"/>
  <c r="I213" i="28" s="1"/>
  <c r="F214" i="28"/>
  <c r="G214" i="28" s="1"/>
  <c r="I214" i="28" s="1"/>
  <c r="F215" i="28"/>
  <c r="G215" i="28" s="1"/>
  <c r="F216" i="28"/>
  <c r="G216" i="28" s="1"/>
  <c r="I216" i="28" s="1"/>
  <c r="F217" i="28"/>
  <c r="G217" i="28" s="1"/>
  <c r="I217" i="28" s="1"/>
  <c r="F218" i="28"/>
  <c r="G218" i="28" s="1"/>
  <c r="F219" i="28"/>
  <c r="G219" i="28" s="1"/>
  <c r="F220" i="28"/>
  <c r="G220" i="28" s="1"/>
  <c r="F221" i="28"/>
  <c r="G221" i="28" s="1"/>
  <c r="I221" i="28" s="1"/>
  <c r="F222" i="28"/>
  <c r="G222" i="28" s="1"/>
  <c r="I222" i="28" s="1"/>
  <c r="F223" i="28"/>
  <c r="G223" i="28" s="1"/>
  <c r="F224" i="28"/>
  <c r="G224" i="28" s="1"/>
  <c r="I224" i="28" s="1"/>
  <c r="F225" i="28"/>
  <c r="G225" i="28" s="1"/>
  <c r="I225" i="28" s="1"/>
  <c r="F226" i="28"/>
  <c r="G226" i="28" s="1"/>
  <c r="F227" i="28"/>
  <c r="G227" i="28" s="1"/>
  <c r="F228" i="28"/>
  <c r="G228" i="28" s="1"/>
  <c r="F229" i="28"/>
  <c r="G229" i="28" s="1"/>
  <c r="I229" i="28" s="1"/>
  <c r="F230" i="28"/>
  <c r="G230" i="28" s="1"/>
  <c r="I230" i="28" s="1"/>
  <c r="F231" i="28"/>
  <c r="G231" i="28" s="1"/>
  <c r="F232" i="28"/>
  <c r="G232" i="28" s="1"/>
  <c r="I232" i="28" s="1"/>
  <c r="F233" i="28"/>
  <c r="G233" i="28" s="1"/>
  <c r="I233" i="28" s="1"/>
  <c r="F234" i="28"/>
  <c r="G234" i="28" s="1"/>
  <c r="F235" i="28"/>
  <c r="G235" i="28" s="1"/>
  <c r="F236" i="28"/>
  <c r="G236" i="28" s="1"/>
  <c r="F237" i="28"/>
  <c r="G237" i="28" s="1"/>
  <c r="I237" i="28" s="1"/>
  <c r="F238" i="28"/>
  <c r="G238" i="28" s="1"/>
  <c r="I238" i="28" s="1"/>
  <c r="F239" i="28"/>
  <c r="G239" i="28" s="1"/>
  <c r="F240" i="28"/>
  <c r="G240" i="28" s="1"/>
  <c r="I240" i="28" s="1"/>
  <c r="F241" i="28"/>
  <c r="G241" i="28" s="1"/>
  <c r="I241" i="28" s="1"/>
  <c r="F242" i="28"/>
  <c r="G242" i="28" s="1"/>
  <c r="F243" i="28"/>
  <c r="G243" i="28" s="1"/>
  <c r="F244" i="28"/>
  <c r="G244" i="28" s="1"/>
  <c r="F245" i="28"/>
  <c r="G245" i="28" s="1"/>
  <c r="I245" i="28" s="1"/>
  <c r="F246" i="28"/>
  <c r="G246" i="28" s="1"/>
  <c r="I246" i="28" s="1"/>
  <c r="F247" i="28"/>
  <c r="G247" i="28" s="1"/>
  <c r="F248" i="28"/>
  <c r="G248" i="28" s="1"/>
  <c r="I248" i="28" s="1"/>
  <c r="F249" i="28"/>
  <c r="G249" i="28" s="1"/>
  <c r="I249" i="28" s="1"/>
  <c r="F250" i="28"/>
  <c r="G250" i="28" s="1"/>
  <c r="F251" i="28"/>
  <c r="G251" i="28" s="1"/>
  <c r="F252" i="28"/>
  <c r="G252" i="28" s="1"/>
  <c r="F253" i="28"/>
  <c r="G253" i="28" s="1"/>
  <c r="I253" i="28" s="1"/>
  <c r="F254" i="28"/>
  <c r="G254" i="28" s="1"/>
  <c r="I254" i="28" s="1"/>
  <c r="F255" i="28"/>
  <c r="G255" i="28" s="1"/>
  <c r="F256" i="28"/>
  <c r="G256" i="28" s="1"/>
  <c r="I256" i="28" s="1"/>
  <c r="F257" i="28"/>
  <c r="G257" i="28" s="1"/>
  <c r="I257" i="28" s="1"/>
  <c r="F258" i="28"/>
  <c r="G258" i="28" s="1"/>
  <c r="F259" i="28"/>
  <c r="G259" i="28" s="1"/>
  <c r="F260" i="28"/>
  <c r="G260" i="28" s="1"/>
  <c r="F261" i="28"/>
  <c r="G261" i="28" s="1"/>
  <c r="I261" i="28" s="1"/>
  <c r="F262" i="28"/>
  <c r="G262" i="28" s="1"/>
  <c r="I262" i="28" s="1"/>
  <c r="F263" i="28"/>
  <c r="G263" i="28" s="1"/>
  <c r="F264" i="28"/>
  <c r="G264" i="28" s="1"/>
  <c r="I264" i="28" s="1"/>
  <c r="F265" i="28"/>
  <c r="G265" i="28" s="1"/>
  <c r="I265" i="28" s="1"/>
  <c r="F266" i="28"/>
  <c r="G266" i="28" s="1"/>
  <c r="F267" i="28"/>
  <c r="G267" i="28" s="1"/>
  <c r="F268" i="28"/>
  <c r="G268" i="28" s="1"/>
  <c r="F269" i="28"/>
  <c r="G269" i="28" s="1"/>
  <c r="I269" i="28" s="1"/>
  <c r="F270" i="28"/>
  <c r="G270" i="28" s="1"/>
  <c r="I270" i="28" s="1"/>
  <c r="F271" i="28"/>
  <c r="G271" i="28" s="1"/>
  <c r="F272" i="28"/>
  <c r="G272" i="28" s="1"/>
  <c r="I272" i="28" s="1"/>
  <c r="F273" i="28"/>
  <c r="G273" i="28" s="1"/>
  <c r="I273" i="28" s="1"/>
  <c r="F274" i="28"/>
  <c r="G274" i="28" s="1"/>
  <c r="F275" i="28"/>
  <c r="G275" i="28" s="1"/>
  <c r="F276" i="28"/>
  <c r="G276" i="28" s="1"/>
  <c r="F277" i="28"/>
  <c r="G277" i="28" s="1"/>
  <c r="I277" i="28" s="1"/>
  <c r="F278" i="28"/>
  <c r="G278" i="28" s="1"/>
  <c r="I278" i="28" s="1"/>
  <c r="F279" i="28"/>
  <c r="G279" i="28" s="1"/>
  <c r="F280" i="28"/>
  <c r="G280" i="28" s="1"/>
  <c r="I280" i="28" s="1"/>
  <c r="F281" i="28"/>
  <c r="G281" i="28" s="1"/>
  <c r="I281" i="28" s="1"/>
  <c r="F282" i="28"/>
  <c r="G282" i="28" s="1"/>
  <c r="F283" i="28"/>
  <c r="G283" i="28" s="1"/>
  <c r="F284" i="28"/>
  <c r="G284" i="28" s="1"/>
  <c r="F285" i="28"/>
  <c r="G285" i="28" s="1"/>
  <c r="I285" i="28" s="1"/>
  <c r="F286" i="28"/>
  <c r="G286" i="28" s="1"/>
  <c r="I286" i="28" s="1"/>
  <c r="F287" i="28"/>
  <c r="G287" i="28" s="1"/>
  <c r="F288" i="28"/>
  <c r="G288" i="28" s="1"/>
  <c r="I288" i="28" s="1"/>
  <c r="F289" i="28"/>
  <c r="G289" i="28" s="1"/>
  <c r="I289" i="28" s="1"/>
  <c r="F290" i="28"/>
  <c r="G290" i="28" s="1"/>
  <c r="F291" i="28"/>
  <c r="G291" i="28" s="1"/>
  <c r="F292" i="28"/>
  <c r="G292" i="28" s="1"/>
  <c r="F293" i="28"/>
  <c r="G293" i="28" s="1"/>
  <c r="I293" i="28" s="1"/>
  <c r="F294" i="28"/>
  <c r="G294" i="28" s="1"/>
  <c r="I294" i="28" s="1"/>
  <c r="F295" i="28"/>
  <c r="G295" i="28" s="1"/>
  <c r="F296" i="28"/>
  <c r="G296" i="28" s="1"/>
  <c r="I296" i="28" s="1"/>
  <c r="F297" i="28"/>
  <c r="G297" i="28" s="1"/>
  <c r="I297" i="28" s="1"/>
  <c r="F298" i="28"/>
  <c r="G298" i="28" s="1"/>
  <c r="F299" i="28"/>
  <c r="G299" i="28" s="1"/>
  <c r="F300" i="28"/>
  <c r="G300" i="28" s="1"/>
  <c r="F301" i="28"/>
  <c r="G301" i="28" s="1"/>
  <c r="I301" i="28" s="1"/>
  <c r="F302" i="28"/>
  <c r="G302" i="28" s="1"/>
  <c r="I302" i="28" s="1"/>
  <c r="F303" i="28"/>
  <c r="G303" i="28" s="1"/>
  <c r="F304" i="28"/>
  <c r="G304" i="28" s="1"/>
  <c r="I304" i="28" s="1"/>
  <c r="F305" i="28"/>
  <c r="G305" i="28" s="1"/>
  <c r="I305" i="28" s="1"/>
  <c r="F306" i="28"/>
  <c r="G306" i="28" s="1"/>
  <c r="F307" i="28"/>
  <c r="G307" i="28" s="1"/>
  <c r="F308" i="28"/>
  <c r="G308" i="28" s="1"/>
  <c r="F309" i="28"/>
  <c r="G309" i="28" s="1"/>
  <c r="I309" i="28" s="1"/>
  <c r="F310" i="28"/>
  <c r="G310" i="28" s="1"/>
  <c r="I310" i="28" s="1"/>
  <c r="F311" i="28"/>
  <c r="G311" i="28" s="1"/>
  <c r="F312" i="28"/>
  <c r="G312" i="28" s="1"/>
  <c r="I312" i="28" s="1"/>
  <c r="F313" i="28"/>
  <c r="G313" i="28" s="1"/>
  <c r="I313" i="28" s="1"/>
  <c r="F314" i="28"/>
  <c r="G314" i="28" s="1"/>
  <c r="F315" i="28"/>
  <c r="G315" i="28" s="1"/>
  <c r="F316" i="28"/>
  <c r="G316" i="28" s="1"/>
  <c r="F317" i="28"/>
  <c r="G317" i="28" s="1"/>
  <c r="I317" i="28" s="1"/>
  <c r="F318" i="28"/>
  <c r="G318" i="28" s="1"/>
  <c r="I318" i="28" s="1"/>
  <c r="F319" i="28"/>
  <c r="G319" i="28" s="1"/>
  <c r="F320" i="28"/>
  <c r="G320" i="28" s="1"/>
  <c r="I320" i="28" s="1"/>
  <c r="F321" i="28"/>
  <c r="G321" i="28" s="1"/>
  <c r="I321" i="28" s="1"/>
  <c r="F322" i="28"/>
  <c r="G322" i="28" s="1"/>
  <c r="F323" i="28"/>
  <c r="G323" i="28" s="1"/>
  <c r="F324" i="28"/>
  <c r="G324" i="28" s="1"/>
  <c r="F325" i="28"/>
  <c r="G325" i="28" s="1"/>
  <c r="I325" i="28" s="1"/>
  <c r="F326" i="28"/>
  <c r="G326" i="28" s="1"/>
  <c r="I326" i="28" s="1"/>
  <c r="F327" i="28"/>
  <c r="G327" i="28" s="1"/>
  <c r="F328" i="28"/>
  <c r="G328" i="28" s="1"/>
  <c r="I328" i="28" s="1"/>
  <c r="F329" i="28"/>
  <c r="G329" i="28" s="1"/>
  <c r="I329" i="28" s="1"/>
  <c r="F330" i="28"/>
  <c r="G330" i="28" s="1"/>
  <c r="F331" i="28"/>
  <c r="G331" i="28" s="1"/>
  <c r="F332" i="28"/>
  <c r="G332" i="28" s="1"/>
  <c r="F333" i="28"/>
  <c r="G333" i="28" s="1"/>
  <c r="I333" i="28" s="1"/>
  <c r="F334" i="28"/>
  <c r="G334" i="28" s="1"/>
  <c r="I334" i="28" s="1"/>
  <c r="F335" i="28"/>
  <c r="G335" i="28" s="1"/>
  <c r="F336" i="28"/>
  <c r="G336" i="28" s="1"/>
  <c r="I336" i="28" s="1"/>
  <c r="F337" i="28"/>
  <c r="G337" i="28" s="1"/>
  <c r="I337" i="28" s="1"/>
  <c r="F338" i="28"/>
  <c r="G338" i="28" s="1"/>
  <c r="F339" i="28"/>
  <c r="G339" i="28" s="1"/>
  <c r="F340" i="28"/>
  <c r="G340" i="28" s="1"/>
  <c r="F341" i="28"/>
  <c r="G341" i="28" s="1"/>
  <c r="I341" i="28" s="1"/>
  <c r="F342" i="28"/>
  <c r="G342" i="28" s="1"/>
  <c r="I342" i="28" s="1"/>
  <c r="F343" i="28"/>
  <c r="G343" i="28" s="1"/>
  <c r="F344" i="28"/>
  <c r="G344" i="28" s="1"/>
  <c r="I344" i="28" s="1"/>
  <c r="F345" i="28"/>
  <c r="G345" i="28" s="1"/>
  <c r="I345" i="28" s="1"/>
  <c r="F346" i="28"/>
  <c r="G346" i="28" s="1"/>
  <c r="F347" i="28"/>
  <c r="G347" i="28" s="1"/>
  <c r="F348" i="28"/>
  <c r="G348" i="28" s="1"/>
  <c r="F349" i="28"/>
  <c r="G349" i="28" s="1"/>
  <c r="I349" i="28" s="1"/>
  <c r="F350" i="28"/>
  <c r="G350" i="28" s="1"/>
  <c r="I350" i="28" s="1"/>
  <c r="F351" i="28"/>
  <c r="G351" i="28" s="1"/>
  <c r="F352" i="28"/>
  <c r="G352" i="28" s="1"/>
  <c r="I352" i="28" s="1"/>
  <c r="F353" i="28"/>
  <c r="G353" i="28" s="1"/>
  <c r="I353" i="28" s="1"/>
  <c r="F354" i="28"/>
  <c r="G354" i="28" s="1"/>
  <c r="F355" i="28"/>
  <c r="G355" i="28" s="1"/>
  <c r="F356" i="28"/>
  <c r="G356" i="28" s="1"/>
  <c r="F357" i="28"/>
  <c r="G357" i="28" s="1"/>
  <c r="I357" i="28" s="1"/>
  <c r="F358" i="28"/>
  <c r="G358" i="28" s="1"/>
  <c r="I358" i="28" s="1"/>
  <c r="F359" i="28"/>
  <c r="G359" i="28" s="1"/>
  <c r="F360" i="28"/>
  <c r="G360" i="28" s="1"/>
  <c r="I360" i="28" s="1"/>
  <c r="F361" i="28"/>
  <c r="G361" i="28" s="1"/>
  <c r="I361" i="28" s="1"/>
  <c r="F362" i="28"/>
  <c r="G362" i="28" s="1"/>
  <c r="F363" i="28"/>
  <c r="G363" i="28" s="1"/>
  <c r="F364" i="28"/>
  <c r="G364" i="28" s="1"/>
  <c r="F365" i="28"/>
  <c r="G365" i="28" s="1"/>
  <c r="I365" i="28" s="1"/>
  <c r="F366" i="28"/>
  <c r="G366" i="28" s="1"/>
  <c r="I366" i="28" s="1"/>
  <c r="F367" i="28"/>
  <c r="G367" i="28" s="1"/>
  <c r="F368" i="28"/>
  <c r="G368" i="28" s="1"/>
  <c r="I368" i="28" s="1"/>
  <c r="F369" i="28"/>
  <c r="G369" i="28" s="1"/>
  <c r="I369" i="28" s="1"/>
  <c r="F370" i="28"/>
  <c r="G370" i="28" s="1"/>
  <c r="F371" i="28"/>
  <c r="G371" i="28" s="1"/>
  <c r="F372" i="28"/>
  <c r="G372" i="28" s="1"/>
  <c r="F373" i="28"/>
  <c r="G373" i="28" s="1"/>
  <c r="I373" i="28" s="1"/>
  <c r="F374" i="28"/>
  <c r="G374" i="28" s="1"/>
  <c r="I374" i="28" s="1"/>
  <c r="F375" i="28"/>
  <c r="G375" i="28" s="1"/>
  <c r="F376" i="28"/>
  <c r="G376" i="28" s="1"/>
  <c r="I376" i="28" s="1"/>
  <c r="F377" i="28"/>
  <c r="G377" i="28" s="1"/>
  <c r="I377" i="28" s="1"/>
  <c r="F378" i="28"/>
  <c r="G378" i="28" s="1"/>
  <c r="F379" i="28"/>
  <c r="G379" i="28" s="1"/>
  <c r="F380" i="28"/>
  <c r="G380" i="28" s="1"/>
  <c r="F381" i="28"/>
  <c r="G381" i="28" s="1"/>
  <c r="I381" i="28" s="1"/>
  <c r="F382" i="28"/>
  <c r="G382" i="28" s="1"/>
  <c r="I382" i="28" s="1"/>
  <c r="F383" i="28"/>
  <c r="G383" i="28" s="1"/>
  <c r="F384" i="28"/>
  <c r="G384" i="28" s="1"/>
  <c r="I384" i="28" s="1"/>
  <c r="F385" i="28"/>
  <c r="G385" i="28" s="1"/>
  <c r="I385" i="28" s="1"/>
  <c r="F386" i="28"/>
  <c r="G386" i="28" s="1"/>
  <c r="F387" i="28"/>
  <c r="G387" i="28" s="1"/>
  <c r="F388" i="28"/>
  <c r="G388" i="28" s="1"/>
  <c r="F389" i="28"/>
  <c r="G389" i="28" s="1"/>
  <c r="I389" i="28" s="1"/>
  <c r="F390" i="28"/>
  <c r="G390" i="28" s="1"/>
  <c r="I390" i="28" s="1"/>
  <c r="F391" i="28"/>
  <c r="G391" i="28" s="1"/>
  <c r="F392" i="28"/>
  <c r="G392" i="28" s="1"/>
  <c r="I392" i="28" s="1"/>
  <c r="F393" i="28"/>
  <c r="G393" i="28" s="1"/>
  <c r="I393" i="28" s="1"/>
  <c r="F394" i="28"/>
  <c r="G394" i="28" s="1"/>
  <c r="F395" i="28"/>
  <c r="G395" i="28" s="1"/>
  <c r="F396" i="28"/>
  <c r="G396" i="28" s="1"/>
  <c r="F397" i="28"/>
  <c r="G397" i="28" s="1"/>
  <c r="I397" i="28" s="1"/>
  <c r="F398" i="28"/>
  <c r="G398" i="28" s="1"/>
  <c r="I398" i="28" s="1"/>
  <c r="F399" i="28"/>
  <c r="G399" i="28" s="1"/>
  <c r="F400" i="28"/>
  <c r="G400" i="28" s="1"/>
  <c r="I400" i="28" s="1"/>
  <c r="F401" i="28"/>
  <c r="G401" i="28" s="1"/>
  <c r="I401" i="28" s="1"/>
  <c r="F402" i="28"/>
  <c r="G402" i="28" s="1"/>
  <c r="F403" i="28"/>
  <c r="G403" i="28" s="1"/>
  <c r="F404" i="28"/>
  <c r="G404" i="28" s="1"/>
  <c r="F405" i="28"/>
  <c r="G405" i="28" s="1"/>
  <c r="I405" i="28" s="1"/>
  <c r="F406" i="28"/>
  <c r="G406" i="28" s="1"/>
  <c r="I406" i="28" s="1"/>
  <c r="F407" i="28"/>
  <c r="G407" i="28" s="1"/>
  <c r="F408" i="28"/>
  <c r="G408" i="28" s="1"/>
  <c r="I408" i="28" s="1"/>
  <c r="F409" i="28"/>
  <c r="G409" i="28" s="1"/>
  <c r="I409" i="28" s="1"/>
  <c r="F410" i="28"/>
  <c r="G410" i="28" s="1"/>
  <c r="F411" i="28"/>
  <c r="G411" i="28" s="1"/>
  <c r="F412" i="28"/>
  <c r="G412" i="28" s="1"/>
  <c r="F413" i="28"/>
  <c r="G413" i="28" s="1"/>
  <c r="I413" i="28" s="1"/>
  <c r="F414" i="28"/>
  <c r="G414" i="28" s="1"/>
  <c r="I414" i="28" s="1"/>
  <c r="F415" i="28"/>
  <c r="G415" i="28" s="1"/>
  <c r="F416" i="28"/>
  <c r="G416" i="28" s="1"/>
  <c r="I416" i="28" s="1"/>
  <c r="F417" i="28"/>
  <c r="G417" i="28" s="1"/>
  <c r="I417" i="28" s="1"/>
  <c r="F418" i="28"/>
  <c r="G418" i="28" s="1"/>
  <c r="F419" i="28"/>
  <c r="G419" i="28" s="1"/>
  <c r="F420" i="28"/>
  <c r="G420" i="28" s="1"/>
  <c r="F421" i="28"/>
  <c r="G421" i="28" s="1"/>
  <c r="I421" i="28" s="1"/>
  <c r="F422" i="28"/>
  <c r="G422" i="28" s="1"/>
  <c r="I422" i="28" s="1"/>
  <c r="F423" i="28"/>
  <c r="G423" i="28" s="1"/>
  <c r="F424" i="28"/>
  <c r="G424" i="28" s="1"/>
  <c r="I424" i="28" s="1"/>
  <c r="F425" i="28"/>
  <c r="G425" i="28" s="1"/>
  <c r="I425" i="28" s="1"/>
  <c r="F426" i="28"/>
  <c r="G426" i="28" s="1"/>
  <c r="F427" i="28"/>
  <c r="G427" i="28" s="1"/>
  <c r="F428" i="28"/>
  <c r="G428" i="28" s="1"/>
  <c r="F429" i="28"/>
  <c r="G429" i="28" s="1"/>
  <c r="I429" i="28" s="1"/>
  <c r="F430" i="28"/>
  <c r="G430" i="28" s="1"/>
  <c r="I430" i="28" s="1"/>
  <c r="F431" i="28"/>
  <c r="G431" i="28" s="1"/>
  <c r="F432" i="28"/>
  <c r="G432" i="28" s="1"/>
  <c r="I432" i="28" s="1"/>
  <c r="F433" i="28"/>
  <c r="G433" i="28" s="1"/>
  <c r="I433" i="28" s="1"/>
  <c r="F434" i="28"/>
  <c r="G434" i="28" s="1"/>
  <c r="F435" i="28"/>
  <c r="G435" i="28" s="1"/>
  <c r="F436" i="28"/>
  <c r="G436" i="28" s="1"/>
  <c r="F437" i="28"/>
  <c r="G437" i="28" s="1"/>
  <c r="I437" i="28" s="1"/>
  <c r="F438" i="28"/>
  <c r="G438" i="28" s="1"/>
  <c r="I438" i="28" s="1"/>
  <c r="F439" i="28"/>
  <c r="G439" i="28" s="1"/>
  <c r="F440" i="28"/>
  <c r="G440" i="28" s="1"/>
  <c r="I440" i="28" s="1"/>
  <c r="F441" i="28"/>
  <c r="G441" i="28" s="1"/>
  <c r="I441" i="28" s="1"/>
  <c r="F442" i="28"/>
  <c r="G442" i="28" s="1"/>
  <c r="F443" i="28"/>
  <c r="G443" i="28" s="1"/>
  <c r="F444" i="28"/>
  <c r="G444" i="28" s="1"/>
  <c r="F445" i="28"/>
  <c r="G445" i="28" s="1"/>
  <c r="I445" i="28" s="1"/>
  <c r="F446" i="28"/>
  <c r="G446" i="28" s="1"/>
  <c r="I446" i="28" s="1"/>
  <c r="F447" i="28"/>
  <c r="G447" i="28" s="1"/>
  <c r="F448" i="28"/>
  <c r="G448" i="28" s="1"/>
  <c r="I448" i="28" s="1"/>
  <c r="F449" i="28"/>
  <c r="G449" i="28" s="1"/>
  <c r="I449" i="28" s="1"/>
  <c r="F450" i="28"/>
  <c r="G450" i="28" s="1"/>
  <c r="F451" i="28"/>
  <c r="G451" i="28" s="1"/>
  <c r="F452" i="28"/>
  <c r="G452" i="28" s="1"/>
  <c r="F453" i="28"/>
  <c r="G453" i="28" s="1"/>
  <c r="I453" i="28" s="1"/>
  <c r="F454" i="28"/>
  <c r="G454" i="28" s="1"/>
  <c r="I454" i="28" s="1"/>
  <c r="F455" i="28"/>
  <c r="G455" i="28" s="1"/>
  <c r="F456" i="28"/>
  <c r="G456" i="28" s="1"/>
  <c r="I456" i="28" s="1"/>
  <c r="F457" i="28"/>
  <c r="G457" i="28" s="1"/>
  <c r="I457" i="28" s="1"/>
  <c r="F458" i="28"/>
  <c r="G458" i="28" s="1"/>
  <c r="F459" i="28"/>
  <c r="G459" i="28" s="1"/>
  <c r="F460" i="28"/>
  <c r="G460" i="28" s="1"/>
  <c r="F461" i="28"/>
  <c r="G461" i="28" s="1"/>
  <c r="I461" i="28" s="1"/>
  <c r="F462" i="28"/>
  <c r="G462" i="28" s="1"/>
  <c r="I462" i="28" s="1"/>
  <c r="F463" i="28"/>
  <c r="G463" i="28" s="1"/>
  <c r="F464" i="28"/>
  <c r="G464" i="28" s="1"/>
  <c r="I464" i="28" s="1"/>
  <c r="F465" i="28"/>
  <c r="G465" i="28" s="1"/>
  <c r="I465" i="28" s="1"/>
  <c r="F466" i="28"/>
  <c r="G466" i="28" s="1"/>
  <c r="F467" i="28"/>
  <c r="G467" i="28" s="1"/>
  <c r="F468" i="28"/>
  <c r="G468" i="28" s="1"/>
  <c r="F469" i="28"/>
  <c r="G469" i="28" s="1"/>
  <c r="I469" i="28" s="1"/>
  <c r="F470" i="28"/>
  <c r="G470" i="28" s="1"/>
  <c r="I470" i="28" s="1"/>
  <c r="F471" i="28"/>
  <c r="G471" i="28" s="1"/>
  <c r="F472" i="28"/>
  <c r="G472" i="28" s="1"/>
  <c r="I472" i="28" s="1"/>
  <c r="F473" i="28"/>
  <c r="G473" i="28" s="1"/>
  <c r="I473" i="28" s="1"/>
  <c r="F474" i="28"/>
  <c r="G474" i="28" s="1"/>
  <c r="F475" i="28"/>
  <c r="G475" i="28" s="1"/>
  <c r="F476" i="28"/>
  <c r="G476" i="28" s="1"/>
  <c r="F477" i="28"/>
  <c r="G477" i="28" s="1"/>
  <c r="I477" i="28" s="1"/>
  <c r="F478" i="28"/>
  <c r="G478" i="28" s="1"/>
  <c r="I478" i="28" s="1"/>
  <c r="F479" i="28"/>
  <c r="G479" i="28" s="1"/>
  <c r="F480" i="28"/>
  <c r="G480" i="28" s="1"/>
  <c r="I480" i="28" s="1"/>
  <c r="F481" i="28"/>
  <c r="G481" i="28" s="1"/>
  <c r="I481" i="28" s="1"/>
  <c r="F482" i="28"/>
  <c r="G482" i="28" s="1"/>
  <c r="F483" i="28"/>
  <c r="G483" i="28" s="1"/>
  <c r="F484" i="28"/>
  <c r="G484" i="28" s="1"/>
  <c r="F485" i="28"/>
  <c r="G485" i="28" s="1"/>
  <c r="I485" i="28" s="1"/>
  <c r="F486" i="28"/>
  <c r="G486" i="28" s="1"/>
  <c r="I486" i="28" s="1"/>
  <c r="F487" i="28"/>
  <c r="G487" i="28" s="1"/>
  <c r="F488" i="28"/>
  <c r="G488" i="28" s="1"/>
  <c r="I488" i="28" s="1"/>
  <c r="F489" i="28"/>
  <c r="G489" i="28" s="1"/>
  <c r="I489" i="28" s="1"/>
  <c r="F490" i="28"/>
  <c r="G490" i="28" s="1"/>
  <c r="F491" i="28"/>
  <c r="G491" i="28" s="1"/>
  <c r="F492" i="28"/>
  <c r="G492" i="28" s="1"/>
  <c r="F493" i="28"/>
  <c r="G493" i="28" s="1"/>
  <c r="I493" i="28" s="1"/>
  <c r="F494" i="28"/>
  <c r="G494" i="28" s="1"/>
  <c r="I494" i="28" s="1"/>
  <c r="F495" i="28"/>
  <c r="G495" i="28" s="1"/>
  <c r="F496" i="28"/>
  <c r="G496" i="28" s="1"/>
  <c r="I496" i="28" s="1"/>
  <c r="F497" i="28"/>
  <c r="G497" i="28" s="1"/>
  <c r="I497" i="28" s="1"/>
  <c r="F498" i="28"/>
  <c r="G498" i="28" s="1"/>
  <c r="F499" i="28"/>
  <c r="G499" i="28" s="1"/>
  <c r="F500" i="28"/>
  <c r="G500" i="28" s="1"/>
  <c r="F501" i="28"/>
  <c r="G501" i="28" s="1"/>
  <c r="I501" i="28" s="1"/>
  <c r="F502" i="28"/>
  <c r="G502" i="28" s="1"/>
  <c r="I502" i="28" s="1"/>
  <c r="F503" i="28"/>
  <c r="G503" i="28" s="1"/>
  <c r="F504" i="28"/>
  <c r="G504" i="28" s="1"/>
  <c r="I504" i="28" s="1"/>
  <c r="F505" i="28"/>
  <c r="G505" i="28" s="1"/>
  <c r="I505" i="28" s="1"/>
  <c r="F506" i="28"/>
  <c r="G506" i="28" s="1"/>
  <c r="F507" i="28"/>
  <c r="G507" i="28" s="1"/>
  <c r="F508" i="28"/>
  <c r="G508" i="28" s="1"/>
  <c r="F509" i="28"/>
  <c r="G509" i="28" s="1"/>
  <c r="I509" i="28" s="1"/>
  <c r="F510" i="28"/>
  <c r="G510" i="28" s="1"/>
  <c r="I510" i="28" s="1"/>
  <c r="F511" i="28"/>
  <c r="G511" i="28" s="1"/>
  <c r="F512" i="28"/>
  <c r="G512" i="28" s="1"/>
  <c r="I512" i="28" s="1"/>
  <c r="F513" i="28"/>
  <c r="G513" i="28" s="1"/>
  <c r="I513" i="28" s="1"/>
  <c r="F514" i="28"/>
  <c r="G514" i="28" s="1"/>
  <c r="F515" i="28"/>
  <c r="G515" i="28" s="1"/>
  <c r="F516" i="28"/>
  <c r="G516" i="28" s="1"/>
  <c r="F517" i="28"/>
  <c r="G517" i="28" s="1"/>
  <c r="I517" i="28" s="1"/>
  <c r="F518" i="28"/>
  <c r="G518" i="28" s="1"/>
  <c r="I518" i="28" s="1"/>
  <c r="F519" i="28"/>
  <c r="G519" i="28" s="1"/>
  <c r="F520" i="28"/>
  <c r="G520" i="28" s="1"/>
  <c r="I520" i="28" s="1"/>
  <c r="F521" i="28"/>
  <c r="G521" i="28" s="1"/>
  <c r="I521" i="28" s="1"/>
  <c r="F522" i="28"/>
  <c r="G522" i="28" s="1"/>
  <c r="F523" i="28"/>
  <c r="G523" i="28" s="1"/>
  <c r="F524" i="28"/>
  <c r="G524" i="28" s="1"/>
  <c r="F525" i="28"/>
  <c r="G525" i="28" s="1"/>
  <c r="I525" i="28" s="1"/>
  <c r="F526" i="28"/>
  <c r="G526" i="28" s="1"/>
  <c r="I526" i="28" s="1"/>
  <c r="F527" i="28"/>
  <c r="G527" i="28" s="1"/>
  <c r="F528" i="28"/>
  <c r="G528" i="28" s="1"/>
  <c r="I528" i="28" s="1"/>
  <c r="F529" i="28"/>
  <c r="G529" i="28" s="1"/>
  <c r="I529" i="28" s="1"/>
  <c r="F530" i="28"/>
  <c r="G530" i="28" s="1"/>
  <c r="F531" i="28"/>
  <c r="G531" i="28" s="1"/>
  <c r="F532" i="28"/>
  <c r="G532" i="28" s="1"/>
  <c r="F533" i="28"/>
  <c r="G533" i="28" s="1"/>
  <c r="I533" i="28" s="1"/>
  <c r="F534" i="28"/>
  <c r="G534" i="28" s="1"/>
  <c r="I534" i="28" s="1"/>
  <c r="F535" i="28"/>
  <c r="G535" i="28" s="1"/>
  <c r="F536" i="28"/>
  <c r="G536" i="28" s="1"/>
  <c r="I536" i="28" s="1"/>
  <c r="F537" i="28"/>
  <c r="G537" i="28" s="1"/>
  <c r="I537" i="28" s="1"/>
  <c r="F538" i="28"/>
  <c r="G538" i="28" s="1"/>
  <c r="F539" i="28"/>
  <c r="G539" i="28" s="1"/>
  <c r="F540" i="28"/>
  <c r="G540" i="28" s="1"/>
  <c r="F541" i="28"/>
  <c r="G541" i="28" s="1"/>
  <c r="I541" i="28" s="1"/>
  <c r="F542" i="28"/>
  <c r="G542" i="28" s="1"/>
  <c r="I542" i="28" s="1"/>
  <c r="F543" i="28"/>
  <c r="G543" i="28" s="1"/>
  <c r="F544" i="28"/>
  <c r="G544" i="28" s="1"/>
  <c r="I544" i="28" s="1"/>
  <c r="F545" i="28"/>
  <c r="G545" i="28" s="1"/>
  <c r="I545" i="28" s="1"/>
  <c r="F546" i="28"/>
  <c r="G546" i="28" s="1"/>
  <c r="F547" i="28"/>
  <c r="G547" i="28" s="1"/>
  <c r="F548" i="28"/>
  <c r="G548" i="28" s="1"/>
  <c r="F549" i="28"/>
  <c r="G549" i="28" s="1"/>
  <c r="I549" i="28" s="1"/>
  <c r="F550" i="28"/>
  <c r="G550" i="28" s="1"/>
  <c r="I550" i="28" s="1"/>
  <c r="F551" i="28"/>
  <c r="G551" i="28" s="1"/>
  <c r="F552" i="28"/>
  <c r="G552" i="28" s="1"/>
  <c r="I552" i="28" s="1"/>
  <c r="F553" i="28"/>
  <c r="G553" i="28" s="1"/>
  <c r="I553" i="28" s="1"/>
  <c r="F554" i="28"/>
  <c r="G554" i="28" s="1"/>
  <c r="F555" i="28"/>
  <c r="G555" i="28" s="1"/>
  <c r="F556" i="28"/>
  <c r="G556" i="28" s="1"/>
  <c r="F557" i="28"/>
  <c r="G557" i="28" s="1"/>
  <c r="I557" i="28" s="1"/>
  <c r="F558" i="28"/>
  <c r="G558" i="28" s="1"/>
  <c r="I558" i="28" s="1"/>
  <c r="F559" i="28"/>
  <c r="G559" i="28" s="1"/>
  <c r="F560" i="28"/>
  <c r="G560" i="28" s="1"/>
  <c r="I560" i="28" s="1"/>
  <c r="F561" i="28"/>
  <c r="G561" i="28" s="1"/>
  <c r="I561" i="28" s="1"/>
  <c r="F562" i="28"/>
  <c r="G562" i="28" s="1"/>
  <c r="F563" i="28"/>
  <c r="G563" i="28" s="1"/>
  <c r="F564" i="28"/>
  <c r="G564" i="28" s="1"/>
  <c r="F565" i="28"/>
  <c r="G565" i="28" s="1"/>
  <c r="I565" i="28" s="1"/>
  <c r="F566" i="28"/>
  <c r="G566" i="28" s="1"/>
  <c r="I566" i="28" s="1"/>
  <c r="F567" i="28"/>
  <c r="G567" i="28" s="1"/>
  <c r="F568" i="28"/>
  <c r="G568" i="28" s="1"/>
  <c r="I568" i="28" s="1"/>
  <c r="F569" i="28"/>
  <c r="G569" i="28" s="1"/>
  <c r="I569" i="28" s="1"/>
  <c r="F570" i="28"/>
  <c r="G570" i="28" s="1"/>
  <c r="F571" i="28"/>
  <c r="G571" i="28" s="1"/>
  <c r="F572" i="28"/>
  <c r="G572" i="28" s="1"/>
  <c r="F573" i="28"/>
  <c r="G573" i="28" s="1"/>
  <c r="I573" i="28" s="1"/>
  <c r="F574" i="28"/>
  <c r="G574" i="28" s="1"/>
  <c r="I574" i="28" s="1"/>
  <c r="F575" i="28"/>
  <c r="G575" i="28" s="1"/>
  <c r="F576" i="28"/>
  <c r="G576" i="28" s="1"/>
  <c r="I576" i="28" s="1"/>
  <c r="F577" i="28"/>
  <c r="G577" i="28" s="1"/>
  <c r="I577" i="28" s="1"/>
  <c r="F578" i="28"/>
  <c r="G578" i="28" s="1"/>
  <c r="F579" i="28"/>
  <c r="G579" i="28" s="1"/>
  <c r="F580" i="28"/>
  <c r="G580" i="28" s="1"/>
  <c r="F581" i="28"/>
  <c r="G581" i="28" s="1"/>
  <c r="I581" i="28" s="1"/>
  <c r="F582" i="28"/>
  <c r="G582" i="28" s="1"/>
  <c r="I582" i="28" s="1"/>
  <c r="F583" i="28"/>
  <c r="G583" i="28" s="1"/>
  <c r="F584" i="28"/>
  <c r="G584" i="28" s="1"/>
  <c r="I584" i="28" s="1"/>
  <c r="F585" i="28"/>
  <c r="G585" i="28" s="1"/>
  <c r="I585" i="28" s="1"/>
  <c r="F586" i="28"/>
  <c r="G586" i="28" s="1"/>
  <c r="F587" i="28"/>
  <c r="G587" i="28" s="1"/>
  <c r="F588" i="28"/>
  <c r="G588" i="28" s="1"/>
  <c r="F589" i="28"/>
  <c r="G589" i="28" s="1"/>
  <c r="I589" i="28" s="1"/>
  <c r="F590" i="28"/>
  <c r="G590" i="28" s="1"/>
  <c r="I590" i="28" s="1"/>
  <c r="F591" i="28"/>
  <c r="G591" i="28" s="1"/>
  <c r="F592" i="28"/>
  <c r="G592" i="28" s="1"/>
  <c r="I592" i="28" s="1"/>
  <c r="F593" i="28"/>
  <c r="G593" i="28" s="1"/>
  <c r="I593" i="28" s="1"/>
  <c r="F594" i="28"/>
  <c r="G594" i="28" s="1"/>
  <c r="F595" i="28"/>
  <c r="G595" i="28" s="1"/>
  <c r="F596" i="28"/>
  <c r="G596" i="28" s="1"/>
  <c r="F597" i="28"/>
  <c r="G597" i="28" s="1"/>
  <c r="I597" i="28" s="1"/>
  <c r="F598" i="28"/>
  <c r="G598" i="28" s="1"/>
  <c r="I598" i="28" s="1"/>
  <c r="F599" i="28"/>
  <c r="G599" i="28" s="1"/>
  <c r="F600" i="28"/>
  <c r="G600" i="28" s="1"/>
  <c r="I600" i="28" s="1"/>
  <c r="F601" i="28"/>
  <c r="G601" i="28" s="1"/>
  <c r="I601" i="28" s="1"/>
  <c r="F602" i="28"/>
  <c r="G602" i="28" s="1"/>
  <c r="F603" i="28"/>
  <c r="G603" i="28" s="1"/>
  <c r="F604" i="28"/>
  <c r="G604" i="28" s="1"/>
  <c r="F605" i="28"/>
  <c r="G605" i="28" s="1"/>
  <c r="I605" i="28" s="1"/>
  <c r="F606" i="28"/>
  <c r="G606" i="28" s="1"/>
  <c r="I606" i="28" s="1"/>
  <c r="F607" i="28"/>
  <c r="G607" i="28" s="1"/>
  <c r="F608" i="28"/>
  <c r="G608" i="28" s="1"/>
  <c r="I608" i="28" s="1"/>
  <c r="F609" i="28"/>
  <c r="G609" i="28" s="1"/>
  <c r="I609" i="28" s="1"/>
  <c r="F610" i="28"/>
  <c r="G610" i="28" s="1"/>
  <c r="F611" i="28"/>
  <c r="G611" i="28" s="1"/>
  <c r="F612" i="28"/>
  <c r="G612" i="28" s="1"/>
  <c r="F613" i="28"/>
  <c r="G613" i="28" s="1"/>
  <c r="I613" i="28" s="1"/>
  <c r="F614" i="28"/>
  <c r="G614" i="28" s="1"/>
  <c r="I614" i="28" s="1"/>
  <c r="F615" i="28"/>
  <c r="G615" i="28" s="1"/>
  <c r="F616" i="28"/>
  <c r="G616" i="28" s="1"/>
  <c r="I616" i="28" s="1"/>
  <c r="F617" i="28"/>
  <c r="G617" i="28" s="1"/>
  <c r="I617" i="28" s="1"/>
  <c r="F618" i="28"/>
  <c r="G618" i="28" s="1"/>
  <c r="F619" i="28"/>
  <c r="G619" i="28" s="1"/>
  <c r="F620" i="28"/>
  <c r="G620" i="28" s="1"/>
  <c r="F621" i="28"/>
  <c r="G621" i="28" s="1"/>
  <c r="I621" i="28" s="1"/>
  <c r="F622" i="28"/>
  <c r="G622" i="28" s="1"/>
  <c r="I622" i="28" s="1"/>
  <c r="F623" i="28"/>
  <c r="G623" i="28" s="1"/>
  <c r="F624" i="28"/>
  <c r="G624" i="28" s="1"/>
  <c r="I624" i="28" s="1"/>
  <c r="F625" i="28"/>
  <c r="G625" i="28" s="1"/>
  <c r="I625" i="28" s="1"/>
  <c r="F626" i="28"/>
  <c r="G626" i="28" s="1"/>
  <c r="F627" i="28"/>
  <c r="G627" i="28" s="1"/>
  <c r="F628" i="28"/>
  <c r="G628" i="28" s="1"/>
  <c r="F629" i="28"/>
  <c r="G629" i="28" s="1"/>
  <c r="I629" i="28" s="1"/>
  <c r="F630" i="28"/>
  <c r="G630" i="28" s="1"/>
  <c r="I630" i="28" s="1"/>
  <c r="F631" i="28"/>
  <c r="G631" i="28" s="1"/>
  <c r="F632" i="28"/>
  <c r="G632" i="28" s="1"/>
  <c r="I632" i="28" s="1"/>
  <c r="F633" i="28"/>
  <c r="G633" i="28" s="1"/>
  <c r="I633" i="28" s="1"/>
  <c r="F634" i="28"/>
  <c r="G634" i="28" s="1"/>
  <c r="F635" i="28"/>
  <c r="G635" i="28" s="1"/>
  <c r="F636" i="28"/>
  <c r="G636" i="28" s="1"/>
  <c r="F637" i="28"/>
  <c r="G637" i="28" s="1"/>
  <c r="I637" i="28" s="1"/>
  <c r="F638" i="28"/>
  <c r="G638" i="28" s="1"/>
  <c r="I638" i="28" s="1"/>
  <c r="F639" i="28"/>
  <c r="G639" i="28" s="1"/>
  <c r="F640" i="28"/>
  <c r="G640" i="28" s="1"/>
  <c r="I640" i="28" s="1"/>
  <c r="F641" i="28"/>
  <c r="G641" i="28" s="1"/>
  <c r="I641" i="28" s="1"/>
  <c r="F642" i="28"/>
  <c r="G642" i="28" s="1"/>
  <c r="F643" i="28"/>
  <c r="G643" i="28" s="1"/>
  <c r="F644" i="28"/>
  <c r="G644" i="28" s="1"/>
  <c r="F645" i="28"/>
  <c r="G645" i="28" s="1"/>
  <c r="I645" i="28" s="1"/>
  <c r="F646" i="28"/>
  <c r="G646" i="28" s="1"/>
  <c r="I646" i="28" s="1"/>
  <c r="F647" i="28"/>
  <c r="G647" i="28" s="1"/>
  <c r="F648" i="28"/>
  <c r="G648" i="28" s="1"/>
  <c r="I648" i="28" s="1"/>
  <c r="F649" i="28"/>
  <c r="G649" i="28" s="1"/>
  <c r="I649" i="28" s="1"/>
  <c r="F650" i="28"/>
  <c r="G650" i="28" s="1"/>
  <c r="F651" i="28"/>
  <c r="G651" i="28" s="1"/>
  <c r="F652" i="28"/>
  <c r="G652" i="28" s="1"/>
  <c r="F653" i="28"/>
  <c r="G653" i="28" s="1"/>
  <c r="I653" i="28" s="1"/>
  <c r="F654" i="28"/>
  <c r="G654" i="28" s="1"/>
  <c r="I654" i="28" s="1"/>
  <c r="F655" i="28"/>
  <c r="G655" i="28" s="1"/>
  <c r="F656" i="28"/>
  <c r="G656" i="28" s="1"/>
  <c r="I656" i="28" s="1"/>
  <c r="F657" i="28"/>
  <c r="G657" i="28" s="1"/>
  <c r="I657" i="28" s="1"/>
  <c r="F658" i="28"/>
  <c r="G658" i="28" s="1"/>
  <c r="F659" i="28"/>
  <c r="G659" i="28" s="1"/>
  <c r="F660" i="28"/>
  <c r="G660" i="28" s="1"/>
  <c r="F661" i="28"/>
  <c r="G661" i="28" s="1"/>
  <c r="I661" i="28" s="1"/>
  <c r="F662" i="28"/>
  <c r="G662" i="28" s="1"/>
  <c r="I662" i="28" s="1"/>
  <c r="F663" i="28"/>
  <c r="G663" i="28" s="1"/>
  <c r="F664" i="28"/>
  <c r="G664" i="28" s="1"/>
  <c r="I664" i="28" s="1"/>
  <c r="F665" i="28"/>
  <c r="G665" i="28" s="1"/>
  <c r="I665" i="28" s="1"/>
  <c r="F666" i="28"/>
  <c r="G666" i="28" s="1"/>
  <c r="F667" i="28"/>
  <c r="G667" i="28" s="1"/>
  <c r="F668" i="28"/>
  <c r="G668" i="28" s="1"/>
  <c r="F669" i="28"/>
  <c r="G669" i="28" s="1"/>
  <c r="I669" i="28" s="1"/>
  <c r="F670" i="28"/>
  <c r="G670" i="28" s="1"/>
  <c r="I670" i="28" s="1"/>
  <c r="F671" i="28"/>
  <c r="G671" i="28" s="1"/>
  <c r="F672" i="28"/>
  <c r="G672" i="28" s="1"/>
  <c r="I672" i="28" s="1"/>
  <c r="F673" i="28"/>
  <c r="G673" i="28" s="1"/>
  <c r="I673" i="28" s="1"/>
  <c r="F674" i="28"/>
  <c r="G674" i="28" s="1"/>
  <c r="F675" i="28"/>
  <c r="G675" i="28" s="1"/>
  <c r="F676" i="28"/>
  <c r="G676" i="28" s="1"/>
  <c r="F677" i="28"/>
  <c r="G677" i="28" s="1"/>
  <c r="I677" i="28" s="1"/>
  <c r="F678" i="28"/>
  <c r="G678" i="28" s="1"/>
  <c r="I678" i="28" s="1"/>
  <c r="F679" i="28"/>
  <c r="G679" i="28" s="1"/>
  <c r="F680" i="28"/>
  <c r="G680" i="28" s="1"/>
  <c r="I680" i="28" s="1"/>
  <c r="F681" i="28"/>
  <c r="G681" i="28" s="1"/>
  <c r="I681" i="28" s="1"/>
  <c r="F682" i="28"/>
  <c r="G682" i="28" s="1"/>
  <c r="F683" i="28"/>
  <c r="G683" i="28" s="1"/>
  <c r="F684" i="28"/>
  <c r="G684" i="28" s="1"/>
  <c r="F685" i="28"/>
  <c r="G685" i="28" s="1"/>
  <c r="I685" i="28" s="1"/>
  <c r="F686" i="28"/>
  <c r="G686" i="28" s="1"/>
  <c r="I686" i="28" s="1"/>
  <c r="F687" i="28"/>
  <c r="G687" i="28" s="1"/>
  <c r="F688" i="28"/>
  <c r="G688" i="28" s="1"/>
  <c r="I688" i="28" s="1"/>
  <c r="F689" i="28"/>
  <c r="G689" i="28" s="1"/>
  <c r="I689" i="28" s="1"/>
  <c r="F690" i="28"/>
  <c r="G690" i="28" s="1"/>
  <c r="F691" i="28"/>
  <c r="G691" i="28" s="1"/>
  <c r="F692" i="28"/>
  <c r="G692" i="28" s="1"/>
  <c r="I692" i="28" s="1"/>
  <c r="F693" i="28"/>
  <c r="G693" i="28" s="1"/>
  <c r="I693" i="28" s="1"/>
  <c r="F694" i="28"/>
  <c r="G694" i="28" s="1"/>
  <c r="I694" i="28" s="1"/>
  <c r="F695" i="28"/>
  <c r="G695" i="28" s="1"/>
  <c r="F696" i="28"/>
  <c r="G696" i="28" s="1"/>
  <c r="I696" i="28" s="1"/>
  <c r="F697" i="28"/>
  <c r="G697" i="28" s="1"/>
  <c r="I697" i="28" s="1"/>
  <c r="F698" i="28"/>
  <c r="G698" i="28" s="1"/>
  <c r="F699" i="28"/>
  <c r="G699" i="28" s="1"/>
  <c r="F700" i="28"/>
  <c r="G700" i="28" s="1"/>
  <c r="I700" i="28" s="1"/>
  <c r="F701" i="28"/>
  <c r="G701" i="28" s="1"/>
  <c r="I701" i="28" s="1"/>
  <c r="F702" i="28"/>
  <c r="G702" i="28" s="1"/>
  <c r="I702" i="28" s="1"/>
  <c r="F703" i="28"/>
  <c r="G703" i="28" s="1"/>
  <c r="F704" i="28"/>
  <c r="G704" i="28" s="1"/>
  <c r="I704" i="28" s="1"/>
  <c r="F705" i="28"/>
  <c r="G705" i="28" s="1"/>
  <c r="I705" i="28" s="1"/>
  <c r="F706" i="28"/>
  <c r="G706" i="28" s="1"/>
  <c r="F707" i="28"/>
  <c r="G707" i="28" s="1"/>
  <c r="F708" i="28"/>
  <c r="G708" i="28" s="1"/>
  <c r="I708" i="28" s="1"/>
  <c r="F709" i="28"/>
  <c r="G709" i="28" s="1"/>
  <c r="I709" i="28" s="1"/>
  <c r="F710" i="28"/>
  <c r="G710" i="28" s="1"/>
  <c r="I710" i="28" s="1"/>
  <c r="F711" i="28"/>
  <c r="G711" i="28" s="1"/>
  <c r="F712" i="28"/>
  <c r="G712" i="28" s="1"/>
  <c r="I712" i="28" s="1"/>
  <c r="F713" i="28"/>
  <c r="G713" i="28" s="1"/>
  <c r="I713" i="28" s="1"/>
  <c r="F714" i="28"/>
  <c r="G714" i="28" s="1"/>
  <c r="F715" i="28"/>
  <c r="G715" i="28" s="1"/>
  <c r="F716" i="28"/>
  <c r="G716" i="28" s="1"/>
  <c r="I716" i="28" s="1"/>
  <c r="F717" i="28"/>
  <c r="G717" i="28" s="1"/>
  <c r="I717" i="28" s="1"/>
  <c r="F718" i="28"/>
  <c r="G718" i="28" s="1"/>
  <c r="I718" i="28" s="1"/>
  <c r="F719" i="28"/>
  <c r="G719" i="28" s="1"/>
  <c r="F720" i="28"/>
  <c r="G720" i="28" s="1"/>
  <c r="I720" i="28" s="1"/>
  <c r="F721" i="28"/>
  <c r="G721" i="28" s="1"/>
  <c r="I721" i="28" s="1"/>
  <c r="F722" i="28"/>
  <c r="G722" i="28" s="1"/>
  <c r="F723" i="28"/>
  <c r="G723" i="28" s="1"/>
  <c r="F724" i="28"/>
  <c r="G724" i="28" s="1"/>
  <c r="I724" i="28" s="1"/>
  <c r="F725" i="28"/>
  <c r="G725" i="28" s="1"/>
  <c r="I725" i="28" s="1"/>
  <c r="F726" i="28"/>
  <c r="G726" i="28" s="1"/>
  <c r="I726" i="28" s="1"/>
  <c r="F727" i="28"/>
  <c r="G727" i="28" s="1"/>
  <c r="F728" i="28"/>
  <c r="G728" i="28" s="1"/>
  <c r="I728" i="28" s="1"/>
  <c r="F729" i="28"/>
  <c r="G729" i="28" s="1"/>
  <c r="I729" i="28" s="1"/>
  <c r="F730" i="28"/>
  <c r="G730" i="28" s="1"/>
  <c r="I730" i="28" s="1"/>
  <c r="F731" i="28"/>
  <c r="G731" i="28" s="1"/>
  <c r="F732" i="28"/>
  <c r="G732" i="28" s="1"/>
  <c r="I732" i="28" s="1"/>
  <c r="F733" i="28"/>
  <c r="G733" i="28" s="1"/>
  <c r="I733" i="28" s="1"/>
  <c r="F734" i="28"/>
  <c r="G734" i="28" s="1"/>
  <c r="I734" i="28" s="1"/>
  <c r="F735" i="28"/>
  <c r="G735" i="28" s="1"/>
  <c r="F736" i="28"/>
  <c r="G736" i="28" s="1"/>
  <c r="I736" i="28" s="1"/>
  <c r="F737" i="28"/>
  <c r="G737" i="28" s="1"/>
  <c r="I737" i="28" s="1"/>
  <c r="F738" i="28"/>
  <c r="G738" i="28" s="1"/>
  <c r="I738" i="28" s="1"/>
  <c r="F739" i="28"/>
  <c r="G739" i="28" s="1"/>
  <c r="F740" i="28"/>
  <c r="G740" i="28" s="1"/>
  <c r="I740" i="28" s="1"/>
  <c r="F741" i="28"/>
  <c r="G741" i="28" s="1"/>
  <c r="I741" i="28" s="1"/>
  <c r="F742" i="28"/>
  <c r="G742" i="28" s="1"/>
  <c r="I742" i="28" s="1"/>
  <c r="F743" i="28"/>
  <c r="G743" i="28" s="1"/>
  <c r="F744" i="28"/>
  <c r="G744" i="28" s="1"/>
  <c r="I744" i="28" s="1"/>
  <c r="F745" i="28"/>
  <c r="G745" i="28" s="1"/>
  <c r="I745" i="28" s="1"/>
  <c r="F746" i="28"/>
  <c r="G746" i="28" s="1"/>
  <c r="I746" i="28" s="1"/>
  <c r="F747" i="28"/>
  <c r="G747" i="28" s="1"/>
  <c r="F748" i="28"/>
  <c r="G748" i="28" s="1"/>
  <c r="I748" i="28" s="1"/>
  <c r="F749" i="28"/>
  <c r="G749" i="28" s="1"/>
  <c r="I749" i="28" s="1"/>
  <c r="F750" i="28"/>
  <c r="G750" i="28" s="1"/>
  <c r="I750" i="28" s="1"/>
  <c r="F751" i="28"/>
  <c r="G751" i="28" s="1"/>
  <c r="F752" i="28"/>
  <c r="G752" i="28" s="1"/>
  <c r="I752" i="28" s="1"/>
  <c r="F753" i="28"/>
  <c r="G753" i="28" s="1"/>
  <c r="I753" i="28" s="1"/>
  <c r="F754" i="28"/>
  <c r="G754" i="28" s="1"/>
  <c r="I754" i="28" s="1"/>
  <c r="F755" i="28"/>
  <c r="G755" i="28" s="1"/>
  <c r="F756" i="28"/>
  <c r="G756" i="28" s="1"/>
  <c r="I756" i="28" s="1"/>
  <c r="F757" i="28"/>
  <c r="G757" i="28" s="1"/>
  <c r="I757" i="28" s="1"/>
  <c r="F758" i="28"/>
  <c r="G758" i="28" s="1"/>
  <c r="I758" i="28" s="1"/>
  <c r="F759" i="28"/>
  <c r="G759" i="28" s="1"/>
  <c r="F760" i="28"/>
  <c r="G760" i="28" s="1"/>
  <c r="I760" i="28" s="1"/>
  <c r="F761" i="28"/>
  <c r="G761" i="28" s="1"/>
  <c r="I761" i="28" s="1"/>
  <c r="F762" i="28"/>
  <c r="G762" i="28" s="1"/>
  <c r="I762" i="28" s="1"/>
  <c r="F763" i="28"/>
  <c r="G763" i="28" s="1"/>
  <c r="F764" i="28"/>
  <c r="G764" i="28" s="1"/>
  <c r="I764" i="28" s="1"/>
  <c r="F765" i="28"/>
  <c r="G765" i="28" s="1"/>
  <c r="I765" i="28" s="1"/>
  <c r="F766" i="28"/>
  <c r="G766" i="28" s="1"/>
  <c r="I766" i="28" s="1"/>
  <c r="F767" i="28"/>
  <c r="G767" i="28" s="1"/>
  <c r="F768" i="28"/>
  <c r="G768" i="28" s="1"/>
  <c r="I768" i="28" s="1"/>
  <c r="F769" i="28"/>
  <c r="G769" i="28" s="1"/>
  <c r="I769" i="28" s="1"/>
  <c r="F770" i="28"/>
  <c r="G770" i="28" s="1"/>
  <c r="I770" i="28" s="1"/>
  <c r="F771" i="28"/>
  <c r="G771" i="28" s="1"/>
  <c r="F772" i="28"/>
  <c r="G772" i="28" s="1"/>
  <c r="I772" i="28" s="1"/>
  <c r="F773" i="28"/>
  <c r="G773" i="28" s="1"/>
  <c r="I773" i="28" s="1"/>
  <c r="F774" i="28"/>
  <c r="G774" i="28" s="1"/>
  <c r="I774" i="28" s="1"/>
  <c r="F775" i="28"/>
  <c r="G775" i="28" s="1"/>
  <c r="F776" i="28"/>
  <c r="G776" i="28" s="1"/>
  <c r="I776" i="28" s="1"/>
  <c r="F777" i="28"/>
  <c r="G777" i="28" s="1"/>
  <c r="I777" i="28" s="1"/>
  <c r="F778" i="28"/>
  <c r="G778" i="28" s="1"/>
  <c r="I778" i="28" s="1"/>
  <c r="F779" i="28"/>
  <c r="G779" i="28" s="1"/>
  <c r="F780" i="28"/>
  <c r="G780" i="28" s="1"/>
  <c r="I780" i="28" s="1"/>
  <c r="F781" i="28"/>
  <c r="G781" i="28" s="1"/>
  <c r="I781" i="28" s="1"/>
  <c r="F782" i="28"/>
  <c r="G782" i="28" s="1"/>
  <c r="I782" i="28" s="1"/>
  <c r="F783" i="28"/>
  <c r="G783" i="28" s="1"/>
  <c r="F784" i="28"/>
  <c r="G784" i="28" s="1"/>
  <c r="I784" i="28" s="1"/>
  <c r="F785" i="28"/>
  <c r="G785" i="28" s="1"/>
  <c r="I785" i="28" s="1"/>
  <c r="F786" i="28"/>
  <c r="G786" i="28" s="1"/>
  <c r="I786" i="28" s="1"/>
  <c r="F787" i="28"/>
  <c r="G787" i="28" s="1"/>
  <c r="F788" i="28"/>
  <c r="G788" i="28" s="1"/>
  <c r="I788" i="28" s="1"/>
  <c r="F789" i="28"/>
  <c r="G789" i="28" s="1"/>
  <c r="I789" i="28" s="1"/>
  <c r="F790" i="28"/>
  <c r="G790" i="28" s="1"/>
  <c r="I790" i="28" s="1"/>
  <c r="F791" i="28"/>
  <c r="G791" i="28" s="1"/>
  <c r="F792" i="28"/>
  <c r="G792" i="28" s="1"/>
  <c r="I792" i="28" s="1"/>
  <c r="F793" i="28"/>
  <c r="G793" i="28" s="1"/>
  <c r="I793" i="28" s="1"/>
  <c r="F794" i="28"/>
  <c r="G794" i="28" s="1"/>
  <c r="I794" i="28" s="1"/>
  <c r="F795" i="28"/>
  <c r="G795" i="28" s="1"/>
  <c r="F796" i="28"/>
  <c r="G796" i="28" s="1"/>
  <c r="I796" i="28" s="1"/>
  <c r="F797" i="28"/>
  <c r="G797" i="28" s="1"/>
  <c r="I797" i="28" s="1"/>
  <c r="F798" i="28"/>
  <c r="G798" i="28" s="1"/>
  <c r="I798" i="28" s="1"/>
  <c r="F799" i="28"/>
  <c r="G799" i="28" s="1"/>
  <c r="F800" i="28"/>
  <c r="G800" i="28" s="1"/>
  <c r="I800" i="28" s="1"/>
  <c r="F801" i="28"/>
  <c r="G801" i="28" s="1"/>
  <c r="I801" i="28" s="1"/>
  <c r="F802" i="28"/>
  <c r="G802" i="28" s="1"/>
  <c r="I802" i="28" s="1"/>
  <c r="F803" i="28"/>
  <c r="G803" i="28" s="1"/>
  <c r="F804" i="28"/>
  <c r="G804" i="28" s="1"/>
  <c r="I804" i="28" s="1"/>
  <c r="F805" i="28"/>
  <c r="G805" i="28" s="1"/>
  <c r="I805" i="28" s="1"/>
  <c r="F806" i="28"/>
  <c r="G806" i="28" s="1"/>
  <c r="I806" i="28" s="1"/>
  <c r="F807" i="28"/>
  <c r="G807" i="28" s="1"/>
  <c r="F808" i="28"/>
  <c r="G808" i="28" s="1"/>
  <c r="I808" i="28" s="1"/>
  <c r="F809" i="28"/>
  <c r="G809" i="28" s="1"/>
  <c r="I809" i="28" s="1"/>
  <c r="F810" i="28"/>
  <c r="G810" i="28" s="1"/>
  <c r="I810" i="28" s="1"/>
  <c r="F811" i="28"/>
  <c r="G811" i="28" s="1"/>
  <c r="F812" i="28"/>
  <c r="G812" i="28" s="1"/>
  <c r="I812" i="28" s="1"/>
  <c r="F813" i="28"/>
  <c r="G813" i="28" s="1"/>
  <c r="I813" i="28" s="1"/>
  <c r="F814" i="28"/>
  <c r="G814" i="28" s="1"/>
  <c r="I814" i="28" s="1"/>
  <c r="F815" i="28"/>
  <c r="G815" i="28" s="1"/>
  <c r="F816" i="28"/>
  <c r="G816" i="28" s="1"/>
  <c r="I816" i="28" s="1"/>
  <c r="F817" i="28"/>
  <c r="G817" i="28" s="1"/>
  <c r="I817" i="28" s="1"/>
  <c r="F818" i="28"/>
  <c r="G818" i="28" s="1"/>
  <c r="I818" i="28" s="1"/>
  <c r="F819" i="28"/>
  <c r="G819" i="28" s="1"/>
  <c r="F820" i="28"/>
  <c r="G820" i="28" s="1"/>
  <c r="I820" i="28" s="1"/>
  <c r="F821" i="28"/>
  <c r="G821" i="28" s="1"/>
  <c r="I821" i="28" s="1"/>
  <c r="F822" i="28"/>
  <c r="G822" i="28" s="1"/>
  <c r="I822" i="28" s="1"/>
  <c r="F823" i="28"/>
  <c r="G823" i="28" s="1"/>
  <c r="F824" i="28"/>
  <c r="G824" i="28" s="1"/>
  <c r="I824" i="28" s="1"/>
  <c r="F825" i="28"/>
  <c r="G825" i="28" s="1"/>
  <c r="I825" i="28" s="1"/>
  <c r="F826" i="28"/>
  <c r="G826" i="28" s="1"/>
  <c r="I826" i="28" s="1"/>
  <c r="F827" i="28"/>
  <c r="G827" i="28" s="1"/>
  <c r="F828" i="28"/>
  <c r="G828" i="28" s="1"/>
  <c r="I828" i="28" s="1"/>
  <c r="F829" i="28"/>
  <c r="G829" i="28" s="1"/>
  <c r="I829" i="28" s="1"/>
  <c r="F830" i="28"/>
  <c r="G830" i="28" s="1"/>
  <c r="I830" i="28" s="1"/>
  <c r="F831" i="28"/>
  <c r="G831" i="28" s="1"/>
  <c r="F832" i="28"/>
  <c r="G832" i="28" s="1"/>
  <c r="I832" i="28" s="1"/>
  <c r="F833" i="28"/>
  <c r="G833" i="28" s="1"/>
  <c r="I833" i="28" s="1"/>
  <c r="F834" i="28"/>
  <c r="G834" i="28" s="1"/>
  <c r="I834" i="28" s="1"/>
  <c r="F835" i="28"/>
  <c r="G835" i="28" s="1"/>
  <c r="F836" i="28"/>
  <c r="G836" i="28" s="1"/>
  <c r="I836" i="28" s="1"/>
  <c r="F837" i="28"/>
  <c r="G837" i="28" s="1"/>
  <c r="I837" i="28" s="1"/>
  <c r="F838" i="28"/>
  <c r="G838" i="28" s="1"/>
  <c r="I838" i="28" s="1"/>
  <c r="F839" i="28"/>
  <c r="G839" i="28" s="1"/>
  <c r="F840" i="28"/>
  <c r="G840" i="28" s="1"/>
  <c r="I840" i="28" s="1"/>
  <c r="F841" i="28"/>
  <c r="G841" i="28" s="1"/>
  <c r="I841" i="28" s="1"/>
  <c r="F842" i="28"/>
  <c r="G842" i="28" s="1"/>
  <c r="I842" i="28" s="1"/>
  <c r="F843" i="28"/>
  <c r="G843" i="28" s="1"/>
  <c r="F844" i="28"/>
  <c r="G844" i="28" s="1"/>
  <c r="I844" i="28" s="1"/>
  <c r="F845" i="28"/>
  <c r="G845" i="28" s="1"/>
  <c r="I845" i="28" s="1"/>
  <c r="F846" i="28"/>
  <c r="G846" i="28" s="1"/>
  <c r="I846" i="28" s="1"/>
  <c r="F847" i="28"/>
  <c r="G847" i="28" s="1"/>
  <c r="F848" i="28"/>
  <c r="G848" i="28" s="1"/>
  <c r="I848" i="28" s="1"/>
  <c r="F849" i="28"/>
  <c r="G849" i="28" s="1"/>
  <c r="I849" i="28" s="1"/>
  <c r="F850" i="28"/>
  <c r="G850" i="28" s="1"/>
  <c r="I850" i="28" s="1"/>
  <c r="F851" i="28"/>
  <c r="G851" i="28" s="1"/>
  <c r="F852" i="28"/>
  <c r="G852" i="28" s="1"/>
  <c r="I852" i="28" s="1"/>
  <c r="F853" i="28"/>
  <c r="G853" i="28" s="1"/>
  <c r="I853" i="28" s="1"/>
  <c r="F854" i="28"/>
  <c r="G854" i="28" s="1"/>
  <c r="I854" i="28" s="1"/>
  <c r="F855" i="28"/>
  <c r="G855" i="28" s="1"/>
  <c r="F856" i="28"/>
  <c r="G856" i="28" s="1"/>
  <c r="I856" i="28" s="1"/>
  <c r="F857" i="28"/>
  <c r="G857" i="28" s="1"/>
  <c r="I857" i="28" s="1"/>
  <c r="F858" i="28"/>
  <c r="G858" i="28" s="1"/>
  <c r="I858" i="28" s="1"/>
  <c r="F859" i="28"/>
  <c r="G859" i="28" s="1"/>
  <c r="F860" i="28"/>
  <c r="G860" i="28" s="1"/>
  <c r="I860" i="28" s="1"/>
  <c r="F861" i="28"/>
  <c r="G861" i="28" s="1"/>
  <c r="I861" i="28" s="1"/>
  <c r="F862" i="28"/>
  <c r="G862" i="28" s="1"/>
  <c r="I862" i="28" s="1"/>
  <c r="F863" i="28"/>
  <c r="G863" i="28" s="1"/>
  <c r="F864" i="28"/>
  <c r="G864" i="28" s="1"/>
  <c r="I864" i="28" s="1"/>
  <c r="F865" i="28"/>
  <c r="G865" i="28" s="1"/>
  <c r="I865" i="28" s="1"/>
  <c r="F866" i="28"/>
  <c r="G866" i="28" s="1"/>
  <c r="I866" i="28" s="1"/>
  <c r="F867" i="28"/>
  <c r="G867" i="28" s="1"/>
  <c r="F868" i="28"/>
  <c r="G868" i="28" s="1"/>
  <c r="I868" i="28" s="1"/>
  <c r="F869" i="28"/>
  <c r="G869" i="28" s="1"/>
  <c r="I869" i="28" s="1"/>
  <c r="F870" i="28"/>
  <c r="G870" i="28" s="1"/>
  <c r="I870" i="28" s="1"/>
  <c r="F871" i="28"/>
  <c r="G871" i="28" s="1"/>
  <c r="F872" i="28"/>
  <c r="G872" i="28" s="1"/>
  <c r="I872" i="28" s="1"/>
  <c r="F873" i="28"/>
  <c r="G873" i="28" s="1"/>
  <c r="I873" i="28" s="1"/>
  <c r="F874" i="28"/>
  <c r="G874" i="28" s="1"/>
  <c r="I874" i="28" s="1"/>
  <c r="F875" i="28"/>
  <c r="G875" i="28" s="1"/>
  <c r="F876" i="28"/>
  <c r="G876" i="28" s="1"/>
  <c r="I876" i="28" s="1"/>
  <c r="F877" i="28"/>
  <c r="G877" i="28" s="1"/>
  <c r="I877" i="28" s="1"/>
  <c r="F878" i="28"/>
  <c r="G878" i="28" s="1"/>
  <c r="I878" i="28" s="1"/>
  <c r="F879" i="28"/>
  <c r="G879" i="28" s="1"/>
  <c r="F880" i="28"/>
  <c r="G880" i="28" s="1"/>
  <c r="I880" i="28" s="1"/>
  <c r="F881" i="28"/>
  <c r="G881" i="28" s="1"/>
  <c r="I881" i="28" s="1"/>
  <c r="F882" i="28"/>
  <c r="G882" i="28" s="1"/>
  <c r="I882" i="28" s="1"/>
  <c r="F883" i="28"/>
  <c r="G883" i="28" s="1"/>
  <c r="F884" i="28"/>
  <c r="G884" i="28" s="1"/>
  <c r="I884" i="28" s="1"/>
  <c r="F885" i="28"/>
  <c r="G885" i="28" s="1"/>
  <c r="I885" i="28" s="1"/>
  <c r="F886" i="28"/>
  <c r="G886" i="28" s="1"/>
  <c r="I886" i="28" s="1"/>
  <c r="F887" i="28"/>
  <c r="G887" i="28" s="1"/>
  <c r="F888" i="28"/>
  <c r="G888" i="28" s="1"/>
  <c r="I888" i="28" s="1"/>
  <c r="F889" i="28"/>
  <c r="G889" i="28" s="1"/>
  <c r="I889" i="28" s="1"/>
  <c r="F890" i="28"/>
  <c r="G890" i="28" s="1"/>
  <c r="I890" i="28" s="1"/>
  <c r="F891" i="28"/>
  <c r="G891" i="28" s="1"/>
  <c r="F892" i="28"/>
  <c r="G892" i="28" s="1"/>
  <c r="I892" i="28" s="1"/>
  <c r="F893" i="28"/>
  <c r="G893" i="28" s="1"/>
  <c r="I893" i="28" s="1"/>
  <c r="F894" i="28"/>
  <c r="G894" i="28" s="1"/>
  <c r="I894" i="28" s="1"/>
  <c r="F895" i="28"/>
  <c r="G895" i="28" s="1"/>
  <c r="F896" i="28"/>
  <c r="G896" i="28" s="1"/>
  <c r="I896" i="28" s="1"/>
  <c r="F897" i="28"/>
  <c r="G897" i="28" s="1"/>
  <c r="I897" i="28" s="1"/>
  <c r="F898" i="28"/>
  <c r="G898" i="28" s="1"/>
  <c r="I898" i="28" s="1"/>
  <c r="F899" i="28"/>
  <c r="G899" i="28" s="1"/>
  <c r="F900" i="28"/>
  <c r="G900" i="28" s="1"/>
  <c r="I900" i="28" s="1"/>
  <c r="F901" i="28"/>
  <c r="G901" i="28" s="1"/>
  <c r="I901" i="28" s="1"/>
  <c r="F902" i="28"/>
  <c r="G902" i="28" s="1"/>
  <c r="I902" i="28" s="1"/>
  <c r="F903" i="28"/>
  <c r="G903" i="28" s="1"/>
  <c r="F904" i="28"/>
  <c r="G904" i="28" s="1"/>
  <c r="I904" i="28" s="1"/>
  <c r="F905" i="28"/>
  <c r="G905" i="28" s="1"/>
  <c r="I905" i="28" s="1"/>
  <c r="F906" i="28"/>
  <c r="G906" i="28" s="1"/>
  <c r="I906" i="28" s="1"/>
  <c r="F907" i="28"/>
  <c r="G907" i="28" s="1"/>
  <c r="F908" i="28"/>
  <c r="G908" i="28" s="1"/>
  <c r="I908" i="28" s="1"/>
  <c r="F909" i="28"/>
  <c r="G909" i="28" s="1"/>
  <c r="I909" i="28" s="1"/>
  <c r="F910" i="28"/>
  <c r="G910" i="28" s="1"/>
  <c r="I910" i="28" s="1"/>
  <c r="F911" i="28"/>
  <c r="G911" i="28" s="1"/>
  <c r="F912" i="28"/>
  <c r="G912" i="28" s="1"/>
  <c r="I912" i="28" s="1"/>
  <c r="F913" i="28"/>
  <c r="G913" i="28" s="1"/>
  <c r="I913" i="28" s="1"/>
  <c r="F914" i="28"/>
  <c r="G914" i="28" s="1"/>
  <c r="I914" i="28" s="1"/>
  <c r="F915" i="28"/>
  <c r="G915" i="28" s="1"/>
  <c r="F916" i="28"/>
  <c r="G916" i="28" s="1"/>
  <c r="I916" i="28" s="1"/>
  <c r="F917" i="28"/>
  <c r="G917" i="28" s="1"/>
  <c r="I917" i="28" s="1"/>
  <c r="F918" i="28"/>
  <c r="G918" i="28" s="1"/>
  <c r="I918" i="28" s="1"/>
  <c r="F919" i="28"/>
  <c r="G919" i="28" s="1"/>
  <c r="F920" i="28"/>
  <c r="G920" i="28" s="1"/>
  <c r="I920" i="28" s="1"/>
  <c r="F921" i="28"/>
  <c r="G921" i="28" s="1"/>
  <c r="I921" i="28" s="1"/>
  <c r="F922" i="28"/>
  <c r="G922" i="28" s="1"/>
  <c r="I922" i="28" s="1"/>
  <c r="F923" i="28"/>
  <c r="G923" i="28" s="1"/>
  <c r="F924" i="28"/>
  <c r="G924" i="28" s="1"/>
  <c r="I924" i="28" s="1"/>
  <c r="F925" i="28"/>
  <c r="G925" i="28" s="1"/>
  <c r="I925" i="28" s="1"/>
  <c r="F926" i="28"/>
  <c r="G926" i="28" s="1"/>
  <c r="I926" i="28" s="1"/>
  <c r="F927" i="28"/>
  <c r="G927" i="28" s="1"/>
  <c r="F928" i="28"/>
  <c r="G928" i="28" s="1"/>
  <c r="I928" i="28" s="1"/>
  <c r="F929" i="28"/>
  <c r="G929" i="28" s="1"/>
  <c r="I929" i="28" s="1"/>
  <c r="F930" i="28"/>
  <c r="G930" i="28" s="1"/>
  <c r="I930" i="28" s="1"/>
  <c r="F931" i="28"/>
  <c r="G931" i="28" s="1"/>
  <c r="F932" i="28"/>
  <c r="G932" i="28" s="1"/>
  <c r="I932" i="28" s="1"/>
  <c r="F933" i="28"/>
  <c r="G933" i="28" s="1"/>
  <c r="I933" i="28" s="1"/>
  <c r="F934" i="28"/>
  <c r="G934" i="28" s="1"/>
  <c r="I934" i="28" s="1"/>
  <c r="F935" i="28"/>
  <c r="G935" i="28" s="1"/>
  <c r="F936" i="28"/>
  <c r="G936" i="28" s="1"/>
  <c r="I936" i="28" s="1"/>
  <c r="F937" i="28"/>
  <c r="G937" i="28" s="1"/>
  <c r="I937" i="28" s="1"/>
  <c r="F938" i="28"/>
  <c r="G938" i="28" s="1"/>
  <c r="I938" i="28" s="1"/>
  <c r="F939" i="28"/>
  <c r="G939" i="28" s="1"/>
  <c r="F940" i="28"/>
  <c r="G940" i="28" s="1"/>
  <c r="I940" i="28" s="1"/>
  <c r="F941" i="28"/>
  <c r="G941" i="28" s="1"/>
  <c r="I941" i="28" s="1"/>
  <c r="F942" i="28"/>
  <c r="G942" i="28" s="1"/>
  <c r="I942" i="28" s="1"/>
  <c r="F943" i="28"/>
  <c r="G943" i="28" s="1"/>
  <c r="F944" i="28"/>
  <c r="G944" i="28" s="1"/>
  <c r="I944" i="28" s="1"/>
  <c r="F945" i="28"/>
  <c r="G945" i="28" s="1"/>
  <c r="I945" i="28" s="1"/>
  <c r="F946" i="28"/>
  <c r="G946" i="28" s="1"/>
  <c r="I946" i="28" s="1"/>
  <c r="F947" i="28"/>
  <c r="G947" i="28" s="1"/>
  <c r="F948" i="28"/>
  <c r="G948" i="28" s="1"/>
  <c r="I948" i="28" s="1"/>
  <c r="F949" i="28"/>
  <c r="G949" i="28" s="1"/>
  <c r="I949" i="28" s="1"/>
  <c r="F950" i="28"/>
  <c r="G950" i="28" s="1"/>
  <c r="I950" i="28" s="1"/>
  <c r="F951" i="28"/>
  <c r="G951" i="28" s="1"/>
  <c r="F952" i="28"/>
  <c r="G952" i="28" s="1"/>
  <c r="I952" i="28" s="1"/>
  <c r="F953" i="28"/>
  <c r="G953" i="28" s="1"/>
  <c r="I953" i="28" s="1"/>
  <c r="F954" i="28"/>
  <c r="G954" i="28" s="1"/>
  <c r="I954" i="28" s="1"/>
  <c r="F955" i="28"/>
  <c r="G955" i="28" s="1"/>
  <c r="F956" i="28"/>
  <c r="G956" i="28" s="1"/>
  <c r="I956" i="28" s="1"/>
  <c r="F957" i="28"/>
  <c r="G957" i="28" s="1"/>
  <c r="I957" i="28" s="1"/>
  <c r="F958" i="28"/>
  <c r="G958" i="28" s="1"/>
  <c r="I958" i="28" s="1"/>
  <c r="F959" i="28"/>
  <c r="G959" i="28" s="1"/>
  <c r="F960" i="28"/>
  <c r="G960" i="28" s="1"/>
  <c r="I960" i="28" s="1"/>
  <c r="F961" i="28"/>
  <c r="G961" i="28" s="1"/>
  <c r="I961" i="28" s="1"/>
  <c r="F962" i="28"/>
  <c r="G962" i="28" s="1"/>
  <c r="I962" i="28" s="1"/>
  <c r="F963" i="28"/>
  <c r="G963" i="28" s="1"/>
  <c r="F964" i="28"/>
  <c r="G964" i="28" s="1"/>
  <c r="I964" i="28" s="1"/>
  <c r="F965" i="28"/>
  <c r="G965" i="28" s="1"/>
  <c r="I965" i="28" s="1"/>
  <c r="F966" i="28"/>
  <c r="G966" i="28" s="1"/>
  <c r="I966" i="28" s="1"/>
  <c r="F967" i="28"/>
  <c r="G967" i="28" s="1"/>
  <c r="F968" i="28"/>
  <c r="G968" i="28" s="1"/>
  <c r="I968" i="28" s="1"/>
  <c r="F969" i="28"/>
  <c r="G969" i="28" s="1"/>
  <c r="I969" i="28" s="1"/>
  <c r="F970" i="28"/>
  <c r="G970" i="28" s="1"/>
  <c r="I970" i="28" s="1"/>
  <c r="F971" i="28"/>
  <c r="G971" i="28" s="1"/>
  <c r="F972" i="28"/>
  <c r="G972" i="28" s="1"/>
  <c r="I972" i="28" s="1"/>
  <c r="F973" i="28"/>
  <c r="G973" i="28" s="1"/>
  <c r="I973" i="28" s="1"/>
  <c r="F974" i="28"/>
  <c r="G974" i="28" s="1"/>
  <c r="I974" i="28" s="1"/>
  <c r="F975" i="28"/>
  <c r="G975" i="28" s="1"/>
  <c r="F976" i="28"/>
  <c r="G976" i="28" s="1"/>
  <c r="I976" i="28" s="1"/>
  <c r="F977" i="28"/>
  <c r="G977" i="28" s="1"/>
  <c r="I977" i="28" s="1"/>
  <c r="F978" i="28"/>
  <c r="G978" i="28" s="1"/>
  <c r="I978" i="28" s="1"/>
  <c r="F979" i="28"/>
  <c r="G979" i="28" s="1"/>
  <c r="F980" i="28"/>
  <c r="G980" i="28" s="1"/>
  <c r="I980" i="28" s="1"/>
  <c r="F981" i="28"/>
  <c r="G981" i="28" s="1"/>
  <c r="I981" i="28" s="1"/>
  <c r="F982" i="28"/>
  <c r="G982" i="28" s="1"/>
  <c r="I982" i="28" s="1"/>
  <c r="F983" i="28"/>
  <c r="G983" i="28" s="1"/>
  <c r="F984" i="28"/>
  <c r="G984" i="28" s="1"/>
  <c r="I984" i="28" s="1"/>
  <c r="F985" i="28"/>
  <c r="G985" i="28" s="1"/>
  <c r="I985" i="28" s="1"/>
  <c r="F986" i="28"/>
  <c r="G986" i="28" s="1"/>
  <c r="I986" i="28" s="1"/>
  <c r="F987" i="28"/>
  <c r="G987" i="28" s="1"/>
  <c r="F988" i="28"/>
  <c r="G988" i="28" s="1"/>
  <c r="I988" i="28" s="1"/>
  <c r="F989" i="28"/>
  <c r="G989" i="28" s="1"/>
  <c r="I989" i="28" s="1"/>
  <c r="F990" i="28"/>
  <c r="G990" i="28" s="1"/>
  <c r="I990" i="28" s="1"/>
  <c r="F991" i="28"/>
  <c r="G991" i="28" s="1"/>
  <c r="F992" i="28"/>
  <c r="G992" i="28" s="1"/>
  <c r="I992" i="28" s="1"/>
  <c r="F993" i="28"/>
  <c r="G993" i="28" s="1"/>
  <c r="I993" i="28" s="1"/>
  <c r="F994" i="28"/>
  <c r="G994" i="28" s="1"/>
  <c r="I994" i="28" s="1"/>
  <c r="F995" i="28"/>
  <c r="G995" i="28" s="1"/>
  <c r="F996" i="28"/>
  <c r="G996" i="28" s="1"/>
  <c r="I996" i="28" s="1"/>
  <c r="F997" i="28"/>
  <c r="G997" i="28" s="1"/>
  <c r="I997" i="28" s="1"/>
  <c r="F998" i="28"/>
  <c r="G998" i="28" s="1"/>
  <c r="I998" i="28" s="1"/>
  <c r="F999" i="28"/>
  <c r="G999" i="28" s="1"/>
  <c r="F1000" i="28"/>
  <c r="G1000" i="28" s="1"/>
  <c r="I1000" i="28" s="1"/>
  <c r="F1001" i="28"/>
  <c r="G1001" i="28" s="1"/>
  <c r="I1001" i="28" s="1"/>
  <c r="F1002" i="28"/>
  <c r="G1002" i="28" s="1"/>
  <c r="I1002" i="28" s="1"/>
  <c r="F1003" i="28"/>
  <c r="G1003" i="28" s="1"/>
  <c r="F1004" i="28"/>
  <c r="G1004" i="28" s="1"/>
  <c r="I1004" i="28" s="1"/>
  <c r="F1005" i="28"/>
  <c r="G1005" i="28" s="1"/>
  <c r="I1005" i="28" s="1"/>
  <c r="F1006" i="28"/>
  <c r="G1006" i="28" s="1"/>
  <c r="I1006" i="28" s="1"/>
  <c r="F1007" i="28"/>
  <c r="G1007" i="28" s="1"/>
  <c r="F1008" i="28"/>
  <c r="G1008" i="28" s="1"/>
  <c r="I1008" i="28" s="1"/>
  <c r="F1009" i="28"/>
  <c r="G1009" i="28" s="1"/>
  <c r="I1009" i="28" s="1"/>
  <c r="F1010" i="28"/>
  <c r="G1010" i="28" s="1"/>
  <c r="I1010" i="28" s="1"/>
  <c r="F1011" i="28"/>
  <c r="G1011" i="28" s="1"/>
  <c r="F1012" i="28"/>
  <c r="G1012" i="28" s="1"/>
  <c r="I1012" i="28" s="1"/>
  <c r="F1013" i="28"/>
  <c r="G1013" i="28" s="1"/>
  <c r="I1013" i="28" s="1"/>
  <c r="F1014" i="28"/>
  <c r="G1014" i="28" s="1"/>
  <c r="I1014" i="28" s="1"/>
  <c r="F1015" i="28"/>
  <c r="G1015" i="28" s="1"/>
  <c r="F1016" i="28"/>
  <c r="G1016" i="28" s="1"/>
  <c r="I1016" i="28" s="1"/>
  <c r="F1017" i="28"/>
  <c r="G1017" i="28" s="1"/>
  <c r="I1017" i="28" s="1"/>
  <c r="F1018" i="28"/>
  <c r="G1018" i="28" s="1"/>
  <c r="I1018" i="28" s="1"/>
  <c r="F1019" i="28"/>
  <c r="G1019" i="28" s="1"/>
  <c r="F1020" i="28"/>
  <c r="G1020" i="28" s="1"/>
  <c r="I1020" i="28" s="1"/>
  <c r="F1021" i="28"/>
  <c r="G1021" i="28" s="1"/>
  <c r="I1021" i="28" s="1"/>
  <c r="F1022" i="28"/>
  <c r="G1022" i="28" s="1"/>
  <c r="I1022" i="28" s="1"/>
  <c r="F1023" i="28"/>
  <c r="G1023" i="28" s="1"/>
  <c r="F1024" i="28"/>
  <c r="G1024" i="28" s="1"/>
  <c r="I1024" i="28" s="1"/>
  <c r="F1025" i="28"/>
  <c r="G1025" i="28" s="1"/>
  <c r="I1025" i="28" s="1"/>
  <c r="F1026" i="28"/>
  <c r="G1026" i="28" s="1"/>
  <c r="I1026" i="28" s="1"/>
  <c r="F1027" i="28"/>
  <c r="G1027" i="28" s="1"/>
  <c r="F1028" i="28"/>
  <c r="G1028" i="28" s="1"/>
  <c r="I1028" i="28" s="1"/>
  <c r="F1029" i="28"/>
  <c r="G1029" i="28" s="1"/>
  <c r="I1029" i="28" s="1"/>
  <c r="F1030" i="28"/>
  <c r="G1030" i="28" s="1"/>
  <c r="I1030" i="28" s="1"/>
  <c r="F1031" i="28"/>
  <c r="G1031" i="28" s="1"/>
  <c r="F1032" i="28"/>
  <c r="G1032" i="28" s="1"/>
  <c r="I1032" i="28" s="1"/>
  <c r="F1033" i="28"/>
  <c r="G1033" i="28" s="1"/>
  <c r="I1033" i="28" s="1"/>
  <c r="F1034" i="28"/>
  <c r="G1034" i="28" s="1"/>
  <c r="I1034" i="28" s="1"/>
  <c r="F1035" i="28"/>
  <c r="G1035" i="28" s="1"/>
  <c r="F1036" i="28"/>
  <c r="G1036" i="28" s="1"/>
  <c r="I1036" i="28" s="1"/>
  <c r="F1037" i="28"/>
  <c r="G1037" i="28" s="1"/>
  <c r="I1037" i="28" s="1"/>
  <c r="F1038" i="28"/>
  <c r="G1038" i="28" s="1"/>
  <c r="I1038" i="28" s="1"/>
  <c r="F1039" i="28"/>
  <c r="G1039" i="28" s="1"/>
  <c r="F1040" i="28"/>
  <c r="G1040" i="28" s="1"/>
  <c r="I1040" i="28" s="1"/>
  <c r="F1041" i="28"/>
  <c r="G1041" i="28" s="1"/>
  <c r="I1041" i="28" s="1"/>
  <c r="F1042" i="28"/>
  <c r="G1042" i="28" s="1"/>
  <c r="I1042" i="28" s="1"/>
  <c r="F1043" i="28"/>
  <c r="G1043" i="28" s="1"/>
  <c r="F1044" i="28"/>
  <c r="G1044" i="28" s="1"/>
  <c r="I1044" i="28" s="1"/>
  <c r="F1045" i="28"/>
  <c r="G1045" i="28" s="1"/>
  <c r="I1045" i="28" s="1"/>
  <c r="F1046" i="28"/>
  <c r="G1046" i="28" s="1"/>
  <c r="I1046" i="28" s="1"/>
  <c r="F1047" i="28"/>
  <c r="G1047" i="28" s="1"/>
  <c r="F1048" i="28"/>
  <c r="G1048" i="28" s="1"/>
  <c r="I1048" i="28" s="1"/>
  <c r="F1049" i="28"/>
  <c r="G1049" i="28" s="1"/>
  <c r="I1049" i="28" s="1"/>
  <c r="F1050" i="28"/>
  <c r="G1050" i="28" s="1"/>
  <c r="I1050" i="28" s="1"/>
  <c r="F1051" i="28"/>
  <c r="G1051" i="28" s="1"/>
  <c r="F1052" i="28"/>
  <c r="G1052" i="28" s="1"/>
  <c r="I1052" i="28" s="1"/>
  <c r="F1053" i="28"/>
  <c r="G1053" i="28" s="1"/>
  <c r="I1053" i="28" s="1"/>
  <c r="F1054" i="28"/>
  <c r="G1054" i="28" s="1"/>
  <c r="I1054" i="28" s="1"/>
  <c r="F1055" i="28"/>
  <c r="G1055" i="28" s="1"/>
  <c r="F1056" i="28"/>
  <c r="G1056" i="28" s="1"/>
  <c r="I1056" i="28" s="1"/>
  <c r="F1057" i="28"/>
  <c r="G1057" i="28" s="1"/>
  <c r="I1057" i="28" s="1"/>
  <c r="F1058" i="28"/>
  <c r="G1058" i="28" s="1"/>
  <c r="I1058" i="28" s="1"/>
  <c r="F1059" i="28"/>
  <c r="G1059" i="28" s="1"/>
  <c r="F1060" i="28"/>
  <c r="G1060" i="28" s="1"/>
  <c r="I1060" i="28" s="1"/>
  <c r="F1061" i="28"/>
  <c r="G1061" i="28" s="1"/>
  <c r="I1061" i="28" s="1"/>
  <c r="F1062" i="28"/>
  <c r="G1062" i="28" s="1"/>
  <c r="I1062" i="28" s="1"/>
  <c r="F1063" i="28"/>
  <c r="G1063" i="28" s="1"/>
  <c r="F1064" i="28"/>
  <c r="G1064" i="28" s="1"/>
  <c r="I1064" i="28" s="1"/>
  <c r="F1065" i="28"/>
  <c r="G1065" i="28" s="1"/>
  <c r="I1065" i="28" s="1"/>
  <c r="F1066" i="28"/>
  <c r="G1066" i="28" s="1"/>
  <c r="I1066" i="28" s="1"/>
  <c r="F1067" i="28"/>
  <c r="G1067" i="28" s="1"/>
  <c r="F1068" i="28"/>
  <c r="G1068" i="28" s="1"/>
  <c r="I1068" i="28" s="1"/>
  <c r="F1069" i="28"/>
  <c r="G1069" i="28" s="1"/>
  <c r="I1069" i="28" s="1"/>
  <c r="F1070" i="28"/>
  <c r="G1070" i="28" s="1"/>
  <c r="I1070" i="28" s="1"/>
  <c r="F1071" i="28"/>
  <c r="G1071" i="28" s="1"/>
  <c r="F1072" i="28"/>
  <c r="G1072" i="28" s="1"/>
  <c r="I1072" i="28" s="1"/>
  <c r="F1073" i="28"/>
  <c r="G1073" i="28" s="1"/>
  <c r="I1073" i="28" s="1"/>
  <c r="F1074" i="28"/>
  <c r="G1074" i="28" s="1"/>
  <c r="I1074" i="28" s="1"/>
  <c r="F1075" i="28"/>
  <c r="G1075" i="28" s="1"/>
  <c r="F1076" i="28"/>
  <c r="G1076" i="28" s="1"/>
  <c r="I1076" i="28" s="1"/>
  <c r="F1077" i="28"/>
  <c r="G1077" i="28" s="1"/>
  <c r="I1077" i="28" s="1"/>
  <c r="F1078" i="28"/>
  <c r="G1078" i="28" s="1"/>
  <c r="I1078" i="28" s="1"/>
  <c r="F1079" i="28"/>
  <c r="G1079" i="28" s="1"/>
  <c r="F1080" i="28"/>
  <c r="G1080" i="28" s="1"/>
  <c r="I1080" i="28" s="1"/>
  <c r="F1081" i="28"/>
  <c r="G1081" i="28" s="1"/>
  <c r="I1081" i="28" s="1"/>
  <c r="F1082" i="28"/>
  <c r="G1082" i="28" s="1"/>
  <c r="I1082" i="28" s="1"/>
  <c r="F1083" i="28"/>
  <c r="G1083" i="28" s="1"/>
  <c r="F1084" i="28"/>
  <c r="G1084" i="28" s="1"/>
  <c r="I1084" i="28" s="1"/>
  <c r="F1085" i="28"/>
  <c r="G1085" i="28" s="1"/>
  <c r="I1085" i="28" s="1"/>
  <c r="F1086" i="28"/>
  <c r="G1086" i="28" s="1"/>
  <c r="I1086" i="28" s="1"/>
  <c r="F1087" i="28"/>
  <c r="G1087" i="28" s="1"/>
  <c r="F1088" i="28"/>
  <c r="G1088" i="28" s="1"/>
  <c r="I1088" i="28" s="1"/>
  <c r="F1089" i="28"/>
  <c r="G1089" i="28" s="1"/>
  <c r="I1089" i="28" s="1"/>
  <c r="F1090" i="28"/>
  <c r="G1090" i="28" s="1"/>
  <c r="I1090" i="28" s="1"/>
  <c r="F1091" i="28"/>
  <c r="G1091" i="28" s="1"/>
  <c r="F1092" i="28"/>
  <c r="G1092" i="28" s="1"/>
  <c r="I1092" i="28" s="1"/>
  <c r="F1093" i="28"/>
  <c r="G1093" i="28" s="1"/>
  <c r="I1093" i="28" s="1"/>
  <c r="F1094" i="28"/>
  <c r="G1094" i="28" s="1"/>
  <c r="I1094" i="28" s="1"/>
  <c r="F1095" i="28"/>
  <c r="G1095" i="28" s="1"/>
  <c r="F1096" i="28"/>
  <c r="G1096" i="28" s="1"/>
  <c r="I1096" i="28" s="1"/>
  <c r="F1097" i="28"/>
  <c r="G1097" i="28" s="1"/>
  <c r="I1097" i="28" s="1"/>
  <c r="F1098" i="28"/>
  <c r="G1098" i="28" s="1"/>
  <c r="I1098" i="28" s="1"/>
  <c r="F1099" i="28"/>
  <c r="G1099" i="28" s="1"/>
  <c r="F1100" i="28"/>
  <c r="G1100" i="28" s="1"/>
  <c r="I1100" i="28" s="1"/>
  <c r="F1101" i="28"/>
  <c r="G1101" i="28" s="1"/>
  <c r="I1101" i="28" s="1"/>
  <c r="F1102" i="28"/>
  <c r="G1102" i="28" s="1"/>
  <c r="I1102" i="28" s="1"/>
  <c r="F1103" i="28"/>
  <c r="G1103" i="28" s="1"/>
  <c r="F1104" i="28"/>
  <c r="G1104" i="28" s="1"/>
  <c r="I1104" i="28" s="1"/>
  <c r="F1105" i="28"/>
  <c r="G1105" i="28" s="1"/>
  <c r="I1105" i="28" s="1"/>
  <c r="F1106" i="28"/>
  <c r="G1106" i="28" s="1"/>
  <c r="I1106" i="28" s="1"/>
  <c r="F1107" i="28"/>
  <c r="G1107" i="28" s="1"/>
  <c r="F1108" i="28"/>
  <c r="G1108" i="28" s="1"/>
  <c r="I1108" i="28" s="1"/>
  <c r="F1109" i="28"/>
  <c r="G1109" i="28" s="1"/>
  <c r="I1109" i="28" s="1"/>
  <c r="F1110" i="28"/>
  <c r="G1110" i="28" s="1"/>
  <c r="I1110" i="28" s="1"/>
  <c r="F1111" i="28"/>
  <c r="G1111" i="28" s="1"/>
  <c r="F1112" i="28"/>
  <c r="G1112" i="28" s="1"/>
  <c r="I1112" i="28" s="1"/>
  <c r="F1113" i="28"/>
  <c r="G1113" i="28" s="1"/>
  <c r="I1113" i="28" s="1"/>
  <c r="F1114" i="28"/>
  <c r="G1114" i="28" s="1"/>
  <c r="I1114" i="28" s="1"/>
  <c r="F1115" i="28"/>
  <c r="G1115" i="28" s="1"/>
  <c r="F1116" i="28"/>
  <c r="G1116" i="28" s="1"/>
  <c r="I1116" i="28" s="1"/>
  <c r="F1117" i="28"/>
  <c r="G1117" i="28" s="1"/>
  <c r="I1117" i="28" s="1"/>
  <c r="F1118" i="28"/>
  <c r="G1118" i="28" s="1"/>
  <c r="I1118" i="28" s="1"/>
  <c r="F1119" i="28"/>
  <c r="G1119" i="28" s="1"/>
  <c r="F1120" i="28"/>
  <c r="G1120" i="28" s="1"/>
  <c r="I1120" i="28" s="1"/>
  <c r="F1121" i="28"/>
  <c r="G1121" i="28" s="1"/>
  <c r="I1121" i="28" s="1"/>
  <c r="F1122" i="28"/>
  <c r="G1122" i="28" s="1"/>
  <c r="I1122" i="28" s="1"/>
  <c r="F1123" i="28"/>
  <c r="G1123" i="28" s="1"/>
  <c r="F1124" i="28"/>
  <c r="G1124" i="28" s="1"/>
  <c r="I1124" i="28" s="1"/>
  <c r="F1125" i="28"/>
  <c r="G1125" i="28" s="1"/>
  <c r="I1125" i="28" s="1"/>
  <c r="F1126" i="28"/>
  <c r="G1126" i="28" s="1"/>
  <c r="I1126" i="28" s="1"/>
  <c r="F1127" i="28"/>
  <c r="G1127" i="28" s="1"/>
  <c r="F1128" i="28"/>
  <c r="G1128" i="28" s="1"/>
  <c r="I1128" i="28" s="1"/>
  <c r="F1129" i="28"/>
  <c r="G1129" i="28" s="1"/>
  <c r="I1129" i="28" s="1"/>
  <c r="F1130" i="28"/>
  <c r="G1130" i="28" s="1"/>
  <c r="I1130" i="28" s="1"/>
  <c r="F1131" i="28"/>
  <c r="G1131" i="28" s="1"/>
  <c r="F1132" i="28"/>
  <c r="G1132" i="28" s="1"/>
  <c r="I1132" i="28" s="1"/>
  <c r="F1133" i="28"/>
  <c r="G1133" i="28" s="1"/>
  <c r="I1133" i="28" s="1"/>
  <c r="F1134" i="28"/>
  <c r="G1134" i="28" s="1"/>
  <c r="I1134" i="28" s="1"/>
  <c r="F1135" i="28"/>
  <c r="G1135" i="28" s="1"/>
  <c r="F1136" i="28"/>
  <c r="G1136" i="28" s="1"/>
  <c r="I1136" i="28" s="1"/>
  <c r="F1137" i="28"/>
  <c r="G1137" i="28" s="1"/>
  <c r="I1137" i="28" s="1"/>
  <c r="F1138" i="28"/>
  <c r="G1138" i="28" s="1"/>
  <c r="I1138" i="28" s="1"/>
  <c r="F1139" i="28"/>
  <c r="G1139" i="28" s="1"/>
  <c r="F1140" i="28"/>
  <c r="G1140" i="28" s="1"/>
  <c r="I1140" i="28" s="1"/>
  <c r="F1141" i="28"/>
  <c r="G1141" i="28" s="1"/>
  <c r="I1141" i="28" s="1"/>
  <c r="F1142" i="28"/>
  <c r="G1142" i="28" s="1"/>
  <c r="I1142" i="28" s="1"/>
  <c r="F1143" i="28"/>
  <c r="G1143" i="28" s="1"/>
  <c r="F1144" i="28"/>
  <c r="G1144" i="28" s="1"/>
  <c r="I1144" i="28" s="1"/>
  <c r="F1145" i="28"/>
  <c r="G1145" i="28" s="1"/>
  <c r="I1145" i="28" s="1"/>
  <c r="F1146" i="28"/>
  <c r="G1146" i="28" s="1"/>
  <c r="I1146" i="28" s="1"/>
  <c r="F1147" i="28"/>
  <c r="G1147" i="28" s="1"/>
  <c r="F1148" i="28"/>
  <c r="G1148" i="28" s="1"/>
  <c r="I1148" i="28" s="1"/>
  <c r="F1149" i="28"/>
  <c r="G1149" i="28" s="1"/>
  <c r="I1149" i="28" s="1"/>
  <c r="F1150" i="28"/>
  <c r="G1150" i="28" s="1"/>
  <c r="I1150" i="28" s="1"/>
  <c r="F1151" i="28"/>
  <c r="G1151" i="28" s="1"/>
  <c r="F1152" i="28"/>
  <c r="G1152" i="28" s="1"/>
  <c r="I1152" i="28" s="1"/>
  <c r="F1153" i="28"/>
  <c r="G1153" i="28" s="1"/>
  <c r="I1153" i="28" s="1"/>
  <c r="F1154" i="28"/>
  <c r="G1154" i="28" s="1"/>
  <c r="I1154" i="28" s="1"/>
  <c r="F1155" i="28"/>
  <c r="G1155" i="28" s="1"/>
  <c r="F1156" i="28"/>
  <c r="G1156" i="28" s="1"/>
  <c r="I1156" i="28" s="1"/>
  <c r="F1157" i="28"/>
  <c r="G1157" i="28" s="1"/>
  <c r="I1157" i="28" s="1"/>
  <c r="F1158" i="28"/>
  <c r="G1158" i="28" s="1"/>
  <c r="I1158" i="28" s="1"/>
  <c r="F1159" i="28"/>
  <c r="G1159" i="28" s="1"/>
  <c r="F1160" i="28"/>
  <c r="G1160" i="28" s="1"/>
  <c r="I1160" i="28" s="1"/>
  <c r="F1161" i="28"/>
  <c r="G1161" i="28" s="1"/>
  <c r="I1161" i="28" s="1"/>
  <c r="F1162" i="28"/>
  <c r="G1162" i="28" s="1"/>
  <c r="I1162" i="28" s="1"/>
  <c r="F1163" i="28"/>
  <c r="G1163" i="28" s="1"/>
  <c r="F1164" i="28"/>
  <c r="G1164" i="28" s="1"/>
  <c r="I1164" i="28" s="1"/>
  <c r="F1165" i="28"/>
  <c r="G1165" i="28" s="1"/>
  <c r="I1165" i="28" s="1"/>
  <c r="F1166" i="28"/>
  <c r="G1166" i="28" s="1"/>
  <c r="I1166" i="28" s="1"/>
  <c r="F1167" i="28"/>
  <c r="G1167" i="28" s="1"/>
  <c r="F1168" i="28"/>
  <c r="G1168" i="28" s="1"/>
  <c r="I1168" i="28" s="1"/>
  <c r="F1169" i="28"/>
  <c r="G1169" i="28" s="1"/>
  <c r="I1169" i="28" s="1"/>
  <c r="F1170" i="28"/>
  <c r="G1170" i="28" s="1"/>
  <c r="I1170" i="28" s="1"/>
  <c r="F1171" i="28"/>
  <c r="G1171" i="28" s="1"/>
  <c r="F1172" i="28"/>
  <c r="G1172" i="28" s="1"/>
  <c r="I1172" i="28" s="1"/>
  <c r="F1173" i="28"/>
  <c r="G1173" i="28" s="1"/>
  <c r="I1173" i="28" s="1"/>
  <c r="F1174" i="28"/>
  <c r="G1174" i="28" s="1"/>
  <c r="I1174" i="28" s="1"/>
  <c r="F1175" i="28"/>
  <c r="G1175" i="28" s="1"/>
  <c r="F1176" i="28"/>
  <c r="G1176" i="28" s="1"/>
  <c r="I1176" i="28" s="1"/>
  <c r="F1177" i="28"/>
  <c r="G1177" i="28" s="1"/>
  <c r="I1177" i="28" s="1"/>
  <c r="F1178" i="28"/>
  <c r="G1178" i="28" s="1"/>
  <c r="I1178" i="28" s="1"/>
  <c r="F1179" i="28"/>
  <c r="G1179" i="28" s="1"/>
  <c r="F1180" i="28"/>
  <c r="G1180" i="28" s="1"/>
  <c r="I1180" i="28" s="1"/>
  <c r="F1181" i="28"/>
  <c r="G1181" i="28" s="1"/>
  <c r="I1181" i="28" s="1"/>
  <c r="F1182" i="28"/>
  <c r="G1182" i="28" s="1"/>
  <c r="I1182" i="28" s="1"/>
  <c r="F1183" i="28"/>
  <c r="G1183" i="28" s="1"/>
  <c r="F1184" i="28"/>
  <c r="G1184" i="28" s="1"/>
  <c r="I1184" i="28" s="1"/>
  <c r="F1185" i="28"/>
  <c r="G1185" i="28" s="1"/>
  <c r="I1185" i="28" s="1"/>
  <c r="F1186" i="28"/>
  <c r="G1186" i="28" s="1"/>
  <c r="I1186" i="28" s="1"/>
  <c r="F1187" i="28"/>
  <c r="G1187" i="28" s="1"/>
  <c r="F1188" i="28"/>
  <c r="G1188" i="28" s="1"/>
  <c r="I1188" i="28" s="1"/>
  <c r="F1189" i="28"/>
  <c r="G1189" i="28" s="1"/>
  <c r="I1189" i="28" s="1"/>
  <c r="F1190" i="28"/>
  <c r="G1190" i="28" s="1"/>
  <c r="I1190" i="28" s="1"/>
  <c r="F1191" i="28"/>
  <c r="G1191" i="28" s="1"/>
  <c r="F1192" i="28"/>
  <c r="G1192" i="28" s="1"/>
  <c r="I1192" i="28" s="1"/>
  <c r="F1193" i="28"/>
  <c r="G1193" i="28" s="1"/>
  <c r="I1193" i="28" s="1"/>
  <c r="F1194" i="28"/>
  <c r="G1194" i="28" s="1"/>
  <c r="I1194" i="28" s="1"/>
  <c r="F1195" i="28"/>
  <c r="G1195" i="28" s="1"/>
  <c r="F1196" i="28"/>
  <c r="G1196" i="28" s="1"/>
  <c r="I1196" i="28" s="1"/>
  <c r="F1197" i="28"/>
  <c r="G1197" i="28" s="1"/>
  <c r="I1197" i="28" s="1"/>
  <c r="H4" i="28"/>
  <c r="F4" i="28"/>
  <c r="G4" i="28" s="1"/>
  <c r="I1191" i="28" l="1"/>
  <c r="I1183" i="28"/>
  <c r="I1175" i="28"/>
  <c r="I1167" i="28"/>
  <c r="I1159" i="28"/>
  <c r="I1151" i="28"/>
  <c r="I1143" i="28"/>
  <c r="I1135" i="28"/>
  <c r="I1127" i="28"/>
  <c r="I1119" i="28"/>
  <c r="I1111" i="28"/>
  <c r="I1103" i="28"/>
  <c r="I1095" i="28"/>
  <c r="I1087" i="28"/>
  <c r="I1079" i="28"/>
  <c r="I1071" i="28"/>
  <c r="I1063" i="28"/>
  <c r="I1055" i="28"/>
  <c r="I1047" i="28"/>
  <c r="I1039" i="28"/>
  <c r="I1031" i="28"/>
  <c r="I1023" i="28"/>
  <c r="I1015" i="28"/>
  <c r="I1007" i="28"/>
  <c r="I999" i="28"/>
  <c r="I991" i="28"/>
  <c r="I983" i="28"/>
  <c r="I975" i="28"/>
  <c r="I967" i="28"/>
  <c r="I959" i="28"/>
  <c r="I951" i="28"/>
  <c r="I943" i="28"/>
  <c r="I935" i="28"/>
  <c r="I927" i="28"/>
  <c r="I919" i="28"/>
  <c r="I911" i="28"/>
  <c r="I903" i="28"/>
  <c r="I895" i="28"/>
  <c r="I887" i="28"/>
  <c r="I879" i="28"/>
  <c r="I871" i="28"/>
  <c r="I863" i="28"/>
  <c r="I855" i="28"/>
  <c r="I847" i="28"/>
  <c r="I839" i="28"/>
  <c r="I831" i="28"/>
  <c r="I823" i="28"/>
  <c r="I815" i="28"/>
  <c r="I807" i="28"/>
  <c r="I799" i="28"/>
  <c r="I791" i="28"/>
  <c r="I783" i="28"/>
  <c r="I775" i="28"/>
  <c r="I767" i="28"/>
  <c r="I759" i="28"/>
  <c r="I751" i="28"/>
  <c r="I743" i="28"/>
  <c r="I735" i="28"/>
  <c r="I727" i="28"/>
  <c r="I719" i="28"/>
  <c r="I711" i="28"/>
  <c r="I703" i="28"/>
  <c r="I695" i="28"/>
  <c r="I687" i="28"/>
  <c r="I679" i="28"/>
  <c r="I671" i="28"/>
  <c r="I663" i="28"/>
  <c r="I655" i="28"/>
  <c r="I647" i="28"/>
  <c r="I639" i="28"/>
  <c r="I631" i="28"/>
  <c r="I623" i="28"/>
  <c r="I615" i="28"/>
  <c r="I607" i="28"/>
  <c r="I599" i="28"/>
  <c r="I591" i="28"/>
  <c r="I583" i="28"/>
  <c r="I575" i="28"/>
  <c r="I567" i="28"/>
  <c r="I559" i="28"/>
  <c r="I551" i="28"/>
  <c r="I543" i="28"/>
  <c r="I535" i="28"/>
  <c r="I527" i="28"/>
  <c r="I519" i="28"/>
  <c r="I511" i="28"/>
  <c r="I503" i="28"/>
  <c r="I495" i="28"/>
  <c r="I487" i="28"/>
  <c r="I479" i="28"/>
  <c r="I471" i="28"/>
  <c r="I463" i="28"/>
  <c r="I455" i="28"/>
  <c r="I447" i="28"/>
  <c r="I439" i="28"/>
  <c r="I431" i="28"/>
  <c r="I423" i="28"/>
  <c r="I415" i="28"/>
  <c r="I407" i="28"/>
  <c r="I399" i="28"/>
  <c r="I391" i="28"/>
  <c r="I383" i="28"/>
  <c r="I375" i="28"/>
  <c r="I367" i="28"/>
  <c r="I359" i="28"/>
  <c r="I351" i="28"/>
  <c r="I343" i="28"/>
  <c r="I335" i="28"/>
  <c r="I327" i="28"/>
  <c r="I319" i="28"/>
  <c r="I311" i="28"/>
  <c r="I303" i="28"/>
  <c r="I295" i="28"/>
  <c r="I287" i="28"/>
  <c r="I279" i="28"/>
  <c r="I271" i="28"/>
  <c r="I263" i="28"/>
  <c r="I255" i="28"/>
  <c r="I247" i="28"/>
  <c r="I239" i="28"/>
  <c r="I231" i="28"/>
  <c r="I223" i="28"/>
  <c r="I215" i="28"/>
  <c r="I207" i="28"/>
  <c r="I199" i="28"/>
  <c r="I191" i="28"/>
  <c r="I183" i="28"/>
  <c r="I175" i="28"/>
  <c r="I167" i="28"/>
  <c r="I159" i="28"/>
  <c r="I151" i="28"/>
  <c r="I143" i="28"/>
  <c r="I135" i="28"/>
  <c r="I127" i="28"/>
  <c r="I119" i="28"/>
  <c r="I111" i="28"/>
  <c r="I103" i="28"/>
  <c r="I95" i="28"/>
  <c r="I87" i="28"/>
  <c r="I79" i="28"/>
  <c r="I71" i="28"/>
  <c r="I63" i="28"/>
  <c r="I55" i="28"/>
  <c r="I47" i="28"/>
  <c r="I39" i="28"/>
  <c r="I31" i="28"/>
  <c r="I23" i="28"/>
  <c r="I15" i="28"/>
  <c r="I7" i="28"/>
  <c r="I722" i="28"/>
  <c r="I714" i="28"/>
  <c r="I706" i="28"/>
  <c r="I698" i="28"/>
  <c r="I690" i="28"/>
  <c r="I4" i="28"/>
  <c r="I682" i="28"/>
  <c r="I674" i="28"/>
  <c r="I666" i="28"/>
  <c r="I658" i="28"/>
  <c r="I650" i="28"/>
  <c r="I642" i="28"/>
  <c r="I634" i="28"/>
  <c r="I626" i="28"/>
  <c r="I618" i="28"/>
  <c r="I610" i="28"/>
  <c r="I602" i="28"/>
  <c r="I594" i="28"/>
  <c r="I586" i="28"/>
  <c r="I578" i="28"/>
  <c r="I570" i="28"/>
  <c r="I562" i="28"/>
  <c r="I554" i="28"/>
  <c r="I546" i="28"/>
  <c r="I538" i="28"/>
  <c r="I530" i="28"/>
  <c r="I522" i="28"/>
  <c r="I514" i="28"/>
  <c r="I506" i="28"/>
  <c r="I498" i="28"/>
  <c r="I490" i="28"/>
  <c r="I482" i="28"/>
  <c r="I474" i="28"/>
  <c r="I466" i="28"/>
  <c r="I458" i="28"/>
  <c r="I450" i="28"/>
  <c r="I442" i="28"/>
  <c r="I434" i="28"/>
  <c r="I426" i="28"/>
  <c r="I418" i="28"/>
  <c r="I410" i="28"/>
  <c r="I402" i="28"/>
  <c r="I394" i="28"/>
  <c r="I386" i="28"/>
  <c r="I378" i="28"/>
  <c r="I370" i="28"/>
  <c r="I362" i="28"/>
  <c r="I354" i="28"/>
  <c r="I346" i="28"/>
  <c r="I338" i="28"/>
  <c r="I330" i="28"/>
  <c r="I322" i="28"/>
  <c r="I314" i="28"/>
  <c r="I306" i="28"/>
  <c r="I298" i="28"/>
  <c r="I290" i="28"/>
  <c r="I282" i="28"/>
  <c r="I274" i="28"/>
  <c r="I266" i="28"/>
  <c r="I258" i="28"/>
  <c r="I250" i="28"/>
  <c r="I242" i="28"/>
  <c r="I234" i="28"/>
  <c r="I226" i="28"/>
  <c r="I218" i="28"/>
  <c r="I210" i="28"/>
  <c r="I202" i="28"/>
  <c r="I194" i="28"/>
  <c r="I186" i="28"/>
  <c r="I178" i="28"/>
  <c r="I170" i="28"/>
  <c r="I162" i="28"/>
  <c r="I154" i="28"/>
  <c r="I146" i="28"/>
  <c r="I138" i="28"/>
  <c r="I130" i="28"/>
  <c r="I122" i="28"/>
  <c r="I114" i="28"/>
  <c r="I106" i="28"/>
  <c r="I98" i="28"/>
  <c r="I90" i="28"/>
  <c r="I82" i="28"/>
  <c r="I74" i="28"/>
  <c r="I66" i="28"/>
  <c r="I58" i="28"/>
  <c r="I50" i="28"/>
  <c r="I42" i="28"/>
  <c r="I34" i="28"/>
  <c r="I26" i="28"/>
  <c r="I18" i="28"/>
  <c r="I10" i="28"/>
  <c r="I1195" i="28"/>
  <c r="I1187" i="28"/>
  <c r="I1179" i="28"/>
  <c r="I1171" i="28"/>
  <c r="I1163" i="28"/>
  <c r="I1155" i="28"/>
  <c r="I1147" i="28"/>
  <c r="I1139" i="28"/>
  <c r="I1131" i="28"/>
  <c r="I1123" i="28"/>
  <c r="I1115" i="28"/>
  <c r="I1107" i="28"/>
  <c r="I1099" i="28"/>
  <c r="I1091" i="28"/>
  <c r="I1083" i="28"/>
  <c r="I1075" i="28"/>
  <c r="I1067" i="28"/>
  <c r="I1059" i="28"/>
  <c r="I1051" i="28"/>
  <c r="I1043" i="28"/>
  <c r="I1035" i="28"/>
  <c r="I1027" i="28"/>
  <c r="I1019" i="28"/>
  <c r="I1011" i="28"/>
  <c r="I1003" i="28"/>
  <c r="I995" i="28"/>
  <c r="I987" i="28"/>
  <c r="I979" i="28"/>
  <c r="I971" i="28"/>
  <c r="I963" i="28"/>
  <c r="I955" i="28"/>
  <c r="I947" i="28"/>
  <c r="I939" i="28"/>
  <c r="I931" i="28"/>
  <c r="I923" i="28"/>
  <c r="I915" i="28"/>
  <c r="I907" i="28"/>
  <c r="I899" i="28"/>
  <c r="I891" i="28"/>
  <c r="I883" i="28"/>
  <c r="I875" i="28"/>
  <c r="I867" i="28"/>
  <c r="I859" i="28"/>
  <c r="I851" i="28"/>
  <c r="I843" i="28"/>
  <c r="I835" i="28"/>
  <c r="I827" i="28"/>
  <c r="I819" i="28"/>
  <c r="I811" i="28"/>
  <c r="I803" i="28"/>
  <c r="I795" i="28"/>
  <c r="I787" i="28"/>
  <c r="I779" i="28"/>
  <c r="I771" i="28"/>
  <c r="I763" i="28"/>
  <c r="I755" i="28"/>
  <c r="I747" i="28"/>
  <c r="I739" i="28"/>
  <c r="I731" i="28"/>
  <c r="I723" i="28"/>
  <c r="I715" i="28"/>
  <c r="I707" i="28"/>
  <c r="I699" i="28"/>
  <c r="I691" i="28"/>
  <c r="I683" i="28"/>
  <c r="I675" i="28"/>
  <c r="I667" i="28"/>
  <c r="I659" i="28"/>
  <c r="I651" i="28"/>
  <c r="I643" i="28"/>
  <c r="I635" i="28"/>
  <c r="I627" i="28"/>
  <c r="I619" i="28"/>
  <c r="I611" i="28"/>
  <c r="I603" i="28"/>
  <c r="I595" i="28"/>
  <c r="I587" i="28"/>
  <c r="I579" i="28"/>
  <c r="I571" i="28"/>
  <c r="I563" i="28"/>
  <c r="I555" i="28"/>
  <c r="I547" i="28"/>
  <c r="I539" i="28"/>
  <c r="I531" i="28"/>
  <c r="I523" i="28"/>
  <c r="I515" i="28"/>
  <c r="I507" i="28"/>
  <c r="I499" i="28"/>
  <c r="I491" i="28"/>
  <c r="I483" i="28"/>
  <c r="I475" i="28"/>
  <c r="I467" i="28"/>
  <c r="I459" i="28"/>
  <c r="I451" i="28"/>
  <c r="I443" i="28"/>
  <c r="I435" i="28"/>
  <c r="I427" i="28"/>
  <c r="I419" i="28"/>
  <c r="I411" i="28"/>
  <c r="I403" i="28"/>
  <c r="I395" i="28"/>
  <c r="I387" i="28"/>
  <c r="I379" i="28"/>
  <c r="I371" i="28"/>
  <c r="I363" i="28"/>
  <c r="I355" i="28"/>
  <c r="I347" i="28"/>
  <c r="I339" i="28"/>
  <c r="I331" i="28"/>
  <c r="I323" i="28"/>
  <c r="I315" i="28"/>
  <c r="I307" i="28"/>
  <c r="I299" i="28"/>
  <c r="I291" i="28"/>
  <c r="I283" i="28"/>
  <c r="I275" i="28"/>
  <c r="I267" i="28"/>
  <c r="I259" i="28"/>
  <c r="I251" i="28"/>
  <c r="I243" i="28"/>
  <c r="I235" i="28"/>
  <c r="I227" i="28"/>
  <c r="I219" i="28"/>
  <c r="I211" i="28"/>
  <c r="I203" i="28"/>
  <c r="I195" i="28"/>
  <c r="I187" i="28"/>
  <c r="I179" i="28"/>
  <c r="I171" i="28"/>
  <c r="I163" i="28"/>
  <c r="I155" i="28"/>
  <c r="I147" i="28"/>
  <c r="I139" i="28"/>
  <c r="I131" i="28"/>
  <c r="I123" i="28"/>
  <c r="I115" i="28"/>
  <c r="I107" i="28"/>
  <c r="I99" i="28"/>
  <c r="I91" i="28"/>
  <c r="I83" i="28"/>
  <c r="I75" i="28"/>
  <c r="I67" i="28"/>
  <c r="I59" i="28"/>
  <c r="I51" i="28"/>
  <c r="I43" i="28"/>
  <c r="I35" i="28"/>
  <c r="I27" i="28"/>
  <c r="I19" i="28"/>
  <c r="I11" i="28"/>
  <c r="I684" i="28"/>
  <c r="I676" i="28"/>
  <c r="I668" i="28"/>
  <c r="I660" i="28"/>
  <c r="I652" i="28"/>
  <c r="I644" i="28"/>
  <c r="I636" i="28"/>
  <c r="I628" i="28"/>
  <c r="I620" i="28"/>
  <c r="I612" i="28"/>
  <c r="I604" i="28"/>
  <c r="I596" i="28"/>
  <c r="I588" i="28"/>
  <c r="I580" i="28"/>
  <c r="I572" i="28"/>
  <c r="I564" i="28"/>
  <c r="I556" i="28"/>
  <c r="I548" i="28"/>
  <c r="I540" i="28"/>
  <c r="I532" i="28"/>
  <c r="I524" i="28"/>
  <c r="I516" i="28"/>
  <c r="I508" i="28"/>
  <c r="I500" i="28"/>
  <c r="I492" i="28"/>
  <c r="I484" i="28"/>
  <c r="I476" i="28"/>
  <c r="I468" i="28"/>
  <c r="I460" i="28"/>
  <c r="I452" i="28"/>
  <c r="I444" i="28"/>
  <c r="I436" i="28"/>
  <c r="I428" i="28"/>
  <c r="I420" i="28"/>
  <c r="I412" i="28"/>
  <c r="I404" i="28"/>
  <c r="I396" i="28"/>
  <c r="I388" i="28"/>
  <c r="I380" i="28"/>
  <c r="I372" i="28"/>
  <c r="I364" i="28"/>
  <c r="I356" i="28"/>
  <c r="I348" i="28"/>
  <c r="I340" i="28"/>
  <c r="I332" i="28"/>
  <c r="I324" i="28"/>
  <c r="I316" i="28"/>
  <c r="I308" i="28"/>
  <c r="I300" i="28"/>
  <c r="I292" i="28"/>
  <c r="I284" i="28"/>
  <c r="I276" i="28"/>
  <c r="I268" i="28"/>
  <c r="I260" i="28"/>
  <c r="I252" i="28"/>
  <c r="I244" i="28"/>
  <c r="I236" i="28"/>
  <c r="I228" i="28"/>
  <c r="I220" i="28"/>
  <c r="I212" i="28"/>
  <c r="I204" i="28"/>
  <c r="I196" i="28"/>
  <c r="I188" i="28"/>
  <c r="I180" i="28"/>
  <c r="I172" i="28"/>
  <c r="I164" i="28"/>
  <c r="I156" i="28"/>
  <c r="I148" i="28"/>
  <c r="I140" i="28"/>
  <c r="I132" i="28"/>
  <c r="I124" i="28"/>
  <c r="I116" i="28"/>
  <c r="I108" i="28"/>
  <c r="I100" i="28"/>
  <c r="I92" i="28"/>
  <c r="I84" i="28"/>
  <c r="I76" i="28"/>
  <c r="I68" i="28"/>
  <c r="I60" i="28"/>
  <c r="I52" i="28"/>
  <c r="I44" i="28"/>
  <c r="I36" i="28"/>
  <c r="I28" i="28"/>
  <c r="I20" i="28"/>
  <c r="I12" i="28"/>
  <c r="C617" i="1" l="1"/>
  <c r="D617" i="1"/>
  <c r="C618" i="1"/>
  <c r="D618" i="1"/>
  <c r="C619" i="1"/>
  <c r="D619" i="1"/>
  <c r="C620" i="1"/>
  <c r="D620" i="1"/>
  <c r="C621" i="1"/>
  <c r="D621" i="1"/>
  <c r="C622" i="1"/>
  <c r="D622" i="1"/>
  <c r="C623" i="1"/>
  <c r="D623" i="1"/>
  <c r="C624" i="1"/>
  <c r="D624" i="1"/>
  <c r="C625" i="1"/>
  <c r="D625" i="1"/>
  <c r="C626" i="1"/>
  <c r="D626" i="1"/>
  <c r="C627" i="1"/>
  <c r="D627" i="1"/>
  <c r="C628" i="1"/>
  <c r="D628" i="1"/>
  <c r="C629" i="1"/>
  <c r="D629" i="1"/>
  <c r="C630" i="1"/>
  <c r="D630" i="1"/>
  <c r="C631" i="1"/>
  <c r="D631" i="1"/>
  <c r="C632" i="1"/>
  <c r="D632" i="1"/>
  <c r="C633" i="1"/>
  <c r="D633" i="1"/>
  <c r="C634" i="1"/>
  <c r="D634" i="1"/>
  <c r="C635" i="1"/>
  <c r="D635" i="1"/>
  <c r="C636" i="1"/>
  <c r="D636" i="1"/>
  <c r="C637" i="1"/>
  <c r="D637" i="1"/>
  <c r="C638" i="1"/>
  <c r="D638" i="1"/>
  <c r="C639" i="1"/>
  <c r="D639" i="1"/>
  <c r="C640" i="1"/>
  <c r="D640" i="1"/>
  <c r="C641" i="1"/>
  <c r="D641" i="1"/>
  <c r="C642" i="1"/>
  <c r="D642" i="1"/>
  <c r="C643" i="1"/>
  <c r="D643" i="1"/>
  <c r="C644" i="1"/>
  <c r="D644" i="1"/>
  <c r="C645" i="1"/>
  <c r="D645" i="1"/>
  <c r="C646" i="1"/>
  <c r="D646" i="1"/>
  <c r="C647" i="1"/>
  <c r="D647" i="1"/>
  <c r="C648" i="1"/>
  <c r="D648" i="1"/>
  <c r="C649" i="1"/>
  <c r="D649" i="1"/>
  <c r="C650" i="1"/>
  <c r="D650" i="1"/>
  <c r="C651" i="1"/>
  <c r="D651" i="1"/>
  <c r="C652" i="1"/>
  <c r="D652" i="1"/>
  <c r="C653" i="1"/>
  <c r="D653" i="1"/>
  <c r="C654" i="1"/>
  <c r="D654" i="1"/>
  <c r="C655" i="1"/>
  <c r="D655" i="1"/>
  <c r="C656" i="1"/>
  <c r="D656" i="1"/>
  <c r="C657" i="1"/>
  <c r="D657" i="1"/>
  <c r="C658" i="1"/>
  <c r="D658" i="1"/>
  <c r="C659" i="1"/>
  <c r="D659" i="1"/>
  <c r="C660" i="1"/>
  <c r="D660" i="1"/>
  <c r="C661" i="1"/>
  <c r="D661" i="1"/>
  <c r="C662" i="1"/>
  <c r="D662" i="1"/>
  <c r="C663" i="1"/>
  <c r="D663" i="1"/>
  <c r="C664" i="1"/>
  <c r="D664" i="1"/>
  <c r="C665" i="1"/>
  <c r="D665" i="1"/>
  <c r="C666" i="1"/>
  <c r="D666" i="1"/>
  <c r="C667" i="1"/>
  <c r="D667" i="1"/>
  <c r="C668" i="1"/>
  <c r="D668" i="1"/>
  <c r="C669" i="1"/>
  <c r="D669" i="1"/>
  <c r="C670" i="1"/>
  <c r="D670" i="1"/>
  <c r="C671" i="1"/>
  <c r="D671" i="1"/>
  <c r="C672" i="1"/>
  <c r="D672" i="1"/>
  <c r="C673" i="1"/>
  <c r="D673" i="1"/>
  <c r="C674" i="1"/>
  <c r="D674" i="1"/>
  <c r="C675" i="1"/>
  <c r="D675" i="1"/>
  <c r="C676" i="1"/>
  <c r="D676" i="1"/>
  <c r="C677" i="1"/>
  <c r="D677" i="1"/>
  <c r="C678" i="1"/>
  <c r="D678" i="1"/>
  <c r="C679" i="1"/>
  <c r="D679" i="1"/>
  <c r="C680" i="1"/>
  <c r="D680" i="1"/>
  <c r="C681" i="1"/>
  <c r="D681" i="1"/>
  <c r="C682" i="1"/>
  <c r="D682" i="1"/>
  <c r="C683" i="1"/>
  <c r="D683" i="1"/>
  <c r="C684" i="1"/>
  <c r="D684" i="1"/>
  <c r="C685" i="1"/>
  <c r="D685" i="1"/>
  <c r="C686" i="1"/>
  <c r="D686" i="1"/>
  <c r="C687" i="1"/>
  <c r="D687" i="1"/>
  <c r="C688" i="1"/>
  <c r="D688" i="1"/>
  <c r="C689" i="1"/>
  <c r="D689" i="1"/>
  <c r="C690" i="1"/>
  <c r="D690" i="1"/>
  <c r="C691" i="1"/>
  <c r="D691" i="1"/>
  <c r="C692" i="1"/>
  <c r="D692" i="1"/>
  <c r="C693" i="1"/>
  <c r="D693" i="1"/>
  <c r="C694" i="1"/>
  <c r="D694" i="1"/>
  <c r="C695" i="1"/>
  <c r="D695" i="1"/>
  <c r="C696" i="1"/>
  <c r="D696" i="1"/>
  <c r="C697" i="1"/>
  <c r="D697" i="1"/>
  <c r="C698" i="1"/>
  <c r="D698" i="1"/>
  <c r="C699" i="1"/>
  <c r="D699" i="1"/>
  <c r="C700" i="1"/>
  <c r="D700" i="1"/>
  <c r="C701" i="1"/>
  <c r="D701" i="1"/>
  <c r="C702" i="1"/>
  <c r="D702" i="1"/>
  <c r="C703" i="1"/>
  <c r="D703" i="1"/>
  <c r="C704" i="1"/>
  <c r="D704" i="1"/>
  <c r="C705" i="1"/>
  <c r="D705" i="1"/>
  <c r="C706" i="1"/>
  <c r="D706" i="1"/>
  <c r="C707" i="1"/>
  <c r="D707" i="1"/>
  <c r="C708" i="1"/>
  <c r="D708" i="1"/>
  <c r="C709" i="1"/>
  <c r="D709" i="1"/>
  <c r="C710" i="1"/>
  <c r="D710" i="1"/>
  <c r="C711" i="1"/>
  <c r="D711" i="1"/>
  <c r="C712" i="1"/>
  <c r="D712" i="1"/>
  <c r="C713" i="1"/>
  <c r="D713" i="1"/>
  <c r="C714" i="1"/>
  <c r="D714" i="1"/>
  <c r="C715" i="1"/>
  <c r="D715" i="1"/>
  <c r="C716" i="1"/>
  <c r="D716" i="1"/>
  <c r="C717" i="1"/>
  <c r="D717" i="1"/>
  <c r="C718" i="1"/>
  <c r="D718" i="1"/>
  <c r="C719" i="1"/>
  <c r="D719" i="1"/>
  <c r="C720" i="1"/>
  <c r="D720" i="1"/>
  <c r="C721" i="1"/>
  <c r="D721" i="1"/>
  <c r="C722" i="1"/>
  <c r="D722" i="1"/>
  <c r="C723" i="1"/>
  <c r="D723" i="1"/>
  <c r="C724" i="1"/>
  <c r="D724" i="1"/>
  <c r="C725" i="1"/>
  <c r="D725" i="1"/>
  <c r="C726" i="1"/>
  <c r="D726" i="1"/>
  <c r="C727" i="1"/>
  <c r="D727" i="1"/>
  <c r="C728" i="1"/>
  <c r="D728" i="1"/>
  <c r="C729" i="1"/>
  <c r="D729" i="1"/>
  <c r="C730" i="1"/>
  <c r="D730" i="1"/>
  <c r="C731" i="1"/>
  <c r="D731" i="1"/>
  <c r="C732" i="1"/>
  <c r="D732" i="1"/>
  <c r="C733" i="1"/>
  <c r="D733" i="1"/>
  <c r="C734" i="1"/>
  <c r="D734" i="1"/>
  <c r="C735" i="1"/>
  <c r="D735" i="1"/>
  <c r="C736" i="1"/>
  <c r="D736" i="1"/>
  <c r="C737" i="1"/>
  <c r="D737" i="1"/>
  <c r="C738" i="1"/>
  <c r="D738" i="1"/>
  <c r="C739" i="1"/>
  <c r="D739" i="1"/>
  <c r="C740" i="1"/>
  <c r="D740" i="1"/>
  <c r="C741" i="1"/>
  <c r="D741" i="1"/>
  <c r="C742" i="1"/>
  <c r="D742" i="1"/>
  <c r="C743" i="1"/>
  <c r="D743" i="1"/>
  <c r="C744" i="1"/>
  <c r="D744" i="1"/>
  <c r="C745" i="1"/>
  <c r="D745" i="1"/>
  <c r="C746" i="1"/>
  <c r="D746" i="1"/>
  <c r="C747" i="1"/>
  <c r="D747" i="1"/>
  <c r="C748" i="1"/>
  <c r="D748" i="1"/>
  <c r="C749" i="1"/>
  <c r="D749" i="1"/>
  <c r="C750" i="1"/>
  <c r="D750" i="1"/>
  <c r="C751" i="1"/>
  <c r="D751" i="1"/>
  <c r="C752" i="1"/>
  <c r="D752" i="1"/>
  <c r="C753" i="1"/>
  <c r="D753" i="1"/>
  <c r="C754" i="1"/>
  <c r="D754" i="1"/>
  <c r="C755" i="1"/>
  <c r="D755" i="1"/>
  <c r="C756" i="1"/>
  <c r="D756" i="1"/>
  <c r="C757" i="1"/>
  <c r="D757" i="1"/>
  <c r="C758" i="1"/>
  <c r="D758" i="1"/>
  <c r="C759" i="1"/>
  <c r="D759" i="1"/>
  <c r="C760" i="1"/>
  <c r="D760" i="1"/>
  <c r="C761" i="1"/>
  <c r="D761" i="1"/>
  <c r="C762" i="1"/>
  <c r="D762" i="1"/>
  <c r="C763" i="1"/>
  <c r="D763" i="1"/>
  <c r="C764" i="1"/>
  <c r="D764" i="1"/>
  <c r="C765" i="1"/>
  <c r="D765" i="1"/>
  <c r="C766" i="1"/>
  <c r="D766" i="1"/>
  <c r="C767" i="1"/>
  <c r="D767" i="1"/>
  <c r="C768" i="1"/>
  <c r="D768" i="1"/>
  <c r="C769" i="1"/>
  <c r="D769" i="1"/>
  <c r="C770" i="1"/>
  <c r="D770" i="1"/>
  <c r="C771" i="1"/>
  <c r="D771" i="1"/>
  <c r="C772" i="1"/>
  <c r="D772" i="1"/>
  <c r="C773" i="1"/>
  <c r="D773" i="1"/>
  <c r="C774" i="1"/>
  <c r="D774" i="1"/>
  <c r="C775" i="1"/>
  <c r="D775" i="1"/>
  <c r="C776" i="1"/>
  <c r="D776" i="1"/>
  <c r="C777" i="1"/>
  <c r="D777" i="1"/>
  <c r="C778" i="1"/>
  <c r="D778" i="1"/>
  <c r="C779" i="1"/>
  <c r="D779" i="1"/>
  <c r="C780" i="1"/>
  <c r="D780" i="1"/>
  <c r="C781" i="1"/>
  <c r="D781" i="1"/>
  <c r="C782" i="1"/>
  <c r="D782" i="1"/>
  <c r="C783" i="1"/>
  <c r="D783" i="1"/>
  <c r="C784" i="1"/>
  <c r="D784" i="1"/>
  <c r="C785" i="1"/>
  <c r="D785" i="1"/>
  <c r="C786" i="1"/>
  <c r="D786" i="1"/>
  <c r="C787" i="1"/>
  <c r="D787" i="1"/>
  <c r="C788" i="1"/>
  <c r="D788" i="1"/>
  <c r="C789" i="1"/>
  <c r="D789" i="1"/>
  <c r="C790" i="1"/>
  <c r="D790" i="1"/>
  <c r="C791" i="1"/>
  <c r="D791" i="1"/>
  <c r="C792" i="1"/>
  <c r="D792" i="1"/>
  <c r="C793" i="1"/>
  <c r="D793" i="1"/>
  <c r="C794" i="1"/>
  <c r="D794" i="1"/>
  <c r="C795" i="1"/>
  <c r="D795" i="1"/>
  <c r="C796" i="1"/>
  <c r="D796" i="1"/>
  <c r="C797" i="1"/>
  <c r="D797" i="1"/>
  <c r="C798" i="1"/>
  <c r="D798" i="1"/>
  <c r="C799" i="1"/>
  <c r="D799" i="1"/>
  <c r="C800" i="1"/>
  <c r="D800" i="1"/>
  <c r="C801" i="1"/>
  <c r="D801" i="1"/>
  <c r="C802" i="1"/>
  <c r="D802" i="1"/>
  <c r="C803" i="1"/>
  <c r="D803" i="1"/>
  <c r="C804" i="1"/>
  <c r="D804" i="1"/>
  <c r="C805" i="1"/>
  <c r="D80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Analista</author>
  </authors>
  <commentList>
    <comment ref="H3" authorId="0" shapeId="0" xr:uid="{F4661ED0-4896-4DBB-ADA1-AAB1D93E4198}">
      <text>
        <r>
          <rPr>
            <b/>
            <sz val="9"/>
            <color indexed="81"/>
            <rFont val="Tahoma"/>
            <family val="2"/>
          </rPr>
          <t>FORMULA:
=CONCATENAR(DERECHA(D4,LARGO(D4)-HALLAR(" ",D4,HALLAR(" ",D4)+1)), " ", IZQUIERDA(D4,HALLAR(" ",D4,HALLAR(" ",D4)+1)-1))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Analista</author>
  </authors>
  <commentList>
    <comment ref="C3" authorId="0" shapeId="0" xr:uid="{689F2C8E-6B95-4DC6-A69C-54FC282B342A}">
      <text>
        <r>
          <rPr>
            <b/>
            <sz val="9"/>
            <color indexed="81"/>
            <rFont val="Tahoma"/>
            <family val="2"/>
          </rPr>
          <t>Analista:</t>
        </r>
        <r>
          <rPr>
            <sz val="9"/>
            <color indexed="81"/>
            <rFont val="Tahoma"/>
            <family val="2"/>
          </rPr>
          <t xml:space="preserve">
Campo para ligar foto</t>
        </r>
      </text>
    </comment>
    <comment ref="D3" authorId="0" shapeId="0" xr:uid="{7CF78BC3-D900-41D9-BFE5-231CBAD758EE}">
      <text>
        <r>
          <rPr>
            <b/>
            <sz val="9"/>
            <color indexed="81"/>
            <rFont val="Tahoma"/>
            <family val="2"/>
          </rPr>
          <t>Analista:</t>
        </r>
        <r>
          <rPr>
            <sz val="9"/>
            <color indexed="81"/>
            <rFont val="Tahoma"/>
            <family val="2"/>
          </rPr>
          <t xml:space="preserve">
Campo para mostrar en carnet</t>
        </r>
      </text>
    </comment>
  </commentList>
</comments>
</file>

<file path=xl/sharedStrings.xml><?xml version="1.0" encoding="utf-8"?>
<sst xmlns="http://schemas.openxmlformats.org/spreadsheetml/2006/main" count="8541" uniqueCount="3660">
  <si>
    <t>B</t>
  </si>
  <si>
    <t>A</t>
  </si>
  <si>
    <t>Nombre</t>
  </si>
  <si>
    <t>Nivel</t>
  </si>
  <si>
    <t>SECCION</t>
  </si>
  <si>
    <t>CEDULA</t>
  </si>
  <si>
    <t>SubGrupo</t>
  </si>
  <si>
    <t>NOMBRE</t>
  </si>
  <si>
    <t xml:space="preserve"> </t>
  </si>
  <si>
    <t>Ciclo</t>
  </si>
  <si>
    <t>Cédula:</t>
  </si>
  <si>
    <t>Nombre:</t>
  </si>
  <si>
    <t>Sección:</t>
  </si>
  <si>
    <t>Id</t>
  </si>
  <si>
    <t>Codigo</t>
  </si>
  <si>
    <t>Cedula</t>
  </si>
  <si>
    <t>LISTA DE ESTUDIANTES CON CASILLERO</t>
  </si>
  <si>
    <t>LOCKER</t>
  </si>
  <si>
    <t>Comedor</t>
  </si>
  <si>
    <t>ARIAS SIBAJA ISAAC ALBERTO</t>
  </si>
  <si>
    <t>CALVO ACUÑA JUAN DAVID</t>
  </si>
  <si>
    <t>CASTILLO CASTRO MARLON DANIEL</t>
  </si>
  <si>
    <t>CORDERO AMPIE SHANTAL</t>
  </si>
  <si>
    <t>FERNANDEZ NUÑEZ VALENTINA</t>
  </si>
  <si>
    <t>GONZALEZ MIRANDA ISABELLA</t>
  </si>
  <si>
    <t>JIMENEZ RODRIGUEZ EMILIANO</t>
  </si>
  <si>
    <t>MARTINEZ SANCHEZ SOFIA PAMELA</t>
  </si>
  <si>
    <t>MORALES MURILLO GUSTAVO</t>
  </si>
  <si>
    <t>PEREZ VARELA MATIAS EDUARDO</t>
  </si>
  <si>
    <t>RODRIGUEZ CENTENO GERSON JOSUE</t>
  </si>
  <si>
    <t>RUIZ QUIROS NEYTAN DAVID</t>
  </si>
  <si>
    <t>SIBAJA JIMENEZ ALISON YACXIRA</t>
  </si>
  <si>
    <t>SOZA GONZALEZ MATTHIW ANS</t>
  </si>
  <si>
    <t>VANEGAS ESPINOZA BREINER ELIECER</t>
  </si>
  <si>
    <t>VARGAS RODRIGUEZ MONSERRATH</t>
  </si>
  <si>
    <t>BARRANTES OVIEDO JEAN CARLO</t>
  </si>
  <si>
    <t>GAZO MARTINEZ EIMY DANIELA</t>
  </si>
  <si>
    <t>GUEVARA CHAVARRIA MARIANGEL</t>
  </si>
  <si>
    <t>MORA MELENDEZ GENESIS RAQUEL</t>
  </si>
  <si>
    <t>OROZCO MARTINEZ AXEL GUSTAVO</t>
  </si>
  <si>
    <t>REYES CALVO ALDO SNAIDER</t>
  </si>
  <si>
    <t>ROJAS BLANCO FARID</t>
  </si>
  <si>
    <t>SANCHEZ LOPEZ NOAH SEBASTIAN</t>
  </si>
  <si>
    <t>UGALDE MEZA ANGIE CAMILA</t>
  </si>
  <si>
    <t>VILLALOBOS MURILLO JEREMY DAVID</t>
  </si>
  <si>
    <t>ZUÑIGA CHACON BRITTANY PAOLA</t>
  </si>
  <si>
    <t>AGUILAR ALFARO AARON</t>
  </si>
  <si>
    <t>ARAYA SALAS SEBASTIAN ALEJANDRO</t>
  </si>
  <si>
    <t>BETETA GONZALEZ DEIVID ALEXANDER</t>
  </si>
  <si>
    <t>CHAVES CHAVEZ TRACY CAMILA</t>
  </si>
  <si>
    <t>ESPINOZA MORENO WENDY PAOLA</t>
  </si>
  <si>
    <t>GOMEZ SANCHEZ KRIASMED NAZARETH</t>
  </si>
  <si>
    <t>HERNANDEZ HERRERA KEISY SOFIA</t>
  </si>
  <si>
    <t>LOPEZ ROJAS ANGEL SEBASTIAN</t>
  </si>
  <si>
    <t>MONTERO SOLANO EVELYN</t>
  </si>
  <si>
    <t>ROJAS OLIVEIRA MATEO</t>
  </si>
  <si>
    <t>SANDI VARGAS MATTIAS</t>
  </si>
  <si>
    <t>SOTO HERNANDEZ ISAAC YAMIL</t>
  </si>
  <si>
    <t>UGARTE CARVAJAL SANTIAGO</t>
  </si>
  <si>
    <t>ZUÑIGA VILLALOBOS SAMANTHA</t>
  </si>
  <si>
    <t>ALVARADO RAMIREZ ISAAC ANDRES</t>
  </si>
  <si>
    <t>ARLEY SEGURA ELIAN YOSETH</t>
  </si>
  <si>
    <t>CALVO CORDOBA DERECK SAMUEL</t>
  </si>
  <si>
    <t>CENTENO HERNÁNDEZ EBAN MATHEO</t>
  </si>
  <si>
    <t>CORTEDANO ARGEÑAL KRISBELL DAYANNA</t>
  </si>
  <si>
    <t>GAMEZ VEGA ALONSO ESTEBAN</t>
  </si>
  <si>
    <t>GONZALEZ ROSALES BRANDON STEVEN</t>
  </si>
  <si>
    <t>155830785236</t>
  </si>
  <si>
    <t>LARIOS HENRIQUEZ OSMANY YURIEL</t>
  </si>
  <si>
    <t xml:space="preserve">MENA VALVERDE VALENTINA </t>
  </si>
  <si>
    <t>PILARTE MARCIA NAHOMY JULIET</t>
  </si>
  <si>
    <t>RODRIGUEZ LUNA MATHIAS</t>
  </si>
  <si>
    <t>SALAS CARBALLO GABRIEL FABRICIO</t>
  </si>
  <si>
    <t>URBINA RODAS KEYLEB</t>
  </si>
  <si>
    <t>AGUILAR MALESPIN CRISTOFER JESUS</t>
  </si>
  <si>
    <t>ARAYA SANCHEZ IKER GABRIEL</t>
  </si>
  <si>
    <t>BLANDON REYES BERNI STEVEN</t>
  </si>
  <si>
    <t>CARVAJAL JIMENEZ GABRIEL</t>
  </si>
  <si>
    <t>CHAVES ROJAS SANTIAGO</t>
  </si>
  <si>
    <t>FALLAS RODRIGUEZ NAHOMY FRANCELA</t>
  </si>
  <si>
    <t>HERNANDEZ RODRIGUEZ YULIETH</t>
  </si>
  <si>
    <t>LORIA MORALES DEREK SAMIR</t>
  </si>
  <si>
    <t>MORA ALFARO EMMA</t>
  </si>
  <si>
    <t>RIVERA BUSTAMANTE ALVARO JOSUE</t>
  </si>
  <si>
    <t>ROJAS ROJAS TOMAS ESTEBAN</t>
  </si>
  <si>
    <t>VADO SALAZAR LEONARDO</t>
  </si>
  <si>
    <t>VILLEGAS MONTERO FACUNDO</t>
  </si>
  <si>
    <t>AVILA CARBALLO SEBASTIAN ANDRES</t>
  </si>
  <si>
    <t>CALVO URBINA CAMILA</t>
  </si>
  <si>
    <t>155833154722</t>
  </si>
  <si>
    <t>CRUZ LOPEZ ARIADNA GEORGINA</t>
  </si>
  <si>
    <t>FONSECA CORDOBA ASHLEY</t>
  </si>
  <si>
    <t>GARCIA JIMENEZ BRYANNA</t>
  </si>
  <si>
    <t>GONZALEZ SOLANO BRIANNA CAMILA</t>
  </si>
  <si>
    <t>LE MAITRE CARMONA JOSIAS GUILLERMO</t>
  </si>
  <si>
    <t>MENDOZA JIMENEZ ANGELITH JUDITH</t>
  </si>
  <si>
    <t>RAMIREZ BLANDON EDWIN SANTIAGO</t>
  </si>
  <si>
    <t>SEGURA CAMBRONERO TIFANNY</t>
  </si>
  <si>
    <t>VALVERDE SANCHEZ SOFIA</t>
  </si>
  <si>
    <t>VENEGAS QUIROS MAITE PAOLA</t>
  </si>
  <si>
    <t>VINDAS ARIAS MARIANA</t>
  </si>
  <si>
    <t>ARGUEDAS RODRIGUEZ ABIGAIL</t>
  </si>
  <si>
    <t xml:space="preserve">BUSTOS PORRAS MATIAS </t>
  </si>
  <si>
    <t>CHAVES SOLERA ESTEBAN SANTIAGO</t>
  </si>
  <si>
    <t>FALLAS ROSALES BRIANNA</t>
  </si>
  <si>
    <t>GONZALEZ BORGE GENESIS JULIETH</t>
  </si>
  <si>
    <t>HERRERA CUBERO MARLON JESUS</t>
  </si>
  <si>
    <t>MARTINEZ ALFARO CATALINA</t>
  </si>
  <si>
    <t>PEREZ CHAVES ESTEBAN SAMUEL</t>
  </si>
  <si>
    <t>RODRIGUEZ ALVARADO MIA YURELIA</t>
  </si>
  <si>
    <t>ROSALES ROJAS JOSE GERARDO</t>
  </si>
  <si>
    <t>SALAS RODRIGUEZ LEONEL FRANCISCO</t>
  </si>
  <si>
    <t>SOLIS MUÑOZ JEREMY JOEL</t>
  </si>
  <si>
    <t>ALVARADO ZUÑIGA ITZEL NASHELLE</t>
  </si>
  <si>
    <t>AVILES ESPINOSA KENDAL ESTIVEN</t>
  </si>
  <si>
    <t xml:space="preserve">CAMBRONERO MURILLO VALHESKA </t>
  </si>
  <si>
    <t>CAMBRONERO NUÑEZ ESTEFANY PAOLA</t>
  </si>
  <si>
    <t>CESPEDES PEÑARANDA SAMUEL JESUS</t>
  </si>
  <si>
    <t>DE WATRINGANT HERRERA PATRICK</t>
  </si>
  <si>
    <t>GARCIA MIRANDA KEYTHEL FABIANA</t>
  </si>
  <si>
    <t>MIRANDA SALAS VALENTINA</t>
  </si>
  <si>
    <t>NARANJO MONTOYA JIMENA</t>
  </si>
  <si>
    <t>RODRIGUEZ MURILLO KRISTEN ARIANA</t>
  </si>
  <si>
    <t>SALAZAR CHINCHILLA SANTIAGO</t>
  </si>
  <si>
    <t>VEGA CALVO BRIANA PAOLA</t>
  </si>
  <si>
    <t>VENEGAS SOLANO GABRIEL</t>
  </si>
  <si>
    <t>ALFARO CARRION IAN JOEL</t>
  </si>
  <si>
    <t>ARIAS ARIAS KENDALL ANDRES</t>
  </si>
  <si>
    <t>CALDERON ZUMBADO VALENTINA</t>
  </si>
  <si>
    <t>COLOMER REYES CEDRIX ANDREY</t>
  </si>
  <si>
    <t>GONZALEZ CAMPOS ALANYS</t>
  </si>
  <si>
    <t>HERRERA ZUÑIGA ELISEO</t>
  </si>
  <si>
    <t>MARTINEZ ORDEÑANA NEIMAR EDUARDO</t>
  </si>
  <si>
    <t>MORA MORA FABRICIO</t>
  </si>
  <si>
    <t>PEREZ MONTIEL OBADYAH</t>
  </si>
  <si>
    <t>RODRIGUEZ CAMACHO MATEO</t>
  </si>
  <si>
    <t>RUIZ ALVARADO LUCAS</t>
  </si>
  <si>
    <t>SEGURA SUAREZ EYFRANK AARON</t>
  </si>
  <si>
    <t>ZAMORAN GARCIA YUNIELKA LUCIA</t>
  </si>
  <si>
    <t>ALVAREZ DURAN AARON</t>
  </si>
  <si>
    <t>CHACON LOBO ALISSON NAHIARA</t>
  </si>
  <si>
    <t>DELGADO GONZALEZ MARIPAZ</t>
  </si>
  <si>
    <t>GARCIA SEVILLA SHEYLIN MARISOL</t>
  </si>
  <si>
    <t>GUERRERO GUADAMUZ CAMILA</t>
  </si>
  <si>
    <t>LOPEZ BRAVO GENESIS SAMANTHA</t>
  </si>
  <si>
    <t>MOLINA SEQUEIRA MARYPAZ</t>
  </si>
  <si>
    <t>OCAMPO DELGADO MATIAS</t>
  </si>
  <si>
    <t>RAMOS ARTAVIA LUCAS</t>
  </si>
  <si>
    <t>RODRIGUEZ PEREZ KEYLER SAMIR</t>
  </si>
  <si>
    <t>SALAZAR MUÑOZ NAOMY</t>
  </si>
  <si>
    <t>SOZA VELASQUEZ KENNETH JOSHUA</t>
  </si>
  <si>
    <t>VILLAGRA ARGUELLO JOHAN AARON</t>
  </si>
  <si>
    <t>ALFARO RAMOS ALLISSON NAOMY</t>
  </si>
  <si>
    <t>ARIAS SANDOVAL JOEL ANTONIO</t>
  </si>
  <si>
    <t>CASTILLO ARAUZ JOVI JESUS</t>
  </si>
  <si>
    <t>CONTRERAS ALVARADO MARIANA</t>
  </si>
  <si>
    <t>FERNANDEZ ARGUEDAS WILLY ANTONIO</t>
  </si>
  <si>
    <t>GONZALEZ CHACON JEYNOR MOISES</t>
  </si>
  <si>
    <t>JIMENEZ CARRANZA AMY SOFIA</t>
  </si>
  <si>
    <t>MARTINEZ SANCHEZ ANTONELLA SOFIA</t>
  </si>
  <si>
    <t>4-0300-0004</t>
  </si>
  <si>
    <t>MORALES AGUILAR KEISSY DAYAN</t>
  </si>
  <si>
    <t>PEREZ VALLECILLO DILAN JESHUA</t>
  </si>
  <si>
    <t>RUIZ CALVO VICTORIA</t>
  </si>
  <si>
    <t>SEGURA VENEGAS ELEANI SAMANTHA</t>
  </si>
  <si>
    <t>VARGAS MATAMOROS AMANDA</t>
  </si>
  <si>
    <t>ZAPATA CHAVARRIA MATHIAS JOSUE</t>
  </si>
  <si>
    <t xml:space="preserve">ALVAREZ SOTO KEYDAN ALEJANDRO </t>
  </si>
  <si>
    <t>BALTODANO LOPEZ NAZARETH IDALIE</t>
  </si>
  <si>
    <t>CAMPOS GUZMAN ZOE PAZ</t>
  </si>
  <si>
    <t>CHACON SALAS FABRICIO</t>
  </si>
  <si>
    <t>DURAN ARAYA AARON MATHIAS</t>
  </si>
  <si>
    <t>GARCIA VALVERDE NEYTHAN SAMUEL</t>
  </si>
  <si>
    <t>GUTIERREZ HERNANDEZ SOFIA RAQUEL</t>
  </si>
  <si>
    <t>LOPEZ CORRALES TYRON</t>
  </si>
  <si>
    <t>MOLINA SERRANO ERICK ISAAC</t>
  </si>
  <si>
    <t>OROZCO ALEGRIA BEATRIZ ARIANA</t>
  </si>
  <si>
    <t>155849559406</t>
  </si>
  <si>
    <t>RAYO LUQUEZ JANIER JOSE</t>
  </si>
  <si>
    <t>SUAZO GUTIERREZ IKER JULIAN</t>
  </si>
  <si>
    <t>VILLALOBOS CASTRO ALLISON DAYANA</t>
  </si>
  <si>
    <t>ACUÑA SANDIGO ALEX FABIAN</t>
  </si>
  <si>
    <t>ARAYA LEON EMANUEL</t>
  </si>
  <si>
    <t>BARQUERO MEJIAS JENHSEN SHAWNELL</t>
  </si>
  <si>
    <t>CAMPOS PEREZ KENDALL ANDRES</t>
  </si>
  <si>
    <t xml:space="preserve">GARCIA ARCE BRITTANNY </t>
  </si>
  <si>
    <t xml:space="preserve">GARCIA ARCE VALENTINA </t>
  </si>
  <si>
    <t>GUTIERREZ ALEMAN ELEAZAR AMAURI</t>
  </si>
  <si>
    <t>LUNA MALESPIN ADAM MOISES</t>
  </si>
  <si>
    <t>MOLINA VILLALOBOS SHARON</t>
  </si>
  <si>
    <t>MURILLO BASTOS ANA LUCIA</t>
  </si>
  <si>
    <t>PICADO VILLALTA DERRICK ALEXIS</t>
  </si>
  <si>
    <t>RODRIGUEZ FLORES MAREYLING DEL CARMEN</t>
  </si>
  <si>
    <t>SALAS CHAVES MATHIAS</t>
  </si>
  <si>
    <t>SANDOVAL MIRANDA IAN JOSUE</t>
  </si>
  <si>
    <t>SOTO GALLEGOS SAMUEL LEONARDO</t>
  </si>
  <si>
    <t>VARGAS DELGADO MATIAS</t>
  </si>
  <si>
    <t>ALVAREZ ALVAREZ GABRIEL</t>
  </si>
  <si>
    <t>ARIAS DELGADO FABIAN</t>
  </si>
  <si>
    <t>CHAVARRIA NUÑEZ BEBERLY ANN</t>
  </si>
  <si>
    <t>GONZALEZ CASTILLO VALERI NAOMI</t>
  </si>
  <si>
    <t>JIMENEZ HERNANDEZ ANGEL JESUS</t>
  </si>
  <si>
    <t>JIMENEZ RODRIGUEZ ISAAC JOSE</t>
  </si>
  <si>
    <t>MENA GOMEZ DHANIER DARIO</t>
  </si>
  <si>
    <t>ORTIZ ARAYA JIMENA DE LOS ANGELES</t>
  </si>
  <si>
    <t>SANCHEZ CAMPOS ANGELO</t>
  </si>
  <si>
    <t>SOLANO ARGUEDAS LEONORA</t>
  </si>
  <si>
    <t>UMAÑA CARBALLO KEVIN JOHEL</t>
  </si>
  <si>
    <t>ZUÑIGA UGALDE DRAKE YABETH</t>
  </si>
  <si>
    <t>ZUÑIGA MORA KENNETH ANDRES</t>
  </si>
  <si>
    <t>VILCHEZ ALVARADO VALENTINA</t>
  </si>
  <si>
    <t>AGUILAR LEON CESIA</t>
  </si>
  <si>
    <t>ARAYA SANCHEZ DANNA YAILYN</t>
  </si>
  <si>
    <t>BARRANTES ESQUIVEL SEBASTIAN</t>
  </si>
  <si>
    <t>CORDOBA SOLANO SOFIA MELISSA</t>
  </si>
  <si>
    <t>HERNANDEZ CALVO BRYAN BAREL</t>
  </si>
  <si>
    <t>NUÑEZ DURAN SHARON SOFIA</t>
  </si>
  <si>
    <t>PORTUGUEZ ULATE ASHLEY MARIA</t>
  </si>
  <si>
    <t>RODRIGUEZ HERRERA ROLANDO JOSE</t>
  </si>
  <si>
    <t>SALAS ESQUIVEL BREANCI DAVID</t>
  </si>
  <si>
    <t>SEGURA ALFARO ARIANNA</t>
  </si>
  <si>
    <t>VARGAS ESQUIVEL IVAN DAVID</t>
  </si>
  <si>
    <t>WATSON CORTES KENDAL DANIEL</t>
  </si>
  <si>
    <t>VELAZQUEZ PEREZ CALETH JOEL</t>
  </si>
  <si>
    <t>ALVAREZ ARAYA VALENTINA</t>
  </si>
  <si>
    <t>ARIAS SANDOVAL CESAR JOSUE</t>
  </si>
  <si>
    <t>BRAVO OVIEDO ARIANA VALERIA</t>
  </si>
  <si>
    <t>CHAVES BADILLA JESUS ADRIAN</t>
  </si>
  <si>
    <t>ESQUIVEL MONTERO KEYLOR ANDRES</t>
  </si>
  <si>
    <t>GONZALEZ CESPEDES JOSE DANIEL</t>
  </si>
  <si>
    <t>MELENDEZ FLORES MARIANGEL</t>
  </si>
  <si>
    <t>MORA SANDI JIMENA</t>
  </si>
  <si>
    <t>MORA ZUÑIGA SOLANSH ABIGAIL</t>
  </si>
  <si>
    <t>OVIEDO ALFARO ANDREK SANTIAGO</t>
  </si>
  <si>
    <t>REYES RAMIREZ EMERRY MATHIAS</t>
  </si>
  <si>
    <t>RUBIO SANCHEZ DONOVAN</t>
  </si>
  <si>
    <t>SANCHEZ GONZALEZ ISAAC FELIPE</t>
  </si>
  <si>
    <t>SOLANO SEGURA DYLAN EDUARDO</t>
  </si>
  <si>
    <t>UMAÑA MATARRITA JOSEPH GABRIEL</t>
  </si>
  <si>
    <t>VINDAS SANDI JOHN DAVID</t>
  </si>
  <si>
    <t>AGUILAR MUÑOZ SEBASTIAN</t>
  </si>
  <si>
    <t>ARCE ALCAZAR ARIELA</t>
  </si>
  <si>
    <t>BARRIENTOS SALAS TAMARA ANDREA</t>
  </si>
  <si>
    <t>CASTILLO BARREDA XIMENA</t>
  </si>
  <si>
    <t>DAVILA LOPEZ ASHLY ISABEL</t>
  </si>
  <si>
    <t>GARCIA MONTERO DILANY</t>
  </si>
  <si>
    <t>MADRIGAL TORRES JUSTIN</t>
  </si>
  <si>
    <t>MONTERO FLORES ISAAC</t>
  </si>
  <si>
    <t>MONGE CARVAJAL ISIS LIZETH</t>
  </si>
  <si>
    <t>NUÑEZ MONTIEL PAMELA CAROLINA</t>
  </si>
  <si>
    <t>QUESADA BONILLA EMMANUEL ISAAC</t>
  </si>
  <si>
    <t>RODRIGUEZ MESEN KRYSTEL VIVIANA</t>
  </si>
  <si>
    <t>SOTO RODRIGUEZ AARON SANTIAGO</t>
  </si>
  <si>
    <t>VARGAS MENA VINCENT JHOEL</t>
  </si>
  <si>
    <t>ZAMORA VASQUEZ YEREMI ALONSO</t>
  </si>
  <si>
    <t>ZULETA CORTES ELIAN DAVID</t>
  </si>
  <si>
    <t>ALVAREZ CAMPOS BRITANY DANIELA</t>
  </si>
  <si>
    <t>ARROYO MOREIRA MARIA VALENTINA</t>
  </si>
  <si>
    <t>BERRIOS REYES JONATHAN DANIEL</t>
  </si>
  <si>
    <t>FERNANDEZ ALVAREZ ABRAHAM</t>
  </si>
  <si>
    <t>GONZALEZ CHINCHILLA ARGERY NORELY</t>
  </si>
  <si>
    <t>LARA ARCE DYLAN ANDRES</t>
  </si>
  <si>
    <t>MENDEZ GONZALEZ LARISSA</t>
  </si>
  <si>
    <t>MORALES FLORES YELSIN GABRIEL</t>
  </si>
  <si>
    <t>PANIAGUA MORALES ARIANA</t>
  </si>
  <si>
    <t>RIVAS BALTODANO ANDERSON ALONSO</t>
  </si>
  <si>
    <t>RUIZ CESPEDES KISHA PAMELA</t>
  </si>
  <si>
    <t>SANCHEZ RODRIGUEZ JESUS ADRIAN</t>
  </si>
  <si>
    <t>SALAS VASQUEZ SEBASTIAN</t>
  </si>
  <si>
    <t>UMAÑA RODRIGUEZ DANIELA</t>
  </si>
  <si>
    <t>VILCHEZ CHAVARRIA JOSEPH</t>
  </si>
  <si>
    <t>ALFARO AGUILAR PILAR</t>
  </si>
  <si>
    <t>ARCE ALFARO NICOLAS</t>
  </si>
  <si>
    <t>BATRES ESQUIVEL CALEB MARIANO</t>
  </si>
  <si>
    <t>CASTILLO LOPEZ HALLEY SOFIA</t>
  </si>
  <si>
    <t>DAVILA MARTINEZ KATHERINE</t>
  </si>
  <si>
    <t>GARCIA SEVILLA JEXON ANTONIO</t>
  </si>
  <si>
    <t>HERNANDEZ RETANA EDWARD GABRIEL</t>
  </si>
  <si>
    <t>MARIN OVIEDO ARANZA</t>
  </si>
  <si>
    <t>NUÑEZ NAVARRO JOHN EMILIANO</t>
  </si>
  <si>
    <t>QUESADA CORTEZ ARIANY NAWAL</t>
  </si>
  <si>
    <t>ROJAS ACUÑA ELIAS</t>
  </si>
  <si>
    <t>SALAZAR BADILLA MARIA JESUS</t>
  </si>
  <si>
    <t>SEGURA GARCIA EMILY</t>
  </si>
  <si>
    <t>SPENCE CAMPOS LEONOR ALEXANDRA</t>
  </si>
  <si>
    <t>VARGAS QUESADA MARIA JOSE</t>
  </si>
  <si>
    <t>ALVAREZ CASTRO ANGIE FABIOLA</t>
  </si>
  <si>
    <t>ARROYO PORRAS VALERY DE LOS ANGELES</t>
  </si>
  <si>
    <t>CAAMAÑO MORA DYLAN MATHIAS</t>
  </si>
  <si>
    <t>CHAVES MORENO YAZID JOSUE</t>
  </si>
  <si>
    <t>FERNANDEZ GOMEZ DANIEL</t>
  </si>
  <si>
    <t>GONZALEZ MEZA DARIEL</t>
  </si>
  <si>
    <t>LEIVA TREJOS KRISTELL DANIELA</t>
  </si>
  <si>
    <t>MENDOZA RODRIGUEZ GENESIS YAHAIRA</t>
  </si>
  <si>
    <t>MORALES ROSALES JACOB ANDRES</t>
  </si>
  <si>
    <t>ROJAS ALVAREZ RADLEY SHAMIR</t>
  </si>
  <si>
    <t>SANCHEZ SALAS MICHELLE SOPHIA</t>
  </si>
  <si>
    <t>SOLERA MONGE PEDRO SAUL</t>
  </si>
  <si>
    <t>SOLERA MONGE MATEO JESUS</t>
  </si>
  <si>
    <t>UREÑA VARGAS ISABEL</t>
  </si>
  <si>
    <t>VILLALOBOS CABRERA MARIA DEL MAR</t>
  </si>
  <si>
    <t>ALFARO MURILLO GENESIS DAYANA</t>
  </si>
  <si>
    <t>ARCE MONTERO MATIAS</t>
  </si>
  <si>
    <t>BRIZUELA CHACON SANTIAGO</t>
  </si>
  <si>
    <t>CESPEDES GONZALEZ YULIANA</t>
  </si>
  <si>
    <t>HERRERA CALVO SEBASTIAN</t>
  </si>
  <si>
    <t>MARTINEZ VARGAS SOFIA</t>
  </si>
  <si>
    <t>MONTES BERMUDEZ SAMIR DUBAN NS</t>
  </si>
  <si>
    <t>MONTES BERMUDEZ YIRLANY YURIETH</t>
  </si>
  <si>
    <t>NUÑEZ SOTO HILLARY TATIANA</t>
  </si>
  <si>
    <t>RAMIREZ MARIN DERECK GAEL</t>
  </si>
  <si>
    <t>ROBLETO GAITAN NATASHA ALEXANDRA</t>
  </si>
  <si>
    <t>SALAZAR PADILLA RACHEL MELISSA</t>
  </si>
  <si>
    <t>SEGURA GONZALEZ SEBASTIAN JOSUE</t>
  </si>
  <si>
    <t>SUAREZ DIAZ DOMINICK STEVEN</t>
  </si>
  <si>
    <t>VARGAS RAMOS EMANUEL JOSE</t>
  </si>
  <si>
    <t>ALVAREZ JIMENEZ MATIAS SANTIAGO</t>
  </si>
  <si>
    <t>AVALOS GONZALEZ FIORELLA</t>
  </si>
  <si>
    <t>CALVO MORA EDRIAN JOSE</t>
  </si>
  <si>
    <t>CHAVES RIVERS MATIAS ALFONSO</t>
  </si>
  <si>
    <t>FERNANDEZ MIRANDA EITHAN DAVID</t>
  </si>
  <si>
    <t>GONZALEZ RODRIGUEZ VALERIA</t>
  </si>
  <si>
    <t>LIZANO PORRAS ORIANA</t>
  </si>
  <si>
    <t>MESEN GUTIERREZ FABRICIO JOSUE</t>
  </si>
  <si>
    <t>MOREIRA SALAS ANGIE XIMENA</t>
  </si>
  <si>
    <t>PEREIRA ROJAS STEFFANY</t>
  </si>
  <si>
    <t>ROCHA OVIEDO JULIANNA SOFIA</t>
  </si>
  <si>
    <t>RUIZ GUZMAN KIANY NAHOMI</t>
  </si>
  <si>
    <t>SANCHEZ ZELEDON ADRIEL SAMUEL</t>
  </si>
  <si>
    <t>SOLIS CHACON MATHIAS FABIAN</t>
  </si>
  <si>
    <t>VADO CASTRO EMILY SOPHIA</t>
  </si>
  <si>
    <t>VILLALOBOS GAMBOA ADRIEL ALBERTO</t>
  </si>
  <si>
    <t>ALVARADO ACHIO JOSE MAKENSY</t>
  </si>
  <si>
    <t>ARIAS ALFARO EMILIANO</t>
  </si>
  <si>
    <t>BOLAÑOS MORA NAHOMY SOFIA</t>
  </si>
  <si>
    <t>CESPEDES NUÑEZ DAYANA</t>
  </si>
  <si>
    <t>EDUARTE GARRO TYLER</t>
  </si>
  <si>
    <t>HERRERA ROCHA LUIS GERARDO</t>
  </si>
  <si>
    <t>MONTIEL MENA YOSEF</t>
  </si>
  <si>
    <t>NUÑEZ TENORIO RITZIANNY</t>
  </si>
  <si>
    <t>SALAZAR VILLEGAS DOMINICK DAVID</t>
  </si>
  <si>
    <t>SEGURA JIMENEZ LUIS ARMANDO</t>
  </si>
  <si>
    <t>SEGURA SEGURA MARYPAZ</t>
  </si>
  <si>
    <t>ULLOA MEZA YAZARI ESTEFANY</t>
  </si>
  <si>
    <t>VASQUEZ MERCADO NATALIA DEL ROSARIO</t>
  </si>
  <si>
    <t>VILLALOBOS PEREZ HANNA VALERIA</t>
  </si>
  <si>
    <t>ZUÑIGA GUILLEN RUTH NATHALIA</t>
  </si>
  <si>
    <t>ALVAREZ LOAIZA KENDALL DAVID</t>
  </si>
  <si>
    <t>AVILA ARAYA WINDEL GABRIEL</t>
  </si>
  <si>
    <t>CAMACHO SAMUDIO CARLOS ANDREY</t>
  </si>
  <si>
    <t>155833573434</t>
  </si>
  <si>
    <t>GUARDADO MADRIZ JUYMAN ANTONIO</t>
  </si>
  <si>
    <t>LOPEZ PICADO AARON MATHIAS</t>
  </si>
  <si>
    <t>MATA GONZALEZ SAMUEL FELIPE</t>
  </si>
  <si>
    <t>RUIZ RODRIGUEZ ARIANA</t>
  </si>
  <si>
    <t>SANCHO GONZALEZ KALEB</t>
  </si>
  <si>
    <t>SOLORZANO ARIAS DIEGO JOSE</t>
  </si>
  <si>
    <t>SUAZO LOPEZ FABIOLA</t>
  </si>
  <si>
    <t>VARELA CONEJO LUNA SOPHIA</t>
  </si>
  <si>
    <t>VASQUEZ PALACIOS NATALIA NARETH</t>
  </si>
  <si>
    <t>ZUMBADO ESQUIVEL MATHIAS</t>
  </si>
  <si>
    <t>ZUMBADO ESQUIVEL REMZO</t>
  </si>
  <si>
    <t>ALVARADO VALVERDE SAMUEL DAVID</t>
  </si>
  <si>
    <t>ARIAS CESPEDES NOEMI</t>
  </si>
  <si>
    <t>BONILLA CESPEDES DANIELA DE LOS ANGELES</t>
  </si>
  <si>
    <t>ESPINOZA ABARCA JOLETT KAMILA</t>
  </si>
  <si>
    <t>GONZALEZ CARBALLO KARINA</t>
  </si>
  <si>
    <t>JIMENEZ CARRANZA MILTON ISAAC</t>
  </si>
  <si>
    <t>MATAMOROS CASTILLO KATHERINE DANIELA</t>
  </si>
  <si>
    <t>MORA CALVO MATHIAS</t>
  </si>
  <si>
    <t>OBANDO RODRIGUEZ JOSELLINE DANIELA</t>
  </si>
  <si>
    <t>PEREZ MEZA RONALD JESUS</t>
  </si>
  <si>
    <t xml:space="preserve">RAMIREZ OVIEDO MATIAS </t>
  </si>
  <si>
    <t>RAMIREZ MONGE ANDRES JOEL</t>
  </si>
  <si>
    <t>ROSALES GONZALEZ KRISTEL VALERIA</t>
  </si>
  <si>
    <t>ROJAS VILLALOBOS ITHAN ANDRES</t>
  </si>
  <si>
    <t>RODRIGUEZ ARTAVIA JEFFERSON DANIEL</t>
  </si>
  <si>
    <t>AVILES ESPINOSA JOSE MANUEL</t>
  </si>
  <si>
    <t>BONILLA PALACIOS ARWEN ALINA</t>
  </si>
  <si>
    <t>CHACON ALFARO SANTIAGO</t>
  </si>
  <si>
    <t>COOPER CRUZ SAMIRA</t>
  </si>
  <si>
    <t>FONSECA CHAVES ALLEN LEONARDO</t>
  </si>
  <si>
    <t>GUEVARA GUEVARA DANA GABRIELA</t>
  </si>
  <si>
    <t>LOPEZ PICADO SANTIAGO</t>
  </si>
  <si>
    <t>MIRANDA ARAYA ALEJANDRO</t>
  </si>
  <si>
    <t>MIRANDA SANCHO SIMON</t>
  </si>
  <si>
    <t>PICADO HERNANDEZ YIRLANY CAMILA</t>
  </si>
  <si>
    <t>RODRIGUEZ CARBALLO ADRIAN ALONSO</t>
  </si>
  <si>
    <t>SALAS BRENES FABIOLA MARIA</t>
  </si>
  <si>
    <t>SANDI ARGUEDAS KENDALL ALONSO</t>
  </si>
  <si>
    <t>SOTO CUBERO JOHAN DAVID</t>
  </si>
  <si>
    <t>ALVAREZ JIMENEZ JHOSUA DAVID</t>
  </si>
  <si>
    <t>ARIAS ALFARO DEREK ANDRES</t>
  </si>
  <si>
    <t>ARIAS ROJAS JOSUE DE JESUS</t>
  </si>
  <si>
    <t>CAMACHO MORA LAUREN JANIEL</t>
  </si>
  <si>
    <t>CHACON LOBO MATHIAS JAFET</t>
  </si>
  <si>
    <t>DAVILA JAEN ANA MARIA</t>
  </si>
  <si>
    <t>GOMEZ GUEVARA JOHN SCHNEIDER NS</t>
  </si>
  <si>
    <t>HERNANDEZ MONGE YURGUEN RANCES</t>
  </si>
  <si>
    <t>MARIN JIMENEZ FABIANA</t>
  </si>
  <si>
    <t>MENDOZA MONTERO FABIOLA</t>
  </si>
  <si>
    <t>MOREIRA CALERO LIBNI BETSABETH</t>
  </si>
  <si>
    <t>MOREIRA CALERO SAMUEL ENRIQUE</t>
  </si>
  <si>
    <t>PALACIOS ROJAS EMILY RACHEL</t>
  </si>
  <si>
    <t>ROJAS UGALDE DENILSON ANDRES</t>
  </si>
  <si>
    <t>SIBAJA BONILLA AARON</t>
  </si>
  <si>
    <t>BERROCAL MONTERO NAZARETH</t>
  </si>
  <si>
    <t>FERNANDEZ MORA BRYAN CALEB</t>
  </si>
  <si>
    <t>GUILLEN CASTRO MARIA NOELIA</t>
  </si>
  <si>
    <t>JIMENEZ MENDEZ AXEL GUSTAVO</t>
  </si>
  <si>
    <t>MARTINEZ SANCHEZ RASHELL CAMILA</t>
  </si>
  <si>
    <t>MONTERO BARRANTES DIEGO ESTEBAN</t>
  </si>
  <si>
    <t>NAVARRO PADILLA ARIANA ISABEL</t>
  </si>
  <si>
    <t>QUIROS MORA ASHLEY</t>
  </si>
  <si>
    <t>QUIROS RAMIREZ PABLO ANDRES</t>
  </si>
  <si>
    <t>RODRIGUEZ LUNA ASHLEY DARIELA</t>
  </si>
  <si>
    <t>SALAZAR VIQUEZ SAMANTHA</t>
  </si>
  <si>
    <t>VEGA LOPEZ SEBASTIAN FABRICIO</t>
  </si>
  <si>
    <t>ZAMORA RODRIGUEZ KENNETH DAVID</t>
  </si>
  <si>
    <t>ZUÑIGA CORTES NICOLAS ANTONIO</t>
  </si>
  <si>
    <t>AGUILAR ESQUIVEL JOSE ANDRES</t>
  </si>
  <si>
    <t>ARIAS ZUÑIGA ANDRES JOSUE</t>
  </si>
  <si>
    <t>ARTAVIA ARAYA AYKEL</t>
  </si>
  <si>
    <t>CAMBRONERO CESPEDES NICOLE YARIELA</t>
  </si>
  <si>
    <t>CESPEDES UGALDE ALANA DESIREE</t>
  </si>
  <si>
    <t>DIAZ CABRERA LINDSEY CAMILA</t>
  </si>
  <si>
    <t>GONZALEZ MORA ALEX GABRIEL</t>
  </si>
  <si>
    <t>HERNANDEZ MORA MARIA FERNANDA</t>
  </si>
  <si>
    <t>JIMENEZ ZAMORA IAN DAVID</t>
  </si>
  <si>
    <t>MESEN SALAZAR SAMANTHA DE LOS ANGELES</t>
  </si>
  <si>
    <t>PEREZ GOMEZ DYLAN JESUS</t>
  </si>
  <si>
    <t>RODRIGUEZ ARAYA SARA</t>
  </si>
  <si>
    <t>ROJAS ZUMBADO MARIANA</t>
  </si>
  <si>
    <t>SILVA RUIZ KIMBERLY NATALIA</t>
  </si>
  <si>
    <t>VENEGAS SOLANO ABIGAIL</t>
  </si>
  <si>
    <t>BERROCAL SEGURA DANNA PAOLA</t>
  </si>
  <si>
    <t>CARVAJAL FERNANDEZ BIANCA LUCIA</t>
  </si>
  <si>
    <t>CHAVES ARAYA SEBASTIAN</t>
  </si>
  <si>
    <t>FERNANDEZ GOMEZ DENNET</t>
  </si>
  <si>
    <t>GUTIERREZ ESCOTO JONATHAN DANIEL</t>
  </si>
  <si>
    <t>JIMENEZ MIRANDA GAEL ALEJANDRO</t>
  </si>
  <si>
    <t>MARTINEZ UMAÑA JORDY DAVID</t>
  </si>
  <si>
    <t>MONTERO ESQUIVEL KALED ESTEBAN</t>
  </si>
  <si>
    <t>NUÑEZ CHAVES NICOLAS ANDRES</t>
  </si>
  <si>
    <t>QUIROS PEREZ ASHLY SOFIA</t>
  </si>
  <si>
    <t>RODRIGUEZ SANCHEZ ARIANA</t>
  </si>
  <si>
    <t>UGALDE CORTES MATHIAS</t>
  </si>
  <si>
    <t>ZUÑIGA PANIAGUA MARIANGEL</t>
  </si>
  <si>
    <t>ALVARADO SALAS ARIADNE BELEN</t>
  </si>
  <si>
    <t>ARROYO DELGADO ALEJANDRO</t>
  </si>
  <si>
    <t>CAMPOS BRENES TAMARA CAMILA</t>
  </si>
  <si>
    <t>CENTENO BARRANTES TAMARA</t>
  </si>
  <si>
    <t>GONZALEZ ALVAREZ DAVID EDUARDO</t>
  </si>
  <si>
    <t>HERNANDEZ RETANA DAVID GERARDO</t>
  </si>
  <si>
    <t>MESEN VARGAS VALERY JAQUELINE</t>
  </si>
  <si>
    <t>MESEN VARGAS NAOMY PRISCILLA</t>
  </si>
  <si>
    <t>MORERA MONTERO EMILY MASSIEL</t>
  </si>
  <si>
    <t>RUIZ GONZALEZ JOSUE</t>
  </si>
  <si>
    <t>VILLALOBOS CAMPOS KEVIN AARON</t>
  </si>
  <si>
    <t>ZUÑIGA VALLE FRANCO DAVID</t>
  </si>
  <si>
    <t>ALVAREZ CHAVARRIA SANTIAGO</t>
  </si>
  <si>
    <t>ALVAREZ LOPEZ AXEL</t>
  </si>
  <si>
    <t>CARVAJAL ROBLES BRANDON ANDRES</t>
  </si>
  <si>
    <t>CARRION RAMIREZ NATALIA</t>
  </si>
  <si>
    <t>CHAVES DELGADO DAIMARELI FRANCISCA</t>
  </si>
  <si>
    <t>FERNANDEZ FERNANDEZ KAROL DANIELA</t>
  </si>
  <si>
    <t>GUTIERREZ ZAMORA IAN ANDRES</t>
  </si>
  <si>
    <t>HERNANDEZ GARBANZO FIORELA</t>
  </si>
  <si>
    <t>JIMENEZ RAMIREZ ALINA</t>
  </si>
  <si>
    <t>JIMENEZ MONTERO DARIANY</t>
  </si>
  <si>
    <t>MAYORGA LOPEZ DYLAN JOSUE</t>
  </si>
  <si>
    <t>MONTERO SIBAJA EVANYELI NAOMI</t>
  </si>
  <si>
    <t>NUÑEZ SIBAJA YARETH VALENTIN</t>
  </si>
  <si>
    <t>RODRIGUEZ TREJOS JOHAN ELIAN NS</t>
  </si>
  <si>
    <t>ALFARO HERNANDEZ YULIANA MARIA</t>
  </si>
  <si>
    <t>ARROYO PEREZ VALERIA SOFIA</t>
  </si>
  <si>
    <t>CAMPOS CONEJO YENDEL AARON</t>
  </si>
  <si>
    <t>CHANG MORALES BRENDA</t>
  </si>
  <si>
    <t>ESQUIVEL ROJAS FELIPE</t>
  </si>
  <si>
    <t>GONZALEZ CHACON ARON DANIEL</t>
  </si>
  <si>
    <t>HERRERA CAMPOS EYNGEL AARON</t>
  </si>
  <si>
    <t>LOPEZ DIAZ KEISY FABIANA</t>
  </si>
  <si>
    <t>MOREIRA UMAÑA ANDREW</t>
  </si>
  <si>
    <t>PEREZ MOLINA SANTIAGO</t>
  </si>
  <si>
    <t>PEREZ ZUÑIGA JIMENA SOFIA</t>
  </si>
  <si>
    <t>RODRIGUEZ BARRANTES ISMAEL</t>
  </si>
  <si>
    <t>RODRIGUEZ BARRIENTOS JEREMY</t>
  </si>
  <si>
    <t>SALAS BOGANTES FIORELLA</t>
  </si>
  <si>
    <t>SOLERA CACCIUTTOLO ENZO IGNACIO</t>
  </si>
  <si>
    <t>ALVAREZ SOTO IGNACIO</t>
  </si>
  <si>
    <t>CASCANTE SALMERON DANNIER ALBERTO</t>
  </si>
  <si>
    <t>CHAVES SALAS MARY PAZ</t>
  </si>
  <si>
    <t>FLORES SEGURA ADRIEL JOAO</t>
  </si>
  <si>
    <t>GUZMAN BRENES ISAAC MATTIAS</t>
  </si>
  <si>
    <t>JIMENEZ PANIAGUA PAMELA</t>
  </si>
  <si>
    <t>MEDRANO BERROCAL ALLISON</t>
  </si>
  <si>
    <t>MONTOYA PEREZ BRITTANY SOFIA</t>
  </si>
  <si>
    <t>OPORTA REYES SANTIAGO</t>
  </si>
  <si>
    <t>ROJAS BRENES MARIA BELEN</t>
  </si>
  <si>
    <t>SANCHEZ GONZALEZ INDIRA ALEJANDRA</t>
  </si>
  <si>
    <t>UREÑA VARGAS MATIAS</t>
  </si>
  <si>
    <t>VILLEGAS SALAS ANGELY</t>
  </si>
  <si>
    <t>ALFARO SALMERON MARLEN VANESSA</t>
  </si>
  <si>
    <t>BARRANTES BARRANTES ERICKA</t>
  </si>
  <si>
    <t>CAMPOS MIRANDA FABIAN JOSE</t>
  </si>
  <si>
    <t>CHAVARRIA HERNANDEZ ASTRID MARIA</t>
  </si>
  <si>
    <t>FALLAS BLANDON CRISTIAN GABRIEL</t>
  </si>
  <si>
    <t>GOMEZ RODRIGUEZ GABRIEL AARON</t>
  </si>
  <si>
    <t>HIDALGO MORALES JUAN CARLOS</t>
  </si>
  <si>
    <t>MADRIZ CASTILLO DANIEL</t>
  </si>
  <si>
    <t>MEZA PARRALES VALERIA FRANCINE</t>
  </si>
  <si>
    <t>MORERA QUIROS BRANDON JOSUE</t>
  </si>
  <si>
    <t>PILARTE MARCIA GISELLE ANDREA</t>
  </si>
  <si>
    <t>RODRIGUEZ GARCIA IAN JESUS</t>
  </si>
  <si>
    <t>SALAS VILLALOBOS JIMENA</t>
  </si>
  <si>
    <t>VIQUEZ VIQUEZ MELISSA</t>
  </si>
  <si>
    <t>VIQUEZ VIQUEZ YULISA</t>
  </si>
  <si>
    <t>AMADOR ARCE LINCY CAMILA</t>
  </si>
  <si>
    <t>CASTILLO FERNANDEZ KENNY EMMANUEL</t>
  </si>
  <si>
    <t>CORDERO ROJAS DANNA VALENTINA</t>
  </si>
  <si>
    <t>MEJIAS MENDEZ ASHLY NICOLE</t>
  </si>
  <si>
    <t>MORA LOPEZ ANA BELEN</t>
  </si>
  <si>
    <t>ORTIZ VALERIO FABIOLA</t>
  </si>
  <si>
    <t>VARGAS ARGUEDAS FRANCINY</t>
  </si>
  <si>
    <t>FALLAS CAMPOS FABIAN MATHIAS</t>
  </si>
  <si>
    <t>GONZALEZ RODRIGUEZ ANDERSON</t>
  </si>
  <si>
    <t>RODRIGUEZ GOMEZ MARIANO</t>
  </si>
  <si>
    <t>CASTRO GONZALEZ RUBI SAHAR</t>
  </si>
  <si>
    <t>GARCIA MORA KENDALL</t>
  </si>
  <si>
    <t>MENA VEGA SEBASTIAN</t>
  </si>
  <si>
    <t>RAMOS ARTAVIA KAMILE</t>
  </si>
  <si>
    <t>SEGURA ALVAREZ KIRK</t>
  </si>
  <si>
    <t>VARGAS MEZA MARIA JESUS</t>
  </si>
  <si>
    <t>VARGAS MEZA VALENTINA</t>
  </si>
  <si>
    <t>BARRANTES MONTERO MARIANGEL</t>
  </si>
  <si>
    <t>MARTINEZ LOPEZ GABRIEL</t>
  </si>
  <si>
    <t>MOLINA RUIZ EVANS</t>
  </si>
  <si>
    <t>SOZA LUMBIZ JUSTIN JAFFET</t>
  </si>
  <si>
    <t>ARIAS OVIEDO VALERIA</t>
  </si>
  <si>
    <t>CALVO SALAS JERSON JOSE</t>
  </si>
  <si>
    <t>CALVO SALAS JEFERSON JOSUE</t>
  </si>
  <si>
    <t>CASTRO JIMENEZ KRISTEL ALEXA</t>
  </si>
  <si>
    <t>CRUZ SOLERA YOREL SEBASTIAN</t>
  </si>
  <si>
    <t>GOMEZ ALVAREZ NORYERI LISSETH</t>
  </si>
  <si>
    <t>JIMENEZ VARGAS SANTIAGO</t>
  </si>
  <si>
    <t>MENDEZ GONZALEZ SEBASTIAN</t>
  </si>
  <si>
    <t>ELECTRO-MECÁNICA (DUAL)</t>
  </si>
  <si>
    <t>MENDEZ CAMPOS MATHIAS</t>
  </si>
  <si>
    <t>MORA SANDI ANGELO</t>
  </si>
  <si>
    <t>ALFARO CARDENAS AMBERLY</t>
  </si>
  <si>
    <t>EJECUTIVO COMERCIAL</t>
  </si>
  <si>
    <t>155849256810</t>
  </si>
  <si>
    <t xml:space="preserve">GONZALEZ HUETE JIUVER </t>
  </si>
  <si>
    <t>155831612811</t>
  </si>
  <si>
    <t>PEREZ MEZA ANDY JOSUE</t>
  </si>
  <si>
    <t>SANDI ALVARADO VICTORIA</t>
  </si>
  <si>
    <t>SEGURA SEGURA MARIANGEL</t>
  </si>
  <si>
    <t>VEGA NARVAEZ GENESIS</t>
  </si>
  <si>
    <t>ANGULO DIAZ YULISA</t>
  </si>
  <si>
    <t>ALIMENTOS Y BEBIDAS (DUAL)</t>
  </si>
  <si>
    <t>ZUÑIGA VILLALOBOS TAMARA</t>
  </si>
  <si>
    <t>ALVARADO RAMIREZ JIMENA</t>
  </si>
  <si>
    <t>ALVAREZ DELGADO ESTEBAN</t>
  </si>
  <si>
    <t>CALVO ACUÑA MARIA PAULA</t>
  </si>
  <si>
    <t>CAMACHO RODRIGUEZ SHEILA</t>
  </si>
  <si>
    <t>FLORES CESPEDES NAIMA</t>
  </si>
  <si>
    <t>HERRERA VALVERDE JESLYN</t>
  </si>
  <si>
    <t>LOPEZ RAMIREZ JESHUA JAVIER</t>
  </si>
  <si>
    <t>FERNANDEZ MIRANDA LUCIANA</t>
  </si>
  <si>
    <t>ARIAS LEON MATHIAS</t>
  </si>
  <si>
    <t>C3K7G2LF8</t>
  </si>
  <si>
    <t>MENDEZ DELGADO ABIGAIL</t>
  </si>
  <si>
    <t>MORA GOMEZ FABRICIO</t>
  </si>
  <si>
    <t>OPORTA QUESADA GABRIEL</t>
  </si>
  <si>
    <t>PRENDAS PEREZ MARIA PAULA</t>
  </si>
  <si>
    <t>ROJAS ZELEDON EMILY SUSANA</t>
  </si>
  <si>
    <t>SANDI ALFARO RAQUEL DAYANA</t>
  </si>
  <si>
    <t>SOTO RODRIGUEZ SHERYL FIORELA</t>
  </si>
  <si>
    <t>UGALDE ARAYA ANGIE GABRIELA</t>
  </si>
  <si>
    <t>VARGAS ESQUIVEL ANTONY JOSE</t>
  </si>
  <si>
    <t>CASTRO VEGA STEVEN</t>
  </si>
  <si>
    <t>ACOSTA SALAZAR ARAN DANIEL</t>
  </si>
  <si>
    <t>ELECTRÓNICA INDUSTRIAL</t>
  </si>
  <si>
    <t>ACUÑA GONZALEZ SCARLET NAYMA</t>
  </si>
  <si>
    <t>ALVAREZ ALVAREZ MATIAS</t>
  </si>
  <si>
    <t>ARGUEDAS RODRIGUEZ SAMUEL</t>
  </si>
  <si>
    <t>BADILLA MONTERO ALISON JAZMIN</t>
  </si>
  <si>
    <t>CERDAS VARGAS SEBASTIAN</t>
  </si>
  <si>
    <t>CESPEDES MUÑOZ ROY ANDERSON</t>
  </si>
  <si>
    <t>CHAVARRIA BENZA KENAN GABRIEL</t>
  </si>
  <si>
    <t>CHAVARRIA SAENZ MARIANGEL</t>
  </si>
  <si>
    <t>ESPINOZA RODRIGUEZ AMANDA</t>
  </si>
  <si>
    <t>GUTIERREZ ALEMAN KEYLAN ALI</t>
  </si>
  <si>
    <t>LINARTE PEREZ CARLOS JESUA</t>
  </si>
  <si>
    <t>MONTERO UREÑA SOFIA</t>
  </si>
  <si>
    <t>SOTO PANIAGUA MATIAS</t>
  </si>
  <si>
    <t>ALFARO ARCE LUIS FELIPE</t>
  </si>
  <si>
    <t>ARAYA BONILLA SERGIO ALONSO</t>
  </si>
  <si>
    <t>COTO NARVAEZ ABIGAIL</t>
  </si>
  <si>
    <t>DIAZ MONTERO KEYLOR MAURICIO</t>
  </si>
  <si>
    <t>FALLAS PORTILLA NICOLAS</t>
  </si>
  <si>
    <t>GOMEZ RUIZ JUAN CARLOS</t>
  </si>
  <si>
    <t>GOMEZ UGALDE EMILY SOFIA</t>
  </si>
  <si>
    <t>GUZMAN RODRIGUEZ FIORELLA SOFIA</t>
  </si>
  <si>
    <t>HERRA MEJIA RACHELL ALONDRA</t>
  </si>
  <si>
    <t>NUÑEZ CALVO MARIANGEL</t>
  </si>
  <si>
    <t>NUÑEZ GAMBOA AMANDA</t>
  </si>
  <si>
    <t>ROJAS MORENO LUZ VALERIA</t>
  </si>
  <si>
    <t>MORALES NUÑEZ GABRIEL</t>
  </si>
  <si>
    <t>UMAÑA CASTRO ESTEFANY MARIA</t>
  </si>
  <si>
    <t>ARAYA LEON LEANDRO</t>
  </si>
  <si>
    <t>ARAYA SOTO KIARA</t>
  </si>
  <si>
    <t>ARAYA VIQUEZ SANTIAGO</t>
  </si>
  <si>
    <t>CHACON SANTAMARIA JARED JOSUE</t>
  </si>
  <si>
    <t>ESCAMPINE SALGADO ANGEL</t>
  </si>
  <si>
    <t>LEDEZMA SOLANO JIMENA DE LOS ANGELES</t>
  </si>
  <si>
    <t>MERCADO SILVA FABIAN ALEXANDER</t>
  </si>
  <si>
    <t>MORA CARVAJAL EMILIANO</t>
  </si>
  <si>
    <t>MORALES CASTRO SANTIAGO</t>
  </si>
  <si>
    <t>RAMIREZ IROLA BRYAN</t>
  </si>
  <si>
    <t>RUIZ MEJIA KEVIN DAVID</t>
  </si>
  <si>
    <t>SEGURA JIMENEZ YEUDY ALBERTO</t>
  </si>
  <si>
    <t>SOLANO MURILLO EMMANUEL DE JESUS</t>
  </si>
  <si>
    <t>155842505701</t>
  </si>
  <si>
    <t>TINOCO TORREZ ALICIA LISSETH</t>
  </si>
  <si>
    <t xml:space="preserve">VASQUEZ PALACIOS ANTHONY STEVEN </t>
  </si>
  <si>
    <t>VILLALOBOS CONEJO JUSTIN JACOB</t>
  </si>
  <si>
    <t>VILLALOBOS TENORIO JACQUELINE</t>
  </si>
  <si>
    <t>ARAYA ALVARADO CRISTEL DAYANA</t>
  </si>
  <si>
    <t>BANCA Y FINANZAS</t>
  </si>
  <si>
    <t>CALERO MORALES YIRE FABIOLA</t>
  </si>
  <si>
    <t>CAMBRONERO VARGAS JIMENA</t>
  </si>
  <si>
    <t>CHAVES RIVERS HILLARY VALENTINA</t>
  </si>
  <si>
    <t>CORTES GUTIERREZ ANTHONY JOSUE</t>
  </si>
  <si>
    <t>GONZALEZ ALVAREZ GABRIEL IGNACIO</t>
  </si>
  <si>
    <t>GONZALEZ PICADO BASTIAN JOSUE</t>
  </si>
  <si>
    <t>HERRERA PANIAGUA AHSLY MASSIEL</t>
  </si>
  <si>
    <t>LOPEZ BARREDA SOPHIA</t>
  </si>
  <si>
    <t>LOPEZ ORTIZ MARY KATE</t>
  </si>
  <si>
    <t>MARTINEZ CRUZ JEAN PIERRE</t>
  </si>
  <si>
    <t>155837852024</t>
  </si>
  <si>
    <t>OBANDO LOPEZ ROBERTO CARLOS</t>
  </si>
  <si>
    <t>PORRAS ALDANA AMANDA LUCIA</t>
  </si>
  <si>
    <t>SANCHEZ OVIEDO LUIS GUILLERMO</t>
  </si>
  <si>
    <t>SOTO SANCHEZ TAIS NAYIVA</t>
  </si>
  <si>
    <t>TRAÑA GOMEZ FELIPE</t>
  </si>
  <si>
    <t>VALVERDE JIMENEZ JOSUE DANIEL</t>
  </si>
  <si>
    <t>DESARROLLO WEB (DUAL)</t>
  </si>
  <si>
    <t>CASTRO SANTOS JOHN SANTIAGO</t>
  </si>
  <si>
    <t>HERMES ALFARO MATIAS MAXIMAS</t>
  </si>
  <si>
    <t>MORA ALVARADO AARON GABRIEL</t>
  </si>
  <si>
    <t>MORA CARVAJAL RICARDO SEBASTIAN</t>
  </si>
  <si>
    <t>RODRIGUEZ ESPINOZA EITHAN DAVID</t>
  </si>
  <si>
    <t>SOLERA VALERIN MARIA JESUS</t>
  </si>
  <si>
    <t>VARGAS CHAVARRIA JEISY SARAY</t>
  </si>
  <si>
    <t>BRAVO HERRERA MARCO ANDRE</t>
  </si>
  <si>
    <t>DIBUJO TÉCNICO</t>
  </si>
  <si>
    <t>CAMPOS DELGADO DOMINIC</t>
  </si>
  <si>
    <t>CARVAJAL CAMACHO DANA PAOLA</t>
  </si>
  <si>
    <t>CASCANTE MOLINA JOSE ANDRES</t>
  </si>
  <si>
    <t>CHAVES MIRANDA EMILY NAHOMY</t>
  </si>
  <si>
    <t>CHAVES ROJAS NAOMY SOFIA</t>
  </si>
  <si>
    <t>FERNANDEZ TREJOS MARIEL ALEXANDRA</t>
  </si>
  <si>
    <t>GONZALEZ JIMENEZ ALESSANDRO</t>
  </si>
  <si>
    <t>GUTIERREZ CUARESMA ISHMAEL ALESSANDRO</t>
  </si>
  <si>
    <t>HERRERA FERNANDEZ GABRIEL JOSUE</t>
  </si>
  <si>
    <t>JIMENEZ ARAYA ALLISON JIMENA</t>
  </si>
  <si>
    <t>JIMENEZ JIMENEZ STACY ELENA</t>
  </si>
  <si>
    <t>MORA ALFARO AVRIL JIMENA</t>
  </si>
  <si>
    <t>ORELLANA TORRES JOSE DANIEL</t>
  </si>
  <si>
    <t>OTOYA MATUS TIFANNY YARIANA</t>
  </si>
  <si>
    <t>OVIEDO SALAZAR MARY PAZ</t>
  </si>
  <si>
    <t>QUESADA BONILLA SARAY</t>
  </si>
  <si>
    <t>RODRIGUEZ CAMACHO NICOLAS</t>
  </si>
  <si>
    <t>ALVARADO VALVERDE JOSE PAULO</t>
  </si>
  <si>
    <t>DESARROLLO WEB</t>
  </si>
  <si>
    <t>BRENES ACUÑA DERECK JOSUE</t>
  </si>
  <si>
    <t>CHAVARRIA RODRIGUEZ HILLARY</t>
  </si>
  <si>
    <t>ESCOTO LUNA JOHEL EMILIANO</t>
  </si>
  <si>
    <t>FERNANDEZ GAMBOA SEBASTIAN</t>
  </si>
  <si>
    <t>GARCIA MONTERO MATIAS</t>
  </si>
  <si>
    <t>GRANADOS VELAZQUEZ YARET EMMANUEL</t>
  </si>
  <si>
    <t>HERNANDEZ MORA CHRISTOPER ALFONSO</t>
  </si>
  <si>
    <t>MARIN JIMENEZ LARISSA</t>
  </si>
  <si>
    <t>NUÑEZ SALAS GABRIEL JOSUE</t>
  </si>
  <si>
    <t>OVIEDO RAMIREZ CHRISTOPHER</t>
  </si>
  <si>
    <t>PANIAGUA SALAZAR ARTURO</t>
  </si>
  <si>
    <t>RIVERA TERCERO FRANCELLA</t>
  </si>
  <si>
    <t>RODRIGUEZ LARA KEYLOR DAVID</t>
  </si>
  <si>
    <t>SALAS ACEVEDO BRITNEY</t>
  </si>
  <si>
    <t>SANDOVAL ALFARO VALERIA</t>
  </si>
  <si>
    <t>SIRIAS RODRIGUEZ JOSUE DAVID</t>
  </si>
  <si>
    <t>VANEGAS VARGAS IRVYN DAMIAN</t>
  </si>
  <si>
    <t>VELASQUEZ PEREZ JOSE MARIA</t>
  </si>
  <si>
    <t>ALVARADO ESPINOZA MANASES AARON</t>
  </si>
  <si>
    <t>ALVARADO GONZALEZ MARIA PAULA</t>
  </si>
  <si>
    <t>ALVAREZ CESPEDES BRANDON ALONSO</t>
  </si>
  <si>
    <t>ALZATE CASTRILLON DAYANNA</t>
  </si>
  <si>
    <t>AVALOS GONZALEZ DANIEL ANDRES</t>
  </si>
  <si>
    <t>CASCANTE SALMERON NEISMY</t>
  </si>
  <si>
    <t>FERNANDEZ MONTERO SHEYDIS SUCEC</t>
  </si>
  <si>
    <t>GUZMAN BRENES LEONIDAS</t>
  </si>
  <si>
    <t>HIDALGO VALVERDE ABIGAIL</t>
  </si>
  <si>
    <t>MARTINEZ CRUZ GENESIS PRISCILA</t>
  </si>
  <si>
    <t>MENDEZ ARAYA MARIA AUXILIADORA</t>
  </si>
  <si>
    <t>MESEN SALAZAR STACY MARIANA</t>
  </si>
  <si>
    <t>MUÑOZ ULATE JAFETH</t>
  </si>
  <si>
    <t>SOLANO ESCOTO ASHLEY TATIANA</t>
  </si>
  <si>
    <t>ULLOA ARGUEDAS DAMNEE MICHELLE</t>
  </si>
  <si>
    <t>VARGAS LINARES DAVID FRANCISCO</t>
  </si>
  <si>
    <t>VARGAS MONTERO STIBALY MARIA</t>
  </si>
  <si>
    <t>ALFARO CARRION ASIEL DARIANA</t>
  </si>
  <si>
    <t>BARRANTES DURAN JESHUA ALEJANDRO</t>
  </si>
  <si>
    <t>155836933132</t>
  </si>
  <si>
    <t>BRICEÑO RODRIGUEZ ASHLEY</t>
  </si>
  <si>
    <t>CAMBRONERO BLANDON AXEL SNEY</t>
  </si>
  <si>
    <t>CARMONA BARQUERO SOFIA</t>
  </si>
  <si>
    <t>119001239420</t>
  </si>
  <si>
    <t>CEPERO ACOSTA VANNESA</t>
  </si>
  <si>
    <t>DIAZ MONTEZUMA JULIANA</t>
  </si>
  <si>
    <t>JIMENEZ OLIVAS MARIA FERNANDA</t>
  </si>
  <si>
    <t>MARTINEZ SANCHEZ DILAN FABIAN</t>
  </si>
  <si>
    <t>MIRANDA GAMBOA DESIREE BRIGITTE</t>
  </si>
  <si>
    <t>VARGAS ESPINOZA BRITANNY</t>
  </si>
  <si>
    <t>VASQUEZ PALACIOS LUIS DAVID</t>
  </si>
  <si>
    <t>VELAZQUEZ SANDOVAL BRITNEY</t>
  </si>
  <si>
    <t>VILLALOBOS MORA MELANIE</t>
  </si>
  <si>
    <t>VILLALOBOS VILLALOBOS JUSTIN DANIEL</t>
  </si>
  <si>
    <t>ARRIETA UREÑA NATANAEL</t>
  </si>
  <si>
    <t>BADILLA ARCIA ASHLEY NICOL</t>
  </si>
  <si>
    <t>CAMPOS ALFARO PAMELA MARIA</t>
  </si>
  <si>
    <t>FLORES MURILLO KEVIN DAVID</t>
  </si>
  <si>
    <t>MENDOZA RODRIGUEZ JAIRO YURIEL</t>
  </si>
  <si>
    <t>MOLINA RODRIGUEZ JULIO CESAR</t>
  </si>
  <si>
    <t>PARRA FIGUEROA AMY YHAEL</t>
  </si>
  <si>
    <t>PEREZ UMAÑA CAMILA</t>
  </si>
  <si>
    <t>RAMIREZ SANCHEZ KEILYN GABRIELA</t>
  </si>
  <si>
    <t>SANCHEZ CAMBRONERO JIMENA</t>
  </si>
  <si>
    <t>SEGURA GOMEZ ANTHONY DANIEL</t>
  </si>
  <si>
    <t>SOLANO GARCIA NATALIA</t>
  </si>
  <si>
    <t>ARAYA MORA NATALIA</t>
  </si>
  <si>
    <t>CONTABILIDAD</t>
  </si>
  <si>
    <t>ARCE VARGAS ALESSANDRO MAURICIO</t>
  </si>
  <si>
    <t>BRENES VARGAS AARON ISAAC</t>
  </si>
  <si>
    <t>CARVAJAL AVENDAÑO BRANDON ANDRES</t>
  </si>
  <si>
    <t>CESPEDES GONZALEZ CAROLINA DE LOS ANGELES</t>
  </si>
  <si>
    <t>FALLAS CERON VALENTINA</t>
  </si>
  <si>
    <t>GOMEZ FALLAS MARIANGEL</t>
  </si>
  <si>
    <t>MAYORGA GARCIA YUBELKA VICTORIA</t>
  </si>
  <si>
    <t>MEJIAS ALFARO RODMERY SUSANA</t>
  </si>
  <si>
    <t>RAMIREZ PERALTA ESCARLETH DANIELA</t>
  </si>
  <si>
    <t>RODRIGUEZ BARRANTES ALEXANDRA</t>
  </si>
  <si>
    <t>RODRIGUEZ RODRIGUEZ ARIANA</t>
  </si>
  <si>
    <t>ROJAS MESEN GERALD</t>
  </si>
  <si>
    <t>ROJAS UGALDE PABLO ALONSO</t>
  </si>
  <si>
    <t>ROJAS ZUMBADO ALEJANDRO</t>
  </si>
  <si>
    <t>SALAZAR CHINCHILLA DYLAN</t>
  </si>
  <si>
    <t>VALVERDE ARIAS GABRIEL DE JESUS</t>
  </si>
  <si>
    <t>ZAMORA ALVARADO NICOLE DARIANA</t>
  </si>
  <si>
    <t>ARAGON SANCHEZ KEVIN ADRIAN</t>
  </si>
  <si>
    <t>BARRANTES OVIEDO KARINA DE LOS ANGELES</t>
  </si>
  <si>
    <t>CALVO MIRANDA JOSUE DAVID</t>
  </si>
  <si>
    <t>CALVO ROSALES JOSE ABDIEL</t>
  </si>
  <si>
    <t>117002490107</t>
  </si>
  <si>
    <t>CASTILLO ACERO CARLOS JULIAN</t>
  </si>
  <si>
    <t>GARCIA PEÑA KEYLIN TATIANA</t>
  </si>
  <si>
    <t xml:space="preserve">HERNANDEZ PEREIRA JOSEPH MATIAS </t>
  </si>
  <si>
    <t>MADRIGAL MAIRENA MARIPAZ</t>
  </si>
  <si>
    <t>PANIAGUA MORALES WILLIAN ALBERTO</t>
  </si>
  <si>
    <t>RAMIREZ DIAZ ISAAC SANTIAGO</t>
  </si>
  <si>
    <t xml:space="preserve">SEGURA ABARCA KIAN GERARDO </t>
  </si>
  <si>
    <t>UGALDE SALAS MANFRED DE JESUS</t>
  </si>
  <si>
    <t>VEGA LOPEZ THOMAS JOSUE</t>
  </si>
  <si>
    <t>ALVARADO ZUÑIGA JARED ARMANDO</t>
  </si>
  <si>
    <t>INTELIGENCIA ARTIFICIAL</t>
  </si>
  <si>
    <t>CHAVES GONZALEZ AARON JOSE</t>
  </si>
  <si>
    <t>CHAVES MENDEZ FABIANA</t>
  </si>
  <si>
    <t>CORDOBA NUÑEZ SCARLETH CECILIA</t>
  </si>
  <si>
    <t>ESCOTO RIVERA MANUEL EDUARDO</t>
  </si>
  <si>
    <t>LUNA MALESPIN ILAN DANIEL</t>
  </si>
  <si>
    <t>MATARRITA ARAYA AMANDA</t>
  </si>
  <si>
    <t>MURILLO VALENCIANO SOFIA</t>
  </si>
  <si>
    <t>ORIAS MENA PIOTR FABRICIO</t>
  </si>
  <si>
    <t>ORTEGA MACHADO OLMAN ALONSO</t>
  </si>
  <si>
    <t>PICADO CHAVARRIA SEBASTIAN ISAAC</t>
  </si>
  <si>
    <t>RIVERA SALAZAR DANIEL</t>
  </si>
  <si>
    <t>SALAS CORTES ERICK JOSUE</t>
  </si>
  <si>
    <t>SALAS SALAZAR MATIAS</t>
  </si>
  <si>
    <t>SEGURA ROJAS SEBASTIAN</t>
  </si>
  <si>
    <t>VARGAS SALAS ESTEBAN LORENZO</t>
  </si>
  <si>
    <t>VEGA LOPEZ MELANIE ARIADNA</t>
  </si>
  <si>
    <t>VENEGAS SOLIS FABIOLA</t>
  </si>
  <si>
    <t>VILLALOBOS CASTRO DILAN JESUS</t>
  </si>
  <si>
    <t>ARAYA SOLANO BRIANA CELESTE</t>
  </si>
  <si>
    <t>CAMPOS MONGE MARIPAZ</t>
  </si>
  <si>
    <t>CAMPOS VILLALOBOS SHARON SOFIA</t>
  </si>
  <si>
    <t>GARCIA MORALES MARIA PAULA</t>
  </si>
  <si>
    <t>GONZALEZ RODRIGUEZ JAIRO ANDREY</t>
  </si>
  <si>
    <t>LARGAESPADA ARTAVIA TATIANA PAMELA</t>
  </si>
  <si>
    <t>LOBO BERMUDEZ AMANDA</t>
  </si>
  <si>
    <t>LOGO ESTRADA MANUEL DE JESUS</t>
  </si>
  <si>
    <t>MADRIGAL CORDERO HEISON DAVID</t>
  </si>
  <si>
    <t>MOREIRA CASTILLO KRISTHEL ELENA</t>
  </si>
  <si>
    <t xml:space="preserve">RIVERA BENAVIDES KATERINE </t>
  </si>
  <si>
    <t>SANCHEZ ALFARO EMMANUEL EDUARDO</t>
  </si>
  <si>
    <t>SANCHEZ SOTO ELIAS</t>
  </si>
  <si>
    <t>SANCHEZ ZELEDON KHALID SAUL</t>
  </si>
  <si>
    <t>VARELA CAMBRONERO SOFIA DANIELA</t>
  </si>
  <si>
    <t>AGUILAR GONZALEZ CALEB SANTIAGO</t>
  </si>
  <si>
    <t>AMADOR JIMENEZ KEILER ALBERTO</t>
  </si>
  <si>
    <t>BLANCO ALFARO DYLAN ANDRES</t>
  </si>
  <si>
    <t>DUARTE JIRON CARLOS ANDRES</t>
  </si>
  <si>
    <t>GONZALEZ RODRIGUEZ JUSTIN KALED</t>
  </si>
  <si>
    <t xml:space="preserve">JARA RODRIGUEZ ARIANA SOFIA </t>
  </si>
  <si>
    <t>JIMENEZ PANIAGUA KAREN DANIELA</t>
  </si>
  <si>
    <t>MURILLO BASTOS SEBASTIAN</t>
  </si>
  <si>
    <t>OPORTA LINARTE JOSTIN JOSUE</t>
  </si>
  <si>
    <t>RAMIREZ ORTEGA CALEB</t>
  </si>
  <si>
    <t>SANCHEZ ARIAS SAMUEL DANIEL</t>
  </si>
  <si>
    <t>SANCHEZ RODRIGUEZ JOSHUA</t>
  </si>
  <si>
    <t>SOLORZANO MORA DIEGO JOSUE</t>
  </si>
  <si>
    <t>VILLALOBOS PEREZ YULIANNA MARIELA</t>
  </si>
  <si>
    <t>ARGUEDAS ARGUEDAS ZAIT</t>
  </si>
  <si>
    <t>BERROCAL SANCHEZ HILARY</t>
  </si>
  <si>
    <t>CAMBRONERO ARIAS YARLANY PATRICIA</t>
  </si>
  <si>
    <t>CARMONA VARGAS GERSON ANTONIO</t>
  </si>
  <si>
    <t>FALLAS VARGAS HELENA</t>
  </si>
  <si>
    <t>FUENTES GONZALEZ STEPHANIA</t>
  </si>
  <si>
    <t>HUERTA GARCIA STEVEN EMANUEL</t>
  </si>
  <si>
    <t>LOAIZA MEJIAS DANIEL JOSUE</t>
  </si>
  <si>
    <t>LOPEZ RODRIGUEZ KEANNY</t>
  </si>
  <si>
    <t>MADRIGAL CORDERO ANGELA JEANNETTE</t>
  </si>
  <si>
    <t>OVIEDO ALFARO YOUSSEF ALCIDES</t>
  </si>
  <si>
    <t>ROJAS VALVERDE MELANY DE LOS ANGELES</t>
  </si>
  <si>
    <t>ROMERO ROJAS AMY ISABEL</t>
  </si>
  <si>
    <t>SOTO CASTILLO ANYELINE</t>
  </si>
  <si>
    <t>VARGAS FONSECA NAYLETH FABIOLA</t>
  </si>
  <si>
    <t>VILCHEZ GARCIA KAROL</t>
  </si>
  <si>
    <t>ZUÑIGA SEGURA MONSERRAT</t>
  </si>
  <si>
    <t>ALVARADO RUIZ DEREK ANDREYS</t>
  </si>
  <si>
    <t>ARIAS ARTAVIA ARGERIE PAMELA</t>
  </si>
  <si>
    <t>DAVILA MARTINEZ JOHNSON ALEXIS</t>
  </si>
  <si>
    <t>GONZALEZ AGUERO JOSEPH</t>
  </si>
  <si>
    <t>LOPEZ LE MAITRE WYZANGEL DEL CARMEN</t>
  </si>
  <si>
    <t>MARTINEZ LOPEZ JEFFRY DANILO</t>
  </si>
  <si>
    <t>MOLINA SEQUEIRA ANDREA DE LOS ANGELES</t>
  </si>
  <si>
    <t>MUÑOZ RODRIGUEZ ERICK DANIEL</t>
  </si>
  <si>
    <t>MURILLO PALACIOS ANGEL ALONSO</t>
  </si>
  <si>
    <t>OBANDO GARCIA RICHARD FRANCISCO</t>
  </si>
  <si>
    <t>RODRIGUEZ FLORES GABRIEL ESTEBAN</t>
  </si>
  <si>
    <t>ROJAS CASCANTE JAMES VINICIO</t>
  </si>
  <si>
    <t>4-0280-0098</t>
  </si>
  <si>
    <t>SEGURA SANDI CALEB DE JESUS</t>
  </si>
  <si>
    <t>VADO SALAZAR LAURA XIMENA</t>
  </si>
  <si>
    <t>VARGAS OVARES GABRIEL</t>
  </si>
  <si>
    <t>VILLALOBOS CHACON JUSTIN GABRIEL</t>
  </si>
  <si>
    <t>CAMACHO FALLAS SIURY FIORELA</t>
  </si>
  <si>
    <t>CASTRO RAMIREZ VALERIA</t>
  </si>
  <si>
    <t>CHAVES CHAVEZ SANTIAGO ALBERTO</t>
  </si>
  <si>
    <t>ESPINOZA SALAS JOSE PABLO</t>
  </si>
  <si>
    <t>FONSECA OVIEDO GABRIEL ANDRES</t>
  </si>
  <si>
    <t>GARCIA MONTERO AILLYN DAYANNA</t>
  </si>
  <si>
    <t>GONZALEZ JIMENEZ LUIS FELIPE</t>
  </si>
  <si>
    <t>GONZALEZ PEREZ SANTIAGO</t>
  </si>
  <si>
    <t>JIMENEZ DURAN LIZETH NAOMY</t>
  </si>
  <si>
    <t>LIZANO PORRAS SHARLOT</t>
  </si>
  <si>
    <t>PEREZ ABARCA STEVE HUMBERTO</t>
  </si>
  <si>
    <t>RAMIREZ OVIEDO DERECK JOHANDER</t>
  </si>
  <si>
    <t>155849721012</t>
  </si>
  <si>
    <t>RAMOS PILARTE PATRICK JARETH</t>
  </si>
  <si>
    <t>RIOS SILVA ANDY</t>
  </si>
  <si>
    <t>ROSEMBERG ALVARADO JOHEL NAHUM</t>
  </si>
  <si>
    <t>UMAÑA RODRIGUEZ VALENTINA</t>
  </si>
  <si>
    <t>GONZALEZ AGUERO JAROD</t>
  </si>
  <si>
    <t>LOPEZ DIAZ EDDY YULIAN</t>
  </si>
  <si>
    <t>RAMOS MONTANO HILLARY</t>
  </si>
  <si>
    <t>RODRIGUEZ SALAZAR NESTOR ALBERTO</t>
  </si>
  <si>
    <t>SALVATIERRA GONZALEZ ASHLEY NICOLE</t>
  </si>
  <si>
    <t>SANCHEZ CAMPOS ALEJANDRO JOSUE</t>
  </si>
  <si>
    <t>VARGAS ARAYA JOSE ANDRES</t>
  </si>
  <si>
    <t xml:space="preserve">CAMPOS ARROYO ANTHONY GABRIEL </t>
  </si>
  <si>
    <t xml:space="preserve">CASTILLO GARBANZO TAMARA </t>
  </si>
  <si>
    <t>DIAZ RODRIGUEZ RACHELL</t>
  </si>
  <si>
    <t xml:space="preserve">GONZALEZ MIRANDA JUAN PABLO </t>
  </si>
  <si>
    <t xml:space="preserve">GUERRERO ALFARO VALERIA DE LOS ANGELES </t>
  </si>
  <si>
    <t>JIMENEZ ALVAREZ DANIELA</t>
  </si>
  <si>
    <t>MARTINEZ GONZALEZ YEILING JIMENA</t>
  </si>
  <si>
    <t>MEDINA CENTENO JAZMIN PAMELA</t>
  </si>
  <si>
    <t xml:space="preserve">MOLINA NUÑEZ SARAH </t>
  </si>
  <si>
    <t>MONTERO HERRERA KENETH GABRIEL</t>
  </si>
  <si>
    <t>RODRIGUEZ OROZCO KRISTEL DAYANNA</t>
  </si>
  <si>
    <t>SALAZAR PICADO DAINA ISABELLA</t>
  </si>
  <si>
    <t>SANDI MORA LUCIA</t>
  </si>
  <si>
    <t>VARGAS LOPEZ YERSON JOSUE</t>
  </si>
  <si>
    <t>VIQUEZ CHAVES ANDIEL</t>
  </si>
  <si>
    <t>ALVARADO ARGUELLO ISAAC JOSÉ</t>
  </si>
  <si>
    <t>AVENDAÑO GUTIERREZ MARÍA JOSÉ</t>
  </si>
  <si>
    <t>BARRANTES ROJAS MAURICIO</t>
  </si>
  <si>
    <t>CALERO ORTIZ TATIANA</t>
  </si>
  <si>
    <t>COOPER CRUZ ASLY</t>
  </si>
  <si>
    <t>FERNANDEZ CARVAJAL JIMENA</t>
  </si>
  <si>
    <t xml:space="preserve">GONZALEZ CARBALLO YIRLANNY </t>
  </si>
  <si>
    <t>MEZA MARTINEZ ALLISON STEPHANIE</t>
  </si>
  <si>
    <t xml:space="preserve">MIRANDA ARAYA ISAAC JOSUÉ </t>
  </si>
  <si>
    <t xml:space="preserve">MUÑOZ HERNÁNDEZ MARÍA CELESTE </t>
  </si>
  <si>
    <t xml:space="preserve">PICADO HERNÁNDEZ HAZEL PAMELA </t>
  </si>
  <si>
    <t>RODRIGUEZ ALVARADO SARA MARGARITA</t>
  </si>
  <si>
    <t>ZAPATA MONGE DARVIN DAVID</t>
  </si>
  <si>
    <t xml:space="preserve">ALFARO GONZALEZ SOFIA </t>
  </si>
  <si>
    <t xml:space="preserve">BERMUDEZ MEJIA JIMENA VANESA </t>
  </si>
  <si>
    <t>CALVO ARGUEDAS BRITTANY VALERIA</t>
  </si>
  <si>
    <t xml:space="preserve">CALVO MORA MARIA PAULA </t>
  </si>
  <si>
    <t>GOMEZ OBANDO KEILYN DANIELA</t>
  </si>
  <si>
    <t>HERNANDEZ GARBANZO JIMENA</t>
  </si>
  <si>
    <t>LEON VEGA FIORELLA MARIA</t>
  </si>
  <si>
    <t>MELENDEZ ALVAREZ BARIAN JAFETH</t>
  </si>
  <si>
    <t xml:space="preserve">MONTERO SÁNCHEZ VALERIA </t>
  </si>
  <si>
    <t xml:space="preserve">OBREGON SANCHEZ KENNETH DARIEL </t>
  </si>
  <si>
    <t>OVARES QUIROS SEBASTIAN</t>
  </si>
  <si>
    <t>SOLANO MOYA DAVID</t>
  </si>
  <si>
    <t xml:space="preserve">SOTO CARDENAS GENESIS SARAY </t>
  </si>
  <si>
    <t xml:space="preserve">SOTO RODRIGUEZ FERGIE JIMENA </t>
  </si>
  <si>
    <t xml:space="preserve">ZAMORA RODRIGUEZ NICOLE </t>
  </si>
  <si>
    <t>CARBALLO VELÁSQUEZ JIMMY JOSÉ</t>
  </si>
  <si>
    <t xml:space="preserve">CASTILLO ALFARO CALEB </t>
  </si>
  <si>
    <t xml:space="preserve">CORRALES DURÁN DALLAY </t>
  </si>
  <si>
    <t>HERRERA RODRÍGUEZ MARIANGEL</t>
  </si>
  <si>
    <t>MUÑOZ ROSTRÁN SHARON NICOLE</t>
  </si>
  <si>
    <t>RAMÍREZ REYES JENNIFER</t>
  </si>
  <si>
    <t>RODRIGUEZ DIAZ CAMILA</t>
  </si>
  <si>
    <t>RODRÍGUEZ SALAS ISAAC  DE JESUS</t>
  </si>
  <si>
    <t>RUIZ GUZMÁN KEYSI TANISHA</t>
  </si>
  <si>
    <t xml:space="preserve">SALAS BOGANTES RACHEL </t>
  </si>
  <si>
    <t xml:space="preserve">SALAZAR ÁLVAREZ SCARLETT DARIANA </t>
  </si>
  <si>
    <t>SALAZAR REYES NAYELHÍ</t>
  </si>
  <si>
    <t xml:space="preserve">SALAZAR UMAÑA STEVEN FRANCISCO </t>
  </si>
  <si>
    <t>ALFARO ARIAS SEBASTIAN</t>
  </si>
  <si>
    <t>CAMBRONERO MOYA KEITY</t>
  </si>
  <si>
    <t xml:space="preserve">CAMBRONERO VARGAS KEVIN FRANCISCO </t>
  </si>
  <si>
    <t>C1GWGZCMV</t>
  </si>
  <si>
    <t xml:space="preserve">HENRIQUEZ VILLALOBOS JILDY MALKIN </t>
  </si>
  <si>
    <t>MORA SALAS KEYLOR ANDREY</t>
  </si>
  <si>
    <t xml:space="preserve">MORALES MURILLO LEONARDO </t>
  </si>
  <si>
    <t xml:space="preserve">OVIEDO SOTO YARISSA </t>
  </si>
  <si>
    <t xml:space="preserve">PANIAGUA SALAZAR BENJAMIN RAMON </t>
  </si>
  <si>
    <t>PEREZ ROJAS YENUAR FABRICIO</t>
  </si>
  <si>
    <t>RODRIGUEZ BRAVO AARON SCHNEIDER</t>
  </si>
  <si>
    <t>SALAZAR SALAS BRANDON YOREL</t>
  </si>
  <si>
    <t>C6ZRTF93X</t>
  </si>
  <si>
    <t xml:space="preserve">SOLANO CASTRO MELANY NAOMY </t>
  </si>
  <si>
    <t>TREJOS OVIEDO DENISSE</t>
  </si>
  <si>
    <t>ALFARO GARITA JEISON DAVID</t>
  </si>
  <si>
    <t>CAMPOS SANABRIA REICHEL</t>
  </si>
  <si>
    <t xml:space="preserve">CORTES SANCHEZ TATIANA SOFIA </t>
  </si>
  <si>
    <t xml:space="preserve">FERNANDEZ MONTERO DILAN ALONSO </t>
  </si>
  <si>
    <t>GONZALEZ CARBALLO EISETH YULIANA</t>
  </si>
  <si>
    <t xml:space="preserve">GONZALEZ SOLANO JIMENA </t>
  </si>
  <si>
    <t xml:space="preserve">LORIA RODRIGUEZ JOSWAN DANIEL </t>
  </si>
  <si>
    <t>MOLINA ALVAREZ ALEXA JIMENA</t>
  </si>
  <si>
    <t xml:space="preserve">MONTERO CHACON ALISON FABIOLA </t>
  </si>
  <si>
    <t xml:space="preserve">MONTERO JIMENEZ JOSUE DANIEL  </t>
  </si>
  <si>
    <t xml:space="preserve">NUÑEZ GAMBOA ISAAC </t>
  </si>
  <si>
    <t>QUIROS ARIAS KRISTEL VALERIA</t>
  </si>
  <si>
    <t xml:space="preserve">RAMIREZ OVIEDO BAYRON JOHEL </t>
  </si>
  <si>
    <t xml:space="preserve">SALAZAR PICADO MARIANA DE LOS ANGELES </t>
  </si>
  <si>
    <t>SEQUEIRA ULLOA ADRIAN JOSUE</t>
  </si>
  <si>
    <t>UREÑA VARGAS FELIX</t>
  </si>
  <si>
    <t>AGÜERO GARITA JOSUE DAVID</t>
  </si>
  <si>
    <t>ARAYA SANABRIA NATHALIE PRISCILLA</t>
  </si>
  <si>
    <t>BARRANTES OVIEDO DIANA DE LOS ANGELES</t>
  </si>
  <si>
    <t>CARBALLO ARTAVIA JOSUE DAVID</t>
  </si>
  <si>
    <t>CHAVARRIA SALAZAR MATIAS</t>
  </si>
  <si>
    <t>CHUPPA CARVAJAL SOPHIA RACHAEL</t>
  </si>
  <si>
    <t>GONZALEZ CASTRO KENYI PATRICIA</t>
  </si>
  <si>
    <t>GONZALEZ ROJAS SANTIAGO</t>
  </si>
  <si>
    <t>LINARTE PEREZ KATHERINE VIVIANA</t>
  </si>
  <si>
    <t>MIRANDA HERNANDEZ BARBARA DE JESÚS</t>
  </si>
  <si>
    <t>MORA LOPEZ ANDRES</t>
  </si>
  <si>
    <t>OPORTA PIEDRA GENESIS MARÍA</t>
  </si>
  <si>
    <t>OVIEDO CARBALLO MARIA CELESTE</t>
  </si>
  <si>
    <t>PEREZ VALVERDE SOFIA DE LOS ANGELES</t>
  </si>
  <si>
    <t>RAMIREZ GOMEZ KRISTY</t>
  </si>
  <si>
    <t>VILLALOBOS  RODRIGUEZ EIMY SOFIA</t>
  </si>
  <si>
    <t xml:space="preserve">CARVAJAL VALVERDE MAYKOL JORDUAD </t>
  </si>
  <si>
    <t>FALLAS RODRIGUEZ JEIKEL OSVALDO</t>
  </si>
  <si>
    <t xml:space="preserve">FLORES JIMENEZ IAN CONRAD </t>
  </si>
  <si>
    <t>HERRERA CORTES DANIELA</t>
  </si>
  <si>
    <t xml:space="preserve">MATAMOROS VASQUEZ KENDALL MAURICIO </t>
  </si>
  <si>
    <t>MONGE ALVARADO MARIA FERNANDA</t>
  </si>
  <si>
    <t xml:space="preserve">MONTERO MADRIGAL GERALD ANTONIO </t>
  </si>
  <si>
    <t>MORALES BARRANTES PRISCILLA</t>
  </si>
  <si>
    <t>NUÑEZ CHINCHILLA SEBASTIAN DAVID</t>
  </si>
  <si>
    <t>QUIROS ARAYA  MANFRED</t>
  </si>
  <si>
    <t xml:space="preserve">ROJAS CHACON JUAN BAUTISTA </t>
  </si>
  <si>
    <t>SALAS ALVAREZ MATIAS</t>
  </si>
  <si>
    <t xml:space="preserve">SOLANO FONSECA NELSON ALBERTO </t>
  </si>
  <si>
    <t>ARTAVIA MEDINA ESMERALDA</t>
  </si>
  <si>
    <t>BENAVIDES JIMENEZ MIGUEL</t>
  </si>
  <si>
    <t>CARVAJAL MURILLO MARIA PAULA</t>
  </si>
  <si>
    <t>DIAZ MEJIAS MELISSA</t>
  </si>
  <si>
    <t>JIMENEZ CARVAJAL KENNETH ISAAC</t>
  </si>
  <si>
    <t xml:space="preserve">MIRANDA RUIZ ARLIN DAYANA </t>
  </si>
  <si>
    <t>MURILLO VILLALOBOS JIMENA</t>
  </si>
  <si>
    <t>ORTEGA VARGAS ANGELY</t>
  </si>
  <si>
    <t>RAMIREZ CHACON NICOLE</t>
  </si>
  <si>
    <t>SANCHEZ CLAVERO MARIANGEL</t>
  </si>
  <si>
    <t>VILLACHICA UMAÑA KRISTEL NAYELI</t>
  </si>
  <si>
    <t>VILLANEA BONILLA BRIGITTE</t>
  </si>
  <si>
    <t>ZAMORA PEREZ CRISTOPHER ELIEL</t>
  </si>
  <si>
    <t xml:space="preserve">AGUILAR MUÑOZ JORDAN DAVID </t>
  </si>
  <si>
    <t xml:space="preserve">ALFARO ARAYA LUIS ANDRES </t>
  </si>
  <si>
    <t xml:space="preserve">CAMPOS GONZALEZ KEVIN ANDREY </t>
  </si>
  <si>
    <t>CHAVES SAENZ DAYANA</t>
  </si>
  <si>
    <t>DIAZ MADRIGAL JONATHAN ANTONIO</t>
  </si>
  <si>
    <t xml:space="preserve">FERNANDEZ FERNANDEZ EDISON ALEXANDER </t>
  </si>
  <si>
    <t>HERNANDEZ HERRERA ADRIAN DANIEL</t>
  </si>
  <si>
    <t>JIMENEZ CASCANTE KENDALL ANDRES</t>
  </si>
  <si>
    <t>LARA GARCIA JEAN CARLO</t>
  </si>
  <si>
    <t>PANIAGUA MONTERO HILARY</t>
  </si>
  <si>
    <t xml:space="preserve">QUIROS AGUILAR ANGELO </t>
  </si>
  <si>
    <t xml:space="preserve">RUBIO SANCHEZ FABRICIO JOSE </t>
  </si>
  <si>
    <t>VARGAS GARRO DIEGO GERARDO</t>
  </si>
  <si>
    <t>VIQUEZ CORTES GABRIEL</t>
  </si>
  <si>
    <t xml:space="preserve">ALPIZAR SANCHEZ ABIGAIL DE MARIA </t>
  </si>
  <si>
    <t xml:space="preserve">CALVO ALFARO KENDALL ADRIAN </t>
  </si>
  <si>
    <t xml:space="preserve">CAMACHO MORA JUSTIN DANIEL </t>
  </si>
  <si>
    <t xml:space="preserve">CAMBRONERO CAMPOS JOSE ALONSO </t>
  </si>
  <si>
    <t>CAMBRONERO NUÑEZ FABIAN GERARDO</t>
  </si>
  <si>
    <t xml:space="preserve">CARBALLO VEGA RICARDO JESUS </t>
  </si>
  <si>
    <t>CASTRO BOLAÑOS DYLAN</t>
  </si>
  <si>
    <t xml:space="preserve">FLORES ARIAS JOSE GABRIEL </t>
  </si>
  <si>
    <t xml:space="preserve">FUERTES SOLANO ANDRES </t>
  </si>
  <si>
    <t>155829922803</t>
  </si>
  <si>
    <t xml:space="preserve">JARQUIN JIMENEZ RANDAL ANDREY </t>
  </si>
  <si>
    <t>MORA LOPEZ RICARDO FELIPE</t>
  </si>
  <si>
    <t>OVIEDO CAMACHO MANUEL ANTONIO</t>
  </si>
  <si>
    <t xml:space="preserve">PANIAGUA MONTERO DANIEL ALONSO </t>
  </si>
  <si>
    <t>SANCHEZ GONZALEZ PAULA VANESSA</t>
  </si>
  <si>
    <t xml:space="preserve">SANCHEZ LOPEZ ADONAI JOSUE </t>
  </si>
  <si>
    <t>SEGURA CARRILLO JORDAN JOSE</t>
  </si>
  <si>
    <t xml:space="preserve">VARGAS ARAYA NANCY JIMENA </t>
  </si>
  <si>
    <t>VARGAS GONZALEZ DYLAN GUSTAVO</t>
  </si>
  <si>
    <t xml:space="preserve">ALVAREZ GONZALEZ JERICK GERARDO </t>
  </si>
  <si>
    <t>ALIMENTOS Y BEBIDAS</t>
  </si>
  <si>
    <t xml:space="preserve">ARIAS ALFARO ANTHONY CALEB </t>
  </si>
  <si>
    <t>BARRANTES CALVO SHANOON PAOLA</t>
  </si>
  <si>
    <t>MENDEZ CASTRO ALISON MARIA</t>
  </si>
  <si>
    <t xml:space="preserve">MORA MACIAS PAULA KARINA </t>
  </si>
  <si>
    <t xml:space="preserve">PALACIOS ROJAS HILARY AURORA </t>
  </si>
  <si>
    <t xml:space="preserve">PATTERSON PORRAS VIELKA SAMARI </t>
  </si>
  <si>
    <t xml:space="preserve">PEREZ CRUZ SANDRA PAOLA </t>
  </si>
  <si>
    <t>ROCHA MONTERO BRITTANY NAOMI</t>
  </si>
  <si>
    <t xml:space="preserve">ROJAS ARAYA JOSE DANIEL </t>
  </si>
  <si>
    <t xml:space="preserve">SALAZAR ARIAS GEOVANNY ALBERTO </t>
  </si>
  <si>
    <t xml:space="preserve">SEQUEIRA QUIROS DURMAN JOSUE </t>
  </si>
  <si>
    <t xml:space="preserve">VELASQUEZ PEREZ AARON DANIEL </t>
  </si>
  <si>
    <t>VILLALOBOS HERRERA CAMILA</t>
  </si>
  <si>
    <t>ZUÑIGA ARCE MELANY</t>
  </si>
  <si>
    <t>2-0958-0715</t>
  </si>
  <si>
    <t>1-2161-0472</t>
  </si>
  <si>
    <t>1-2141-0243</t>
  </si>
  <si>
    <t>2-0962-0674</t>
  </si>
  <si>
    <t>2-0966-0776</t>
  </si>
  <si>
    <t>2-0966-0853</t>
  </si>
  <si>
    <t>2-0954-0686</t>
  </si>
  <si>
    <t>2-0954-0508</t>
  </si>
  <si>
    <t>4-0299-0586</t>
  </si>
  <si>
    <t>2-0966-0329</t>
  </si>
  <si>
    <t>2-0959-0154</t>
  </si>
  <si>
    <t>2-0961-0436</t>
  </si>
  <si>
    <t>2-0953-0445</t>
  </si>
  <si>
    <t>2-0961-0033</t>
  </si>
  <si>
    <t>2-0959-0666</t>
  </si>
  <si>
    <t>2-0962-0496</t>
  </si>
  <si>
    <t>2-0963-0838</t>
  </si>
  <si>
    <t>4-0297-0765</t>
  </si>
  <si>
    <t>2-0957-0066</t>
  </si>
  <si>
    <t>2-0957-0951</t>
  </si>
  <si>
    <t>4-0299-0479</t>
  </si>
  <si>
    <t>4-0300-0742</t>
  </si>
  <si>
    <t>1-2161-0873</t>
  </si>
  <si>
    <t>7-0371-0687</t>
  </si>
  <si>
    <t>4-0300-0451</t>
  </si>
  <si>
    <t>2-0963-0763</t>
  </si>
  <si>
    <t>2-0964-0593</t>
  </si>
  <si>
    <t>2-0955-0325</t>
  </si>
  <si>
    <t>2-0959-0509</t>
  </si>
  <si>
    <t>4-0299-0954</t>
  </si>
  <si>
    <t>4-0299-0595</t>
  </si>
  <si>
    <t>2-0959-0596</t>
  </si>
  <si>
    <t>4-0297-0029</t>
  </si>
  <si>
    <t>1-2141-0096</t>
  </si>
  <si>
    <t>4-0295-0257</t>
  </si>
  <si>
    <t>4-0300-0704</t>
  </si>
  <si>
    <t>4-0300-0200</t>
  </si>
  <si>
    <t>2-0957-0166</t>
  </si>
  <si>
    <t>2-0966-0792</t>
  </si>
  <si>
    <t>2-0965-0815</t>
  </si>
  <si>
    <t>9-0140-0050</t>
  </si>
  <si>
    <t>2-0953-0986</t>
  </si>
  <si>
    <t>2-0951-0677</t>
  </si>
  <si>
    <t>2-0953-0049</t>
  </si>
  <si>
    <t>4-0299-0948</t>
  </si>
  <si>
    <t>2-0968-0042</t>
  </si>
  <si>
    <t>2-0952-0143</t>
  </si>
  <si>
    <t>2-0954-0248</t>
  </si>
  <si>
    <t>2-0966-0301</t>
  </si>
  <si>
    <t>2-0965-0915</t>
  </si>
  <si>
    <t>2-0956-0233</t>
  </si>
  <si>
    <t>2-0966-0867</t>
  </si>
  <si>
    <t>4-0300-0458</t>
  </si>
  <si>
    <t>2-0962-0896</t>
  </si>
  <si>
    <t>2-0955-0671</t>
  </si>
  <si>
    <t>2-0959-0089</t>
  </si>
  <si>
    <t>4-0296-0937</t>
  </si>
  <si>
    <t>2-0964-0253</t>
  </si>
  <si>
    <t>2-0962-0502</t>
  </si>
  <si>
    <t>2-0953-0952</t>
  </si>
  <si>
    <t>4-0299-0291</t>
  </si>
  <si>
    <t>2-0952-0676</t>
  </si>
  <si>
    <t>4-0297-0432</t>
  </si>
  <si>
    <t>1-2147-0586</t>
  </si>
  <si>
    <t>2-0963-0272</t>
  </si>
  <si>
    <t>4-0300-0693</t>
  </si>
  <si>
    <t>4-0299-0426</t>
  </si>
  <si>
    <t>4-0298-0061</t>
  </si>
  <si>
    <t>2-0957-0794</t>
  </si>
  <si>
    <t>2-0961-0064</t>
  </si>
  <si>
    <t>2-0951-0281</t>
  </si>
  <si>
    <t>4-0297-0503</t>
  </si>
  <si>
    <t>2-0967-0282</t>
  </si>
  <si>
    <t>1-2114-0209</t>
  </si>
  <si>
    <t>2-0958-0215</t>
  </si>
  <si>
    <t>2-0949-0595</t>
  </si>
  <si>
    <t>2-0963-0955</t>
  </si>
  <si>
    <t>2-0968-0098</t>
  </si>
  <si>
    <t>2-0963-0732</t>
  </si>
  <si>
    <t>2-0955-0143</t>
  </si>
  <si>
    <t>1-2141-0844</t>
  </si>
  <si>
    <t>2-0955-0525</t>
  </si>
  <si>
    <t>2-0957-0237</t>
  </si>
  <si>
    <t>2-0951-0023</t>
  </si>
  <si>
    <t>5-0510-0810</t>
  </si>
  <si>
    <t>2-0958-0600</t>
  </si>
  <si>
    <t>4-0298-0692</t>
  </si>
  <si>
    <t>2-0956-0667</t>
  </si>
  <si>
    <t>1-2142-0761</t>
  </si>
  <si>
    <t>2-0951-0300</t>
  </si>
  <si>
    <t>2-0960-0712</t>
  </si>
  <si>
    <t>2-0952-0604</t>
  </si>
  <si>
    <t>2-0958-0263</t>
  </si>
  <si>
    <t>2-0963-0597</t>
  </si>
  <si>
    <t>4-0298-0534</t>
  </si>
  <si>
    <t>2-0965-0330</t>
  </si>
  <si>
    <t>2-0960-0185</t>
  </si>
  <si>
    <t>1-2138-0510</t>
  </si>
  <si>
    <t>2-0961-0405</t>
  </si>
  <si>
    <t>4-0296-0319</t>
  </si>
  <si>
    <t>2-0964-0073</t>
  </si>
  <si>
    <t>1-2155-0882</t>
  </si>
  <si>
    <t>2-0967-0456</t>
  </si>
  <si>
    <t>2-0950-0685</t>
  </si>
  <si>
    <t>1-2139-0204</t>
  </si>
  <si>
    <t>2-0954-0540</t>
  </si>
  <si>
    <t>1-2138-0719</t>
  </si>
  <si>
    <t>4-0300-0544</t>
  </si>
  <si>
    <t>2-0951-0683</t>
  </si>
  <si>
    <t>4-0299-0708</t>
  </si>
  <si>
    <t>1-2161-0769</t>
  </si>
  <si>
    <t>2-0966-0016</t>
  </si>
  <si>
    <t>2-0967-0281</t>
  </si>
  <si>
    <t>2-0952-0928</t>
  </si>
  <si>
    <t>2-0965-0275</t>
  </si>
  <si>
    <t>2-0964-0574</t>
  </si>
  <si>
    <t>1-2144-0641</t>
  </si>
  <si>
    <t>4-0300-0520</t>
  </si>
  <si>
    <t>2-0961-0754</t>
  </si>
  <si>
    <t>2-0962-0465</t>
  </si>
  <si>
    <t>2-0953-0214</t>
  </si>
  <si>
    <t>2-0966-0668</t>
  </si>
  <si>
    <t>2-0961-0410</t>
  </si>
  <si>
    <t>4-0298-0454</t>
  </si>
  <si>
    <t>2-0953-0082</t>
  </si>
  <si>
    <t>2-0957-0207</t>
  </si>
  <si>
    <t>4-0298-0505</t>
  </si>
  <si>
    <t>1-2158-0629</t>
  </si>
  <si>
    <t>2-0963-0950</t>
  </si>
  <si>
    <t>1-2163-0788</t>
  </si>
  <si>
    <t>2-0962-0816</t>
  </si>
  <si>
    <t>2-0951-0785</t>
  </si>
  <si>
    <t>2-0952-0108</t>
  </si>
  <si>
    <t>2-0962-0656</t>
  </si>
  <si>
    <t>2-0963-0822</t>
  </si>
  <si>
    <t>2-0959-0627</t>
  </si>
  <si>
    <t>2-0967-0813</t>
  </si>
  <si>
    <t>2-0957-0566</t>
  </si>
  <si>
    <t>2-0960-0872</t>
  </si>
  <si>
    <t>2-0962-0548</t>
  </si>
  <si>
    <t>2-0955-0512</t>
  </si>
  <si>
    <t>2-0952-0624</t>
  </si>
  <si>
    <t>2-0968-0532</t>
  </si>
  <si>
    <t>2-0968-0909</t>
  </si>
  <si>
    <t>4-0301-0218</t>
  </si>
  <si>
    <t>4-0299-0792</t>
  </si>
  <si>
    <t>2-0934-0860</t>
  </si>
  <si>
    <t>2-0963-0629</t>
  </si>
  <si>
    <t>2-0968-0331</t>
  </si>
  <si>
    <t>2-0959-0223</t>
  </si>
  <si>
    <t>2-0935-0232</t>
  </si>
  <si>
    <t>2-0957-0163</t>
  </si>
  <si>
    <t>2-0968-0522</t>
  </si>
  <si>
    <t>9-0131-0432</t>
  </si>
  <si>
    <t>2-0954-0915</t>
  </si>
  <si>
    <t>1-2165-0082</t>
  </si>
  <si>
    <t>4-0300-0044</t>
  </si>
  <si>
    <t>9-0143-0647</t>
  </si>
  <si>
    <t>2-0955-0520</t>
  </si>
  <si>
    <t>2-0966-0922</t>
  </si>
  <si>
    <t>4-0298-0185</t>
  </si>
  <si>
    <t>2-0961-0246</t>
  </si>
  <si>
    <t>2-0955-0283</t>
  </si>
  <si>
    <t>2-0960-0187</t>
  </si>
  <si>
    <t>1-2147-0911</t>
  </si>
  <si>
    <t>2-0958-0998</t>
  </si>
  <si>
    <t>2-0945-0607</t>
  </si>
  <si>
    <t>1-2148-0970</t>
  </si>
  <si>
    <t>2-0964-0616</t>
  </si>
  <si>
    <t>2-0959-0296</t>
  </si>
  <si>
    <t>2-0941-0937</t>
  </si>
  <si>
    <t>4-0298-0034</t>
  </si>
  <si>
    <t>1-2113-0048</t>
  </si>
  <si>
    <t>4-0297-0654</t>
  </si>
  <si>
    <t>2-0960-0323</t>
  </si>
  <si>
    <t>2-0956-0025</t>
  </si>
  <si>
    <t>2-0938-0834</t>
  </si>
  <si>
    <t>4-0292-0634</t>
  </si>
  <si>
    <t>1-2112-0009</t>
  </si>
  <si>
    <t>4-0291-0362</t>
  </si>
  <si>
    <t>2-0949-0347</t>
  </si>
  <si>
    <t>2-0949-0346</t>
  </si>
  <si>
    <t>2-0953-0053</t>
  </si>
  <si>
    <t>2-0945-0823</t>
  </si>
  <si>
    <t>2-0932-0856</t>
  </si>
  <si>
    <t>4-0291-0373</t>
  </si>
  <si>
    <t>4-0294-0803</t>
  </si>
  <si>
    <t>2-0944-0759</t>
  </si>
  <si>
    <t>1-2104-0339</t>
  </si>
  <si>
    <t>2-0944-0597</t>
  </si>
  <si>
    <t>1-2128-0449</t>
  </si>
  <si>
    <t>2-0951-0775</t>
  </si>
  <si>
    <t>1-2125-0980</t>
  </si>
  <si>
    <t>1-2095-0624</t>
  </si>
  <si>
    <t>4-0290-0943</t>
  </si>
  <si>
    <t>2-0926-0418</t>
  </si>
  <si>
    <t>2-0943-0929</t>
  </si>
  <si>
    <t>2-0939-0068</t>
  </si>
  <si>
    <t>2-0948-0870</t>
  </si>
  <si>
    <t>2-0933-0482</t>
  </si>
  <si>
    <t>2-0947-0180</t>
  </si>
  <si>
    <t>4-0294-0399</t>
  </si>
  <si>
    <t>4-0288-0117</t>
  </si>
  <si>
    <t>2-0942-0243</t>
  </si>
  <si>
    <t>2-0938-0704</t>
  </si>
  <si>
    <t>4-0291-0888</t>
  </si>
  <si>
    <t>2-0940-0876</t>
  </si>
  <si>
    <t>1-2126-0947</t>
  </si>
  <si>
    <t>2-0947-0224</t>
  </si>
  <si>
    <t>1-2117-0588</t>
  </si>
  <si>
    <t>4-0291-0855</t>
  </si>
  <si>
    <t>4-0292-0217</t>
  </si>
  <si>
    <t>1-2119-0758</t>
  </si>
  <si>
    <t>4-0293-0474</t>
  </si>
  <si>
    <t>2-0946-0052</t>
  </si>
  <si>
    <t>4-0292-0434</t>
  </si>
  <si>
    <t>5-0492-0958</t>
  </si>
  <si>
    <t>2-0948-0704</t>
  </si>
  <si>
    <t>2-0940-0135</t>
  </si>
  <si>
    <t>2-0952-0711</t>
  </si>
  <si>
    <t>2-0948-0258</t>
  </si>
  <si>
    <t>2-0949-0265</t>
  </si>
  <si>
    <t>4-0292-0398</t>
  </si>
  <si>
    <t>2-0942-0346</t>
  </si>
  <si>
    <t>4-0294-0358</t>
  </si>
  <si>
    <t>4-0294-0191</t>
  </si>
  <si>
    <t>4-0290-0332</t>
  </si>
  <si>
    <t>4-0292-0095</t>
  </si>
  <si>
    <t>1-2078-0969</t>
  </si>
  <si>
    <t>4-0293-0510</t>
  </si>
  <si>
    <t>4-0292-0384</t>
  </si>
  <si>
    <t>4-0294-0158</t>
  </si>
  <si>
    <t>2-0941-0971</t>
  </si>
  <si>
    <t>4-0293-0817</t>
  </si>
  <si>
    <t>4-0294-0653</t>
  </si>
  <si>
    <t>2-0941-0708</t>
  </si>
  <si>
    <t>4-0293-0756</t>
  </si>
  <si>
    <t>1-2120-0260</t>
  </si>
  <si>
    <t>2-0948-0950</t>
  </si>
  <si>
    <t>2-0939-0468</t>
  </si>
  <si>
    <t>1-2081-0395</t>
  </si>
  <si>
    <t>2-0941-0315</t>
  </si>
  <si>
    <t>4-0291-0022</t>
  </si>
  <si>
    <t>4-0291-0958</t>
  </si>
  <si>
    <t>2-0944-0530</t>
  </si>
  <si>
    <t>4-0292-0002</t>
  </si>
  <si>
    <t>2-0943-0664</t>
  </si>
  <si>
    <t>4-0292-0537</t>
  </si>
  <si>
    <t>2-0947-0650</t>
  </si>
  <si>
    <t>4-0291-0264</t>
  </si>
  <si>
    <t>2-0935-0594</t>
  </si>
  <si>
    <t>2-0948-0315</t>
  </si>
  <si>
    <t>2-0952-0836</t>
  </si>
  <si>
    <t>4-0292-0277</t>
  </si>
  <si>
    <t>4-0292-0450</t>
  </si>
  <si>
    <t>2-0938-0851</t>
  </si>
  <si>
    <t>2-0943-0659</t>
  </si>
  <si>
    <t>4-0295-0957</t>
  </si>
  <si>
    <t>4-0291-0808</t>
  </si>
  <si>
    <t>1-2128-0198</t>
  </si>
  <si>
    <t>1-2106-0994</t>
  </si>
  <si>
    <t>2-0944-0097</t>
  </si>
  <si>
    <t>2-0912-0003</t>
  </si>
  <si>
    <t>2-0948-0567</t>
  </si>
  <si>
    <t>4-0295-0574</t>
  </si>
  <si>
    <t>1-2102-0676</t>
  </si>
  <si>
    <t>2-0943-0239</t>
  </si>
  <si>
    <t>2-0949-0046</t>
  </si>
  <si>
    <t>2-0950-0534</t>
  </si>
  <si>
    <t>2-0941-0501</t>
  </si>
  <si>
    <t>2-0944-0152</t>
  </si>
  <si>
    <t>1-2112-0782</t>
  </si>
  <si>
    <t>2-0939-0129</t>
  </si>
  <si>
    <t>2-0945-0511</t>
  </si>
  <si>
    <t>2-0953-0351</t>
  </si>
  <si>
    <t>2-0941-0398</t>
  </si>
  <si>
    <t>2-0944-0096</t>
  </si>
  <si>
    <t>2-0948-0378</t>
  </si>
  <si>
    <t>2-0942-0978</t>
  </si>
  <si>
    <t>2-0934-0165</t>
  </si>
  <si>
    <t>2-0952-0692</t>
  </si>
  <si>
    <t>2-0944-0546</t>
  </si>
  <si>
    <t>2-0946-0851</t>
  </si>
  <si>
    <t>5-0493-0622</t>
  </si>
  <si>
    <t>2-0944-0598</t>
  </si>
  <si>
    <t>2-0943-0081</t>
  </si>
  <si>
    <t>1-2106-0918</t>
  </si>
  <si>
    <t>4-0282-0855</t>
  </si>
  <si>
    <t>2-0948-0067</t>
  </si>
  <si>
    <t>2-0943-0167</t>
  </si>
  <si>
    <t>4-0294-0593</t>
  </si>
  <si>
    <t>2-0950-0059</t>
  </si>
  <si>
    <t>2-0927-0690</t>
  </si>
  <si>
    <t>4-0295-0248</t>
  </si>
  <si>
    <t>2-0940-0224</t>
  </si>
  <si>
    <t>2-0933-0500</t>
  </si>
  <si>
    <t>4-0290-0871</t>
  </si>
  <si>
    <t>1-2109-0090</t>
  </si>
  <si>
    <t>2-0945-0244</t>
  </si>
  <si>
    <t>2-0941-0396</t>
  </si>
  <si>
    <t>2-0927-0129</t>
  </si>
  <si>
    <t>6-0524-0477</t>
  </si>
  <si>
    <t>1-2128-0740</t>
  </si>
  <si>
    <t>2-0941-0749</t>
  </si>
  <si>
    <t>2-0949-0762</t>
  </si>
  <si>
    <t>2-0945-0410</t>
  </si>
  <si>
    <t>2-0940-0911</t>
  </si>
  <si>
    <t>1-2199-0979</t>
  </si>
  <si>
    <t>2-0946-0197</t>
  </si>
  <si>
    <t>4-0291-0687</t>
  </si>
  <si>
    <t>2-0941-0916</t>
  </si>
  <si>
    <t>4-0290-0612</t>
  </si>
  <si>
    <t>2-0944-0744</t>
  </si>
  <si>
    <t>4-0293-0980</t>
  </si>
  <si>
    <t>2-0944-0563</t>
  </si>
  <si>
    <t>4-0291-0635</t>
  </si>
  <si>
    <t>2-0942-0530</t>
  </si>
  <si>
    <t>4-0294-0898</t>
  </si>
  <si>
    <t>4-0291-0431</t>
  </si>
  <si>
    <t>2-0948-0456</t>
  </si>
  <si>
    <t>2-0936-0973</t>
  </si>
  <si>
    <t>2-0935-0860</t>
  </si>
  <si>
    <t>2-0938-0567</t>
  </si>
  <si>
    <t>4-0290-0971</t>
  </si>
  <si>
    <t>4-0295-0685</t>
  </si>
  <si>
    <t>2-0947-0533</t>
  </si>
  <si>
    <t>2-0920-0632</t>
  </si>
  <si>
    <t>4-0293-0103</t>
  </si>
  <si>
    <t>2-0943-0466</t>
  </si>
  <si>
    <t>4-0291-0474</t>
  </si>
  <si>
    <t>2-0943-0666</t>
  </si>
  <si>
    <t>1-2108-0989</t>
  </si>
  <si>
    <t>4-0293-0793</t>
  </si>
  <si>
    <t>2-0940-0863</t>
  </si>
  <si>
    <t>2-0948-0392</t>
  </si>
  <si>
    <t>2-0936-0637</t>
  </si>
  <si>
    <t>2-0946-0235</t>
  </si>
  <si>
    <t>2-0951-0880</t>
  </si>
  <si>
    <t>4-0290-0353</t>
  </si>
  <si>
    <t>1-2102-0643</t>
  </si>
  <si>
    <t>4-0293-0940</t>
  </si>
  <si>
    <t>2-0943-0963</t>
  </si>
  <si>
    <t>4-0288-0224</t>
  </si>
  <si>
    <t>2-0945-0494</t>
  </si>
  <si>
    <t>2-0937-0204</t>
  </si>
  <si>
    <t>2-0940-0869</t>
  </si>
  <si>
    <t>1-2116-0986</t>
  </si>
  <si>
    <t>4-0293-0457</t>
  </si>
  <si>
    <t>4-0293-0049</t>
  </si>
  <si>
    <t>2-0950-0498</t>
  </si>
  <si>
    <t>2-0922-0594</t>
  </si>
  <si>
    <t>1-2110-0762</t>
  </si>
  <si>
    <t>2-0946-0953</t>
  </si>
  <si>
    <t>4-0292-0905</t>
  </si>
  <si>
    <t>4-0292-0906</t>
  </si>
  <si>
    <t>2-0945-0895</t>
  </si>
  <si>
    <t>2-0947-0783</t>
  </si>
  <si>
    <t>2-0946-0087</t>
  </si>
  <si>
    <t>2-0944-0976</t>
  </si>
  <si>
    <t>4-0294-0477</t>
  </si>
  <si>
    <t>2-0939-0317</t>
  </si>
  <si>
    <t>2-0943-0451</t>
  </si>
  <si>
    <t>2-0940-0865</t>
  </si>
  <si>
    <t>4-0290-0031</t>
  </si>
  <si>
    <t>5-0494-0534</t>
  </si>
  <si>
    <t>1-2086-0736</t>
  </si>
  <si>
    <t>4-0290-0908</t>
  </si>
  <si>
    <t>2-0940-0366</t>
  </si>
  <si>
    <t>2-0929-0905</t>
  </si>
  <si>
    <t>2-0952-0036</t>
  </si>
  <si>
    <t>2-0912-0657</t>
  </si>
  <si>
    <t>2-0938-0435</t>
  </si>
  <si>
    <t>2-0950-0406</t>
  </si>
  <si>
    <t>2-0942-0341</t>
  </si>
  <si>
    <t>7-0361-0697</t>
  </si>
  <si>
    <t>3-0601-0041</t>
  </si>
  <si>
    <t>4-0290-0638</t>
  </si>
  <si>
    <t>2-0941-0423</t>
  </si>
  <si>
    <t>4-0290-0827</t>
  </si>
  <si>
    <t>4-0290-0026</t>
  </si>
  <si>
    <t>4-0293-0784</t>
  </si>
  <si>
    <t>2-0944-0965</t>
  </si>
  <si>
    <t>4-0294-0506</t>
  </si>
  <si>
    <t>4-0290-0729</t>
  </si>
  <si>
    <t>2-0943-0103</t>
  </si>
  <si>
    <t>2-0925-0991</t>
  </si>
  <si>
    <t>4-0286-0380</t>
  </si>
  <si>
    <t>1-2099-0418</t>
  </si>
  <si>
    <t>4-0289-0182</t>
  </si>
  <si>
    <t>2-0933-0564</t>
  </si>
  <si>
    <t>2-0919-0657</t>
  </si>
  <si>
    <t>4-0285-0861</t>
  </si>
  <si>
    <t>2-0930-0800</t>
  </si>
  <si>
    <t>2-0928-0590</t>
  </si>
  <si>
    <t>2-0933-0220</t>
  </si>
  <si>
    <t>2-0905-0494</t>
  </si>
  <si>
    <t>6-0527-0267</t>
  </si>
  <si>
    <t>4-0289-0429</t>
  </si>
  <si>
    <t>2-0913-0045</t>
  </si>
  <si>
    <t>1-2077-0390</t>
  </si>
  <si>
    <t>2-0915-0068</t>
  </si>
  <si>
    <t>4-0288-0850</t>
  </si>
  <si>
    <t>2-0937-0053</t>
  </si>
  <si>
    <t>2-0936-0340</t>
  </si>
  <si>
    <t>2-0934-0477</t>
  </si>
  <si>
    <t>1-2037-0133</t>
  </si>
  <si>
    <t>2-0934-0172</t>
  </si>
  <si>
    <t>1-2086-0867</t>
  </si>
  <si>
    <t>2-0917-0161</t>
  </si>
  <si>
    <t>4-0285-0877</t>
  </si>
  <si>
    <t>2-0925-0930</t>
  </si>
  <si>
    <t>2-0925-0645</t>
  </si>
  <si>
    <t>1-2093-0942</t>
  </si>
  <si>
    <t>4-0286-0804</t>
  </si>
  <si>
    <t>4-0287-0903</t>
  </si>
  <si>
    <t>2-0911-0975</t>
  </si>
  <si>
    <t>2-0937-0533</t>
  </si>
  <si>
    <t>2-0937-0293</t>
  </si>
  <si>
    <t>2-0935-0661</t>
  </si>
  <si>
    <t>2-0928-0828</t>
  </si>
  <si>
    <t>1-2032-0610</t>
  </si>
  <si>
    <t>2-0926-0994</t>
  </si>
  <si>
    <t>4-0289-0703</t>
  </si>
  <si>
    <t>4-0288-0790</t>
  </si>
  <si>
    <t>2-0930-0795</t>
  </si>
  <si>
    <t>4-0287-0751</t>
  </si>
  <si>
    <t>2-0934-0259</t>
  </si>
  <si>
    <t>2-0932-0875</t>
  </si>
  <si>
    <t>2-0932-0086</t>
  </si>
  <si>
    <t>2-0934-0618</t>
  </si>
  <si>
    <t>1-2073-0617</t>
  </si>
  <si>
    <t>2-0926-0195</t>
  </si>
  <si>
    <t>2-0930-0989</t>
  </si>
  <si>
    <t>2-0931-0393</t>
  </si>
  <si>
    <t>2-0928-0137</t>
  </si>
  <si>
    <t>4-0287-0519</t>
  </si>
  <si>
    <t>4-0289-0694</t>
  </si>
  <si>
    <t>2-0927-0755</t>
  </si>
  <si>
    <t>4-0287-0775</t>
  </si>
  <si>
    <t>4-0287-0645</t>
  </si>
  <si>
    <t>2-0934-0021</t>
  </si>
  <si>
    <t>2-0926-0547</t>
  </si>
  <si>
    <t>2-0931-0702</t>
  </si>
  <si>
    <t>4-0288-0605</t>
  </si>
  <si>
    <t>4-0287-0222</t>
  </si>
  <si>
    <t>4-0289-0926</t>
  </si>
  <si>
    <t>1-2083-0662</t>
  </si>
  <si>
    <t>2-0929-0260</t>
  </si>
  <si>
    <t>2-0929-0259</t>
  </si>
  <si>
    <t>2-0934-0884</t>
  </si>
  <si>
    <t>2-0931-0164</t>
  </si>
  <si>
    <t>2-0929-0890</t>
  </si>
  <si>
    <t>4-0289-0621</t>
  </si>
  <si>
    <t>2-0932-0842</t>
  </si>
  <si>
    <t>2-0937-0076</t>
  </si>
  <si>
    <t>1-2079-0563</t>
  </si>
  <si>
    <t>2-0922-0845</t>
  </si>
  <si>
    <t>5-0478-0974</t>
  </si>
  <si>
    <t>4-0289-0599</t>
  </si>
  <si>
    <t>2-0937-0294</t>
  </si>
  <si>
    <t>2-0926-0010</t>
  </si>
  <si>
    <t>2-0935-0222</t>
  </si>
  <si>
    <t>2-0928-0835</t>
  </si>
  <si>
    <t>2-0937-0186</t>
  </si>
  <si>
    <t>2-0926-0768</t>
  </si>
  <si>
    <t>2-0908-0473</t>
  </si>
  <si>
    <t>2-0908-0172</t>
  </si>
  <si>
    <t>2-0932-0253</t>
  </si>
  <si>
    <t>2-0927-0427</t>
  </si>
  <si>
    <t>2-0934-0614</t>
  </si>
  <si>
    <t>2-1093-0405</t>
  </si>
  <si>
    <t>2-0932-0954</t>
  </si>
  <si>
    <t>2-0928-0830</t>
  </si>
  <si>
    <t>1-2095-0326</t>
  </si>
  <si>
    <t>2-0932-0360</t>
  </si>
  <si>
    <t>4-0287-0396</t>
  </si>
  <si>
    <t>4-0288-0283</t>
  </si>
  <si>
    <t>2-0928-0960</t>
  </si>
  <si>
    <t>2-0907-0502</t>
  </si>
  <si>
    <t>4-0285-0979</t>
  </si>
  <si>
    <t>1-2091-0054</t>
  </si>
  <si>
    <t>9-0125-0616</t>
  </si>
  <si>
    <t>2-0928-0071</t>
  </si>
  <si>
    <t>4-0288-0404</t>
  </si>
  <si>
    <t>2-0928-0842</t>
  </si>
  <si>
    <t>1-2086-0657</t>
  </si>
  <si>
    <t>4-0287-0015</t>
  </si>
  <si>
    <t>4-0286-0091</t>
  </si>
  <si>
    <t>2-0936-0642</t>
  </si>
  <si>
    <t>2-0927-0800</t>
  </si>
  <si>
    <t>2-0921-0075</t>
  </si>
  <si>
    <t>4-0287-0611</t>
  </si>
  <si>
    <t>6-0520-0585</t>
  </si>
  <si>
    <t>1-2079-0084</t>
  </si>
  <si>
    <t>2-0932-0328</t>
  </si>
  <si>
    <t>4-0288-0711</t>
  </si>
  <si>
    <t>2-0929-0882</t>
  </si>
  <si>
    <t>4-0286-0614</t>
  </si>
  <si>
    <t>6-0517-0622</t>
  </si>
  <si>
    <t>2-0931-0999</t>
  </si>
  <si>
    <t>2-0933-0881</t>
  </si>
  <si>
    <t>2-0928-0780</t>
  </si>
  <si>
    <t>4-0288-0893</t>
  </si>
  <si>
    <t>1-2034-0317</t>
  </si>
  <si>
    <t>4-0286-0817</t>
  </si>
  <si>
    <t>2-0925-0284</t>
  </si>
  <si>
    <t>2-0929-0507</t>
  </si>
  <si>
    <t>2-0924-0262</t>
  </si>
  <si>
    <t>4-0289-0187</t>
  </si>
  <si>
    <t>4-0289-0186</t>
  </si>
  <si>
    <t>2-0931-0546</t>
  </si>
  <si>
    <t>2-0931-0643</t>
  </si>
  <si>
    <t>2-0933-0631</t>
  </si>
  <si>
    <t>4-0287-0083</t>
  </si>
  <si>
    <t>2-0937-0004</t>
  </si>
  <si>
    <t>2-0935-0282</t>
  </si>
  <si>
    <t>2-0928-0278</t>
  </si>
  <si>
    <t>3-0593-0160</t>
  </si>
  <si>
    <t>4-0285-0715</t>
  </si>
  <si>
    <t>1-2082-0979</t>
  </si>
  <si>
    <t>2-0928-0628</t>
  </si>
  <si>
    <t>2-0933-0097</t>
  </si>
  <si>
    <t>2-0925-0593</t>
  </si>
  <si>
    <t>2-0932-0107</t>
  </si>
  <si>
    <t>2-0928-0470</t>
  </si>
  <si>
    <t>2-0936-0408</t>
  </si>
  <si>
    <t>4-0288-0338</t>
  </si>
  <si>
    <t>2-0930-0230</t>
  </si>
  <si>
    <t>2-0931-0159</t>
  </si>
  <si>
    <t>2-0921-0911</t>
  </si>
  <si>
    <t>2-0933-0639</t>
  </si>
  <si>
    <t>4-0289-0723</t>
  </si>
  <si>
    <t>2-0931-0432</t>
  </si>
  <si>
    <t>2-0926-0622</t>
  </si>
  <si>
    <t>2-0937-0958</t>
  </si>
  <si>
    <t>2-0926-0630</t>
  </si>
  <si>
    <t>4-0289-0911</t>
  </si>
  <si>
    <t>2-0926-0771</t>
  </si>
  <si>
    <t>1-2079-0042</t>
  </si>
  <si>
    <t>2-0925-0797</t>
  </si>
  <si>
    <t>4-0289-0955</t>
  </si>
  <si>
    <t>2-0931-0056</t>
  </si>
  <si>
    <t>2-0927-0766</t>
  </si>
  <si>
    <t>2-0934-0974</t>
  </si>
  <si>
    <t>2-0925-0840</t>
  </si>
  <si>
    <t>2-0925-0986</t>
  </si>
  <si>
    <t>2-0926-0769</t>
  </si>
  <si>
    <t>1-2081-0440</t>
  </si>
  <si>
    <t>1-2081-0439</t>
  </si>
  <si>
    <t>4-0286-0445</t>
  </si>
  <si>
    <t>4-0287-0064</t>
  </si>
  <si>
    <t>1-2080-0295</t>
  </si>
  <si>
    <t>4-0287-0932</t>
  </si>
  <si>
    <t>2-0926-0827</t>
  </si>
  <si>
    <t>2-0925-0051</t>
  </si>
  <si>
    <t>7-0356-0514</t>
  </si>
  <si>
    <t>2-0913-0871</t>
  </si>
  <si>
    <t>2-0912-0357</t>
  </si>
  <si>
    <t>2-0926-0948</t>
  </si>
  <si>
    <t>2-0931-0210</t>
  </si>
  <si>
    <t>1-2075-0967</t>
  </si>
  <si>
    <t>4-0286-0034</t>
  </si>
  <si>
    <t>4-0286-0608</t>
  </si>
  <si>
    <t>4-0286-0607</t>
  </si>
  <si>
    <t>2-0929-0852</t>
  </si>
  <si>
    <t>2-0926-0879</t>
  </si>
  <si>
    <t>2-0915-0359</t>
  </si>
  <si>
    <t>4-0287-0497</t>
  </si>
  <si>
    <t>2-0934-0906</t>
  </si>
  <si>
    <t>2-0912-0338</t>
  </si>
  <si>
    <t>4-0286-0421</t>
  </si>
  <si>
    <t>4-0287-0728</t>
  </si>
  <si>
    <t>2-0936-0213</t>
  </si>
  <si>
    <t>2-0961-0413</t>
  </si>
  <si>
    <t>1-2061-0270</t>
  </si>
  <si>
    <t>2-0916-0684</t>
  </si>
  <si>
    <t>1-2046-0521</t>
  </si>
  <si>
    <t>4-0282-0540</t>
  </si>
  <si>
    <t>4-0285-0469</t>
  </si>
  <si>
    <t>2-0918-0957</t>
  </si>
  <si>
    <t>4-0284-0898</t>
  </si>
  <si>
    <t>2-0924-0382</t>
  </si>
  <si>
    <t>2-0921-0914</t>
  </si>
  <si>
    <t>4-0283-0886</t>
  </si>
  <si>
    <t>1-2014-0031</t>
  </si>
  <si>
    <t>2-0920-0439</t>
  </si>
  <si>
    <t>1-2066-0217</t>
  </si>
  <si>
    <t>2-0913-0031</t>
  </si>
  <si>
    <t>4-0283-0481</t>
  </si>
  <si>
    <t>4-0284-0913</t>
  </si>
  <si>
    <t>2-0919-0523</t>
  </si>
  <si>
    <t>2-0912-0711</t>
  </si>
  <si>
    <t>2-0918-0083</t>
  </si>
  <si>
    <t>2-0911-0382</t>
  </si>
  <si>
    <t>2-0892-0633</t>
  </si>
  <si>
    <t>2-0920-0731</t>
  </si>
  <si>
    <t>4-0284-0459</t>
  </si>
  <si>
    <t>2-0915-0384</t>
  </si>
  <si>
    <t>2-0916-0804</t>
  </si>
  <si>
    <t>2-0898-0050</t>
  </si>
  <si>
    <t>2-0912-0834</t>
  </si>
  <si>
    <t>1-2070-0522</t>
  </si>
  <si>
    <t>4-0285-0785</t>
  </si>
  <si>
    <t>4-0281-0207</t>
  </si>
  <si>
    <t>1-2062-0411</t>
  </si>
  <si>
    <t>2-0917-0537</t>
  </si>
  <si>
    <t>2-0922-0536</t>
  </si>
  <si>
    <t>4-0284-0458</t>
  </si>
  <si>
    <t>1-2071-0232</t>
  </si>
  <si>
    <t>1-2054-0581</t>
  </si>
  <si>
    <t>4-0283-0329</t>
  </si>
  <si>
    <t>2-0919-0247</t>
  </si>
  <si>
    <t>4-0285-0639</t>
  </si>
  <si>
    <t>4-0285-0732</t>
  </si>
  <si>
    <t>1-2067-0388</t>
  </si>
  <si>
    <t>2-0922-0835</t>
  </si>
  <si>
    <t>2-0917-0546</t>
  </si>
  <si>
    <t>4-0283-0061</t>
  </si>
  <si>
    <t>2-0898-0525</t>
  </si>
  <si>
    <t>1-2023-0559</t>
  </si>
  <si>
    <t>2-0913-0895</t>
  </si>
  <si>
    <t>4-0284-0548</t>
  </si>
  <si>
    <t>2-0916-0683</t>
  </si>
  <si>
    <t>2-0911-0628</t>
  </si>
  <si>
    <t>2-0922-0773</t>
  </si>
  <si>
    <t>2-0920-0561</t>
  </si>
  <si>
    <t>4-0283-0381</t>
  </si>
  <si>
    <t>2-0922-0655</t>
  </si>
  <si>
    <t>2-0922-0238</t>
  </si>
  <si>
    <t>2-0915-0521</t>
  </si>
  <si>
    <t>2-0913-0893</t>
  </si>
  <si>
    <t>2-0919-0545</t>
  </si>
  <si>
    <t>4-0283-0388</t>
  </si>
  <si>
    <t>2-0914-0970</t>
  </si>
  <si>
    <t>1-2053-0836</t>
  </si>
  <si>
    <t>2-0910-0720</t>
  </si>
  <si>
    <t>4-0282-0341</t>
  </si>
  <si>
    <t>4-0281-0836</t>
  </si>
  <si>
    <t>2-0912-0844</t>
  </si>
  <si>
    <t>2-0924-0937</t>
  </si>
  <si>
    <t>2-0922-0045</t>
  </si>
  <si>
    <t>2-0898-0901</t>
  </si>
  <si>
    <t>1-2064-0048</t>
  </si>
  <si>
    <t>2-0917-0164</t>
  </si>
  <si>
    <t>1-1994-0619</t>
  </si>
  <si>
    <t>3-0588-0841</t>
  </si>
  <si>
    <t>2-0914-0064</t>
  </si>
  <si>
    <t>4-0283-0059</t>
  </si>
  <si>
    <t>2-0919-0568</t>
  </si>
  <si>
    <t>2-0915-0524</t>
  </si>
  <si>
    <t>1-2014-0302</t>
  </si>
  <si>
    <t>4-0282-0862</t>
  </si>
  <si>
    <t>4-0283-0307</t>
  </si>
  <si>
    <t>1-2066-0706</t>
  </si>
  <si>
    <t>4-0283-0486</t>
  </si>
  <si>
    <t>2-0916-0506</t>
  </si>
  <si>
    <t>1-2069-0319</t>
  </si>
  <si>
    <t>2-0922-0521</t>
  </si>
  <si>
    <t>4-0285-0174</t>
  </si>
  <si>
    <t>1-2059-0868</t>
  </si>
  <si>
    <t>2-0916-0227</t>
  </si>
  <si>
    <t>2-0917-0586</t>
  </si>
  <si>
    <t>4-0284-0526</t>
  </si>
  <si>
    <t>2-0903-0853</t>
  </si>
  <si>
    <t>2-0924-0997</t>
  </si>
  <si>
    <t>5-0482-0838</t>
  </si>
  <si>
    <t>2-0918-0677</t>
  </si>
  <si>
    <t>2-0913-0088</t>
  </si>
  <si>
    <t>1-2071-0042</t>
  </si>
  <si>
    <t>1-2050-0707</t>
  </si>
  <si>
    <t>2-0902-0562</t>
  </si>
  <si>
    <t>4-0282-0078</t>
  </si>
  <si>
    <t>2-0915-0074</t>
  </si>
  <si>
    <t>1-2049-0481</t>
  </si>
  <si>
    <t>2-0920-0764</t>
  </si>
  <si>
    <t>2-0925-0031</t>
  </si>
  <si>
    <t>2-0920-0094</t>
  </si>
  <si>
    <t>2-0914-0628</t>
  </si>
  <si>
    <t>4-0281-0841</t>
  </si>
  <si>
    <t>2-0914-0516</t>
  </si>
  <si>
    <t>4-0284-0182</t>
  </si>
  <si>
    <t>2-0920-0205</t>
  </si>
  <si>
    <t>2-0919-0502</t>
  </si>
  <si>
    <t>2-0912-0360</t>
  </si>
  <si>
    <t>2-0909-0475</t>
  </si>
  <si>
    <t>1-2009-0091</t>
  </si>
  <si>
    <t>1-2032-0498</t>
  </si>
  <si>
    <t>4-0277-0617</t>
  </si>
  <si>
    <t>2-0905-0444</t>
  </si>
  <si>
    <t>4-0284-0382</t>
  </si>
  <si>
    <t>4-0284-0263</t>
  </si>
  <si>
    <t>4-0285-0338</t>
  </si>
  <si>
    <t>4-0285-0401</t>
  </si>
  <si>
    <t>4-0284-0163</t>
  </si>
  <si>
    <t>2-0917-0664</t>
  </si>
  <si>
    <t>2-0914-0556</t>
  </si>
  <si>
    <t>1-2050-0922</t>
  </si>
  <si>
    <t>2-0919-0511</t>
  </si>
  <si>
    <t>2-0922-0058</t>
  </si>
  <si>
    <t>2-0911-0882</t>
  </si>
  <si>
    <t>4-0285-0079</t>
  </si>
  <si>
    <t>1-2048-0423</t>
  </si>
  <si>
    <t>2-0911-0883</t>
  </si>
  <si>
    <t>2-0919-0718</t>
  </si>
  <si>
    <t>2-0916-0473</t>
  </si>
  <si>
    <t>1-2052-0821</t>
  </si>
  <si>
    <t>1-2075-0401</t>
  </si>
  <si>
    <t>4-0282-0512</t>
  </si>
  <si>
    <t>2-0922-0353</t>
  </si>
  <si>
    <t>2-0913-0177</t>
  </si>
  <si>
    <t>2-0920-0440</t>
  </si>
  <si>
    <t>2-0921-0829</t>
  </si>
  <si>
    <t>1-2061-0824</t>
  </si>
  <si>
    <t>2-0915-0527</t>
  </si>
  <si>
    <t>4-0283-0332</t>
  </si>
  <si>
    <t>4-0285-0096</t>
  </si>
  <si>
    <t>2-0918-0085</t>
  </si>
  <si>
    <t>1-2045-0591</t>
  </si>
  <si>
    <t>6-0521-0279</t>
  </si>
  <si>
    <t>4-0286-0516</t>
  </si>
  <si>
    <t>2-0905-0837</t>
  </si>
  <si>
    <t>2-0915-0388</t>
  </si>
  <si>
    <t>1-2053-0859</t>
  </si>
  <si>
    <t>2-0921-0193</t>
  </si>
  <si>
    <t>2-0920-0536</t>
  </si>
  <si>
    <t>4-0281-0155</t>
  </si>
  <si>
    <t>2-0920-0067</t>
  </si>
  <si>
    <t>2-0904-0815</t>
  </si>
  <si>
    <t>2-0921-0489</t>
  </si>
  <si>
    <t>2-0916-0311</t>
  </si>
  <si>
    <t>2-0919-0711</t>
  </si>
  <si>
    <t>2-0891-0223</t>
  </si>
  <si>
    <t>4-0283-0284</t>
  </si>
  <si>
    <t>2-0916-0281</t>
  </si>
  <si>
    <t>2-0911-0939</t>
  </si>
  <si>
    <t>2-0924-0045</t>
  </si>
  <si>
    <t>2-0923-0020</t>
  </si>
  <si>
    <t>4-0278-0847</t>
  </si>
  <si>
    <t>2-0916-0373</t>
  </si>
  <si>
    <t>4-0283-0812</t>
  </si>
  <si>
    <t>2-0911-0978</t>
  </si>
  <si>
    <t>1-2050-0316</t>
  </si>
  <si>
    <t>4-0283-0229</t>
  </si>
  <si>
    <t>4-0282-0586</t>
  </si>
  <si>
    <t>4-0285-0443</t>
  </si>
  <si>
    <t>4-0284-0987</t>
  </si>
  <si>
    <t>2-0923-0904</t>
  </si>
  <si>
    <t>2-0914-0422</t>
  </si>
  <si>
    <t>2-0904-0984</t>
  </si>
  <si>
    <t>2-0908-0019</t>
  </si>
  <si>
    <t>2-0902-0389</t>
  </si>
  <si>
    <t>1-2018-0884</t>
  </si>
  <si>
    <t>4-0278-0386</t>
  </si>
  <si>
    <t>2-0909-0205</t>
  </si>
  <si>
    <t>4-0278-0148</t>
  </si>
  <si>
    <t>2-0901-0635</t>
  </si>
  <si>
    <t>2-0904-0285</t>
  </si>
  <si>
    <t>4-0278-0628</t>
  </si>
  <si>
    <t>2-0902-0045</t>
  </si>
  <si>
    <t>4-0278-0409</t>
  </si>
  <si>
    <t>2-0911-0690</t>
  </si>
  <si>
    <t>2-0900-0812</t>
  </si>
  <si>
    <t>2-0897-0959</t>
  </si>
  <si>
    <t>2-0892-0056</t>
  </si>
  <si>
    <t>1-2041-0228</t>
  </si>
  <si>
    <t>2-0911-0384</t>
  </si>
  <si>
    <t>2-0902-0548</t>
  </si>
  <si>
    <t>2-0907-0831</t>
  </si>
  <si>
    <t>4-0279-0668</t>
  </si>
  <si>
    <t>2-0906-0507</t>
  </si>
  <si>
    <t>2-0902-0535</t>
  </si>
  <si>
    <t>2-0897-0539</t>
  </si>
  <si>
    <t>2-0905-0153</t>
  </si>
  <si>
    <t>2-0873-0886</t>
  </si>
  <si>
    <t>6-0512-0683</t>
  </si>
  <si>
    <t>2-0909-0101</t>
  </si>
  <si>
    <t>2-0897-0563</t>
  </si>
  <si>
    <t>2-0907-0595</t>
  </si>
  <si>
    <t>2-0904-0060</t>
  </si>
  <si>
    <t>4-0279-0414</t>
  </si>
  <si>
    <t>2-0898-0672</t>
  </si>
  <si>
    <t>1-2033-0988</t>
  </si>
  <si>
    <t>4-0278-0941</t>
  </si>
  <si>
    <t>4-0279-0262</t>
  </si>
  <si>
    <t>2-0894-0024</t>
  </si>
  <si>
    <t>4-0281-0717</t>
  </si>
  <si>
    <t>2-0902-0248</t>
  </si>
  <si>
    <t>4-0279-0918</t>
  </si>
  <si>
    <t>2-0911-0213</t>
  </si>
  <si>
    <t>2-0900-0017</t>
  </si>
  <si>
    <t>1-2010-0886</t>
  </si>
  <si>
    <t>2-0906-0436</t>
  </si>
  <si>
    <t>2-0900-0337</t>
  </si>
  <si>
    <t>2-0898-0021</t>
  </si>
  <si>
    <t>2-0894-0351</t>
  </si>
  <si>
    <t>1-2016-0978</t>
  </si>
  <si>
    <t>2-0884-0279</t>
  </si>
  <si>
    <t>4-0278-0321</t>
  </si>
  <si>
    <t>2-0912-0509</t>
  </si>
  <si>
    <t>2-0948-0325</t>
  </si>
  <si>
    <t>2-0899-0165</t>
  </si>
  <si>
    <t>2-0891-0097</t>
  </si>
  <si>
    <t>4-0281-0365</t>
  </si>
  <si>
    <t>2-0898-0621</t>
  </si>
  <si>
    <t>1-2040-0397</t>
  </si>
  <si>
    <t>1-2011-0312</t>
  </si>
  <si>
    <t>2-0903-0904</t>
  </si>
  <si>
    <t>4-0278-0818</t>
  </si>
  <si>
    <t>4-0278-0664</t>
  </si>
  <si>
    <t>2-0907-0460</t>
  </si>
  <si>
    <t>2-0890-0464</t>
  </si>
  <si>
    <t>2-0896-0814</t>
  </si>
  <si>
    <t>4-0276-0242</t>
  </si>
  <si>
    <t>4-0281-0264</t>
  </si>
  <si>
    <t>2-0903-0580</t>
  </si>
  <si>
    <t>1-2014-0271</t>
  </si>
  <si>
    <t>2-0897-0971</t>
  </si>
  <si>
    <t>1-2037-0958</t>
  </si>
  <si>
    <t>2-0903-0486</t>
  </si>
  <si>
    <t>4-0280-0503</t>
  </si>
  <si>
    <t>2-0900-0836</t>
  </si>
  <si>
    <t>1-2023-0190</t>
  </si>
  <si>
    <t>2-0900-0151</t>
  </si>
  <si>
    <t>2-0892-0937</t>
  </si>
  <si>
    <t>2-0902-0993</t>
  </si>
  <si>
    <t>1-2021-0944</t>
  </si>
  <si>
    <t>2-0884-0812</t>
  </si>
  <si>
    <t>7-0341-0038</t>
  </si>
  <si>
    <t>1-2002-0035</t>
  </si>
  <si>
    <t>2-0902-0235</t>
  </si>
  <si>
    <t>2-0905-0835</t>
  </si>
  <si>
    <t>2-0903-0130</t>
  </si>
  <si>
    <t>2-0901-0949</t>
  </si>
  <si>
    <t>1-2024-0039</t>
  </si>
  <si>
    <t>4-0281-0547</t>
  </si>
  <si>
    <t>2-0907-0851</t>
  </si>
  <si>
    <t>2-0905-0122</t>
  </si>
  <si>
    <t>2-0902-0084</t>
  </si>
  <si>
    <t>1-1989-0176</t>
  </si>
  <si>
    <t>4-0277-0966</t>
  </si>
  <si>
    <t>2-0897-0295</t>
  </si>
  <si>
    <t>2-0900-0155</t>
  </si>
  <si>
    <t>2-0908-0458</t>
  </si>
  <si>
    <t>2-0902-0599</t>
  </si>
  <si>
    <t>2-0904-0832</t>
  </si>
  <si>
    <t>4-0279-0538</t>
  </si>
  <si>
    <t>2-0902-0263</t>
  </si>
  <si>
    <t>2-0902-0262</t>
  </si>
  <si>
    <t>2-0906-0752</t>
  </si>
  <si>
    <t>2-0901-0214</t>
  </si>
  <si>
    <t>2-0904-0124</t>
  </si>
  <si>
    <t>2-0903-0118</t>
  </si>
  <si>
    <t>2-0900-0798</t>
  </si>
  <si>
    <t>7-0340-0891</t>
  </si>
  <si>
    <t>2-0906-0669</t>
  </si>
  <si>
    <t>2-0899-0223</t>
  </si>
  <si>
    <t>9-0145-0040</t>
  </si>
  <si>
    <t>2-0907-0068</t>
  </si>
  <si>
    <t>2-0902-0541</t>
  </si>
  <si>
    <t>2-0908-0420</t>
  </si>
  <si>
    <t>2-0898-0014</t>
  </si>
  <si>
    <t>1-2039-0644</t>
  </si>
  <si>
    <t>2-0904-0513</t>
  </si>
  <si>
    <t>2-0906-0756</t>
  </si>
  <si>
    <t>1-2023-0943</t>
  </si>
  <si>
    <t>4-0278-0443</t>
  </si>
  <si>
    <t>4-0277-0141</t>
  </si>
  <si>
    <t>2-0902-0597</t>
  </si>
  <si>
    <t>1-2014-0654</t>
  </si>
  <si>
    <t>6-0513-0413</t>
  </si>
  <si>
    <t>1-2012-0048</t>
  </si>
  <si>
    <t>2-0897-0199</t>
  </si>
  <si>
    <t>1-2023-0764</t>
  </si>
  <si>
    <t>1-2032-0070</t>
  </si>
  <si>
    <t>1-2028-0458</t>
  </si>
  <si>
    <t>2-0902-0539</t>
  </si>
  <si>
    <t>2-0906-0789</t>
  </si>
  <si>
    <t>2-0886-0813</t>
  </si>
  <si>
    <t>1-2012-0549</t>
  </si>
  <si>
    <t>2-0911-0753</t>
  </si>
  <si>
    <t>2-0902-0749</t>
  </si>
  <si>
    <t>2-0907-0738</t>
  </si>
  <si>
    <t>2-0894-0445</t>
  </si>
  <si>
    <t>2-0898-0801</t>
  </si>
  <si>
    <t>1-1993-0550</t>
  </si>
  <si>
    <t>4-0278-0125</t>
  </si>
  <si>
    <t>1-2020-0025</t>
  </si>
  <si>
    <t>2-0908-0285</t>
  </si>
  <si>
    <t>2-0902-0596</t>
  </si>
  <si>
    <t>4-0277-0918</t>
  </si>
  <si>
    <t>2-0906-0909</t>
  </si>
  <si>
    <t>4-0279-0626</t>
  </si>
  <si>
    <t>1-2038-0567</t>
  </si>
  <si>
    <t>2-0907-0189</t>
  </si>
  <si>
    <t>2-0899-0089</t>
  </si>
  <si>
    <t>1-2019-0322</t>
  </si>
  <si>
    <t>4-0281-0302</t>
  </si>
  <si>
    <t>2-0907-0040</t>
  </si>
  <si>
    <t>1-2016-0550</t>
  </si>
  <si>
    <t>2-0900-0358</t>
  </si>
  <si>
    <t>4-0277-0836</t>
  </si>
  <si>
    <t>1-2013-0070</t>
  </si>
  <si>
    <t>4-0278-0461</t>
  </si>
  <si>
    <t>4-0280-0987</t>
  </si>
  <si>
    <t>4-0279-0521</t>
  </si>
  <si>
    <t>1-2021-0101</t>
  </si>
  <si>
    <t>2-0899-0112</t>
  </si>
  <si>
    <t>2-0908-0470</t>
  </si>
  <si>
    <t>2-0898-0787</t>
  </si>
  <si>
    <t>4-0280-0052</t>
  </si>
  <si>
    <t>2-0910-0278</t>
  </si>
  <si>
    <t>4-0281-0258</t>
  </si>
  <si>
    <t>2-0905-0727</t>
  </si>
  <si>
    <t>2-0903-0970</t>
  </si>
  <si>
    <t>2-0898-0732</t>
  </si>
  <si>
    <t>2-0903-0984</t>
  </si>
  <si>
    <t>2-0907-0187</t>
  </si>
  <si>
    <t>2-0903-0264</t>
  </si>
  <si>
    <t>4-0277-0993</t>
  </si>
  <si>
    <t>4-0274-0664</t>
  </si>
  <si>
    <t>2-0896-0697</t>
  </si>
  <si>
    <t>2-0896-0323</t>
  </si>
  <si>
    <t>2-0899-0090</t>
  </si>
  <si>
    <t>2-0908-0417</t>
  </si>
  <si>
    <t>2-0904-0915</t>
  </si>
  <si>
    <t>7-0337-0117</t>
  </si>
  <si>
    <t>2-0900-0167</t>
  </si>
  <si>
    <t>2-0908-0374</t>
  </si>
  <si>
    <t>2-0902-0649</t>
  </si>
  <si>
    <t>2-0894-0765</t>
  </si>
  <si>
    <t>2-0860-0671</t>
  </si>
  <si>
    <t>1-1993-0616</t>
  </si>
  <si>
    <t>2-0896-0357</t>
  </si>
  <si>
    <t>4-0277-0381</t>
  </si>
  <si>
    <t>4-0276-0666</t>
  </si>
  <si>
    <t>2-0897-0795</t>
  </si>
  <si>
    <t>4-0272-0113</t>
  </si>
  <si>
    <t>1-1969-0919</t>
  </si>
  <si>
    <t>4-0277-0232</t>
  </si>
  <si>
    <t>2-0895-0979</t>
  </si>
  <si>
    <t>2-0893-0298</t>
  </si>
  <si>
    <t>2-0886-0842</t>
  </si>
  <si>
    <t>2-0894-0299</t>
  </si>
  <si>
    <t>2-0892-0813</t>
  </si>
  <si>
    <t>2-0885-0662</t>
  </si>
  <si>
    <t>2-0889-0872</t>
  </si>
  <si>
    <t>2-0891-0733</t>
  </si>
  <si>
    <t>2-0894-0849</t>
  </si>
  <si>
    <t>2-0889-0557</t>
  </si>
  <si>
    <t>7-0332-0993</t>
  </si>
  <si>
    <t>4-0274-0633</t>
  </si>
  <si>
    <t>4-0276-0829</t>
  </si>
  <si>
    <t>1-1983-0244</t>
  </si>
  <si>
    <t>4-0275-0073</t>
  </si>
  <si>
    <t>4-0274-0185</t>
  </si>
  <si>
    <t>4-0276-0446</t>
  </si>
  <si>
    <t>4-0277-0510</t>
  </si>
  <si>
    <t>1-1957-0296</t>
  </si>
  <si>
    <t>4-0274-0566</t>
  </si>
  <si>
    <t>4-0272-0807</t>
  </si>
  <si>
    <t>2-0874-0017</t>
  </si>
  <si>
    <t>2-0893-0416</t>
  </si>
  <si>
    <t>4-0277-0478</t>
  </si>
  <si>
    <t>2-0887-0516</t>
  </si>
  <si>
    <t>2-0871-0785</t>
  </si>
  <si>
    <t>1-1950-0543</t>
  </si>
  <si>
    <t>4-0273-0846</t>
  </si>
  <si>
    <t>2-0888-0770</t>
  </si>
  <si>
    <t>2-0888-0536</t>
  </si>
  <si>
    <t>2-0890-0885</t>
  </si>
  <si>
    <t>2-0893-0699</t>
  </si>
  <si>
    <t>1-1980-0443</t>
  </si>
  <si>
    <t>2-0885-0855</t>
  </si>
  <si>
    <t>4-0269-0458</t>
  </si>
  <si>
    <t>1-2005-0018</t>
  </si>
  <si>
    <t>2-0888-0583</t>
  </si>
  <si>
    <t>4-0276-0847</t>
  </si>
  <si>
    <t>2-0863-0006</t>
  </si>
  <si>
    <t>2-0885-0388</t>
  </si>
  <si>
    <t>2-0892-0934</t>
  </si>
  <si>
    <t>2-0889-0770</t>
  </si>
  <si>
    <t>1-1986-0760</t>
  </si>
  <si>
    <t>2-0893-0405</t>
  </si>
  <si>
    <t>2-0886-0962</t>
  </si>
  <si>
    <t>2-0892-0817</t>
  </si>
  <si>
    <t>2-0889-0013</t>
  </si>
  <si>
    <t>2-0890-0352</t>
  </si>
  <si>
    <t>2-0885-0410</t>
  </si>
  <si>
    <t>4-0275-0704</t>
  </si>
  <si>
    <t>9-0132-0388</t>
  </si>
  <si>
    <t>4-0275-0710</t>
  </si>
  <si>
    <t>2-0885-0014</t>
  </si>
  <si>
    <t>4-0277-0427</t>
  </si>
  <si>
    <t>1-1989-0868</t>
  </si>
  <si>
    <t>2-0881-0385</t>
  </si>
  <si>
    <t>1-1967-0097</t>
  </si>
  <si>
    <t>4-0277-0524</t>
  </si>
  <si>
    <t>2-0888-0041</t>
  </si>
  <si>
    <t>1-1965-0413</t>
  </si>
  <si>
    <t>1-1999-0259</t>
  </si>
  <si>
    <t>2-0879-0354</t>
  </si>
  <si>
    <t>1-2002-0033</t>
  </si>
  <si>
    <t>2-0886-0257</t>
  </si>
  <si>
    <t>3-0566-0322</t>
  </si>
  <si>
    <t>2-0895-0408</t>
  </si>
  <si>
    <t>2-0886-0822</t>
  </si>
  <si>
    <t>2-0896-0466</t>
  </si>
  <si>
    <t>2-0888-0462</t>
  </si>
  <si>
    <t>2-0885-0726</t>
  </si>
  <si>
    <t>1-1991-0491</t>
  </si>
  <si>
    <t>2-0889-0048</t>
  </si>
  <si>
    <t>4-0274-0162</t>
  </si>
  <si>
    <t>2-0888-0959</t>
  </si>
  <si>
    <t>4-0273-0279</t>
  </si>
  <si>
    <t>1-2004-0870</t>
  </si>
  <si>
    <t>2-0887-0383</t>
  </si>
  <si>
    <t>4-0275-0071</t>
  </si>
  <si>
    <t>2-0886-0900</t>
  </si>
  <si>
    <t>4-0276-0796</t>
  </si>
  <si>
    <t>4-0276-0803</t>
  </si>
  <si>
    <t>2-0894-0788</t>
  </si>
  <si>
    <t>6-0507-0456</t>
  </si>
  <si>
    <t>2-0895-0480</t>
  </si>
  <si>
    <t>2-0892-0118</t>
  </si>
  <si>
    <t>4-0275-0585</t>
  </si>
  <si>
    <t>1-1990-0070</t>
  </si>
  <si>
    <t>2-0884-0268</t>
  </si>
  <si>
    <t>4-0275-0899</t>
  </si>
  <si>
    <t>2-0891-0222</t>
  </si>
  <si>
    <t>2-0894-0807</t>
  </si>
  <si>
    <t>2-0894-0846</t>
  </si>
  <si>
    <t>4-0275-0646</t>
  </si>
  <si>
    <t>2-0890-0580</t>
  </si>
  <si>
    <t>2-0894-0718</t>
  </si>
  <si>
    <t>2-0890-0674</t>
  </si>
  <si>
    <t>4-0275-0373</t>
  </si>
  <si>
    <t>1-1984-0186</t>
  </si>
  <si>
    <t>4-0275-0984</t>
  </si>
  <si>
    <t>2-0894-0312</t>
  </si>
  <si>
    <t>2-0875-0806</t>
  </si>
  <si>
    <t>2-0890-0259</t>
  </si>
  <si>
    <t>2-0886-0721</t>
  </si>
  <si>
    <t>2-0894-0626</t>
  </si>
  <si>
    <t>2-0888-0901</t>
  </si>
  <si>
    <t>2-0890-0827</t>
  </si>
  <si>
    <t>2-0896-0659</t>
  </si>
  <si>
    <t>2-0890-0819</t>
  </si>
  <si>
    <t>2-0891-0587</t>
  </si>
  <si>
    <t>4-0275-0065</t>
  </si>
  <si>
    <t>4-0274-0442</t>
  </si>
  <si>
    <t>1-2000-0081</t>
  </si>
  <si>
    <t>2-0889-0327</t>
  </si>
  <si>
    <t>4-0274-0461</t>
  </si>
  <si>
    <t>4-0277-0113</t>
  </si>
  <si>
    <t>1-1995-0492</t>
  </si>
  <si>
    <t>2-0894-0574</t>
  </si>
  <si>
    <t>2-0888-0403</t>
  </si>
  <si>
    <t>4-0277-0093</t>
  </si>
  <si>
    <t>2-0887-0328</t>
  </si>
  <si>
    <t>2-0894-0809</t>
  </si>
  <si>
    <t>2-0886-0754</t>
  </si>
  <si>
    <t>4-0273-0129</t>
  </si>
  <si>
    <t>2-0887-0649</t>
  </si>
  <si>
    <t>4-0275-0318</t>
  </si>
  <si>
    <t>4-0276-0497</t>
  </si>
  <si>
    <t>1-2006-0390</t>
  </si>
  <si>
    <t>2-0891-0334</t>
  </si>
  <si>
    <t>2-0881-0989</t>
  </si>
  <si>
    <t>2-0892-0632</t>
  </si>
  <si>
    <t>4-0277-0649</t>
  </si>
  <si>
    <t>4-0276-0355</t>
  </si>
  <si>
    <t>4-0276-0814</t>
  </si>
  <si>
    <t>1-2010-0874</t>
  </si>
  <si>
    <t>1-2008-0999</t>
  </si>
  <si>
    <t>4-0274-0121</t>
  </si>
  <si>
    <t>2-0896-0472</t>
  </si>
  <si>
    <t>4-0276-0964</t>
  </si>
  <si>
    <t>4-0276-0445</t>
  </si>
  <si>
    <t>2-0888-0598</t>
  </si>
  <si>
    <t>1-2008-0304</t>
  </si>
  <si>
    <t>4-0276-0999</t>
  </si>
  <si>
    <t>2-0891-0238</t>
  </si>
  <si>
    <t>4-0274-0708</t>
  </si>
  <si>
    <t>2-0891-0562</t>
  </si>
  <si>
    <t>5-0473-0674</t>
  </si>
  <si>
    <t>2-0896-0024</t>
  </si>
  <si>
    <t>2-0884-0466</t>
  </si>
  <si>
    <t>2-0886-0688</t>
  </si>
  <si>
    <t>4-0274-0631</t>
  </si>
  <si>
    <t>1-2003-0443</t>
  </si>
  <si>
    <t>4-0274-0758</t>
  </si>
  <si>
    <t>4-0275-0085</t>
  </si>
  <si>
    <t>2-0885-0100</t>
  </si>
  <si>
    <t>7-0332-0110</t>
  </si>
  <si>
    <t>1-2003-0808</t>
  </si>
  <si>
    <t>6-0503-0771</t>
  </si>
  <si>
    <t>3-0575-0281</t>
  </si>
  <si>
    <t>4-0276-0672</t>
  </si>
  <si>
    <t>2-0894-0194</t>
  </si>
  <si>
    <t>2-0889-0940</t>
  </si>
  <si>
    <t>1-1996-0039</t>
  </si>
  <si>
    <t>2-0890-0891</t>
  </si>
  <si>
    <t>2-0892-0989</t>
  </si>
  <si>
    <t>2-0851-0608</t>
  </si>
  <si>
    <t>OTOYA MATUS IAN GAEL</t>
  </si>
  <si>
    <t>ARAYA ACOSTA CRISTOPHER</t>
  </si>
  <si>
    <t>BENAVIDES MELENDEZ MEGAN</t>
  </si>
  <si>
    <t>CARMONA CHAVARRIA BRIANNA</t>
  </si>
  <si>
    <t>GODINEZ ROJAS ALONSO</t>
  </si>
  <si>
    <t>ORTIZ ARTAVIA MATTHEW</t>
  </si>
  <si>
    <t>YR202239624</t>
  </si>
  <si>
    <t>SANDI ARGUELLO BRITTANY MARIA</t>
  </si>
  <si>
    <t xml:space="preserve">ALVARADO ESPINOZA MARIANA </t>
  </si>
  <si>
    <t>ARIAS SUAREZ AYLIN</t>
  </si>
  <si>
    <t>CALVO ALVAREZ SEBASTIAN</t>
  </si>
  <si>
    <t>CASTRO ALVARADO FRANCESCO</t>
  </si>
  <si>
    <t>CORELLA MONTERO JUAN FABRIZZIO</t>
  </si>
  <si>
    <t>FERNANDEZ SOLERA CESAR CALEB</t>
  </si>
  <si>
    <t>GONZALEZ PICADO GENESIS PAOLA</t>
  </si>
  <si>
    <t>JIMENEZ ZAMORA DANA MIKAELA</t>
  </si>
  <si>
    <t>MARTINEZ SILVA FABIAN ANTONIO</t>
  </si>
  <si>
    <t>MORALES PANIAGUA EMMA</t>
  </si>
  <si>
    <t>PICADO AGUILAR KEISY MARIEL</t>
  </si>
  <si>
    <t>SOLERA VALERIN EMMA VALENTINA</t>
  </si>
  <si>
    <t>VASQUEZ RETANA CARLOS MAURICIO</t>
  </si>
  <si>
    <t>ZUÑIGA VALLE ANDERSON AARON</t>
  </si>
  <si>
    <t>RAMIREZ ROJAS JOSELYNE VALERIA</t>
  </si>
  <si>
    <t>MARTINEZ MARTINEZ EVER ARLY</t>
  </si>
  <si>
    <t>LOPEZ MENDEZ GENESIS LENALINNE</t>
  </si>
  <si>
    <t>RAMIREZ ORTEGA MARIANGEL</t>
  </si>
  <si>
    <t>YR202310792</t>
  </si>
  <si>
    <t>GOMEZ HERNANDEZ JARLEYDI ISAMARA</t>
  </si>
  <si>
    <t>CORELLA ALVARADO JUSTIN</t>
  </si>
  <si>
    <t>CHAVARRIA GONZALEZ JOSEPH JOSUE</t>
  </si>
  <si>
    <t>PICADO SANCHEZ ALESSANDRO</t>
  </si>
  <si>
    <t>CHAVES BLANDON STAYCI PAOLA</t>
  </si>
  <si>
    <t>CARRILLO MORALES EDUARDO</t>
  </si>
  <si>
    <t>YR202240012</t>
  </si>
  <si>
    <t>FERNANDEZ SALAZAR SYLVANA VICTORIA</t>
  </si>
  <si>
    <t>YR202239866</t>
  </si>
  <si>
    <t>VINDAS HIDALGO ISAAC ANDREY</t>
  </si>
  <si>
    <t>LEON MONGE ESTEBAN DAVID</t>
  </si>
  <si>
    <t>MUÑOZ ULATE DYLAN</t>
  </si>
  <si>
    <t>CHAVARRIA ARCE MARYANGEL</t>
  </si>
  <si>
    <t>ESPINOZA CASTILLO JULIO CESAR</t>
  </si>
  <si>
    <t>CARVAJAL GOMEZ GENESIS SOFIA</t>
  </si>
  <si>
    <t>SANCHEZ GOMEZ ISAAC LEONARDO</t>
  </si>
  <si>
    <t>CABEZAS ALVAREZ ASHLEY</t>
  </si>
  <si>
    <t>REYES SABALLOS ASHLEY IRIED</t>
  </si>
  <si>
    <t>VARGAS GONZALEZ ALANA SOFIA</t>
  </si>
  <si>
    <t>FERNANDEZ ALVAREZ MARIANGEL</t>
  </si>
  <si>
    <t>CASCANTE MORALES IAN SAUL</t>
  </si>
  <si>
    <t>LINARES VARGAS DAYANA SOFIA</t>
  </si>
  <si>
    <t>GONZALEZ SOLIS DARWIN JAVIER</t>
  </si>
  <si>
    <t>CARVAJAL SOLIS ANGEL MATEO</t>
  </si>
  <si>
    <t>CESPEDES ESQUIVEL JESSICA NICOLE</t>
  </si>
  <si>
    <t>SEGURA ARCE MARIA ALEXANDRA</t>
  </si>
  <si>
    <t>PAO AMADOR LUIS FERNANDO</t>
  </si>
  <si>
    <t>SOLIS ESPINOZA NOHEMI CELESTE</t>
  </si>
  <si>
    <t>MORALES RUIZ HELLEN VALENTINA</t>
  </si>
  <si>
    <t>RAMIREZ CERDA MELANIE PAOLA</t>
  </si>
  <si>
    <t>CAMPOS PEREZ KIMBERLY MARIA</t>
  </si>
  <si>
    <t>ALARCON GONZALEZ AMANDA DAYANA</t>
  </si>
  <si>
    <t>RODRIGUEZ MEJIAS TOMAS ESTEBAN</t>
  </si>
  <si>
    <t>BADILLA CARRILLO THIAGO MATHIAS</t>
  </si>
  <si>
    <t>209310999</t>
  </si>
  <si>
    <t>402880022</t>
  </si>
  <si>
    <t>JARA RODRIGUEZ MELANY FABIANA</t>
  </si>
  <si>
    <t>RODRIGUEZ SALAZAR LEANDRO</t>
  </si>
  <si>
    <t>MARTINEZ ORDEÑANA MARYAN MICHELLE</t>
  </si>
  <si>
    <t>RODRIGUEZ ROJO IAN ALEJANDRO</t>
  </si>
  <si>
    <t>QUIROS ZUÑIGA DIXON HAMPIER</t>
  </si>
  <si>
    <t>GARSIA BLANDON HANKAN LAN</t>
  </si>
  <si>
    <t>SANCHEZ ULLOA MARIAM CELESTE</t>
  </si>
  <si>
    <t>CAMBRONERO MOYA KYARA</t>
  </si>
  <si>
    <t>ARAYA URBINA OMAR FERNANDO</t>
  </si>
  <si>
    <t>VARGAS SOLANO MARIANA</t>
  </si>
  <si>
    <t>HERNANDEZ RAMIREZ KIARA</t>
  </si>
  <si>
    <t>MORAGA MORA AXEL</t>
  </si>
  <si>
    <t>NIVEL</t>
  </si>
  <si>
    <t>GRUPO</t>
  </si>
  <si>
    <t>SUBGRUPO</t>
  </si>
  <si>
    <t>HERRERA VIQUEZ CALEB</t>
  </si>
  <si>
    <t>OPERACIONES ADUANERAS</t>
  </si>
  <si>
    <t>HORMANN MARTHA LILLY</t>
  </si>
  <si>
    <t>Tercer Ciclo</t>
  </si>
  <si>
    <t>VARGAS CARVAJAL JIMENA</t>
  </si>
  <si>
    <t>MIRANDA HERNANDEZ KIANNY</t>
  </si>
  <si>
    <t>RODRIGUEZ MURILLO ALLISON</t>
  </si>
  <si>
    <t>BENAVIDES BOLAÑOS JOCKSAN</t>
  </si>
  <si>
    <t>SANCHEZ CARBALLO JOSE</t>
  </si>
  <si>
    <t>MORENO PANIAGUA GILBERTH</t>
  </si>
  <si>
    <t>FALLAS RODRIGUEZ KEYLOR</t>
  </si>
  <si>
    <t>CAMBRONERO ARIAS YARIEL</t>
  </si>
  <si>
    <t>ZAMORA CHACON CHELSY</t>
  </si>
  <si>
    <t>TRUJILLO CALDERA DEBORA</t>
  </si>
  <si>
    <t>SOLANO SOJO SEBASTIAN</t>
  </si>
  <si>
    <t>MOLINA AVALOS KRISTEL</t>
  </si>
  <si>
    <t>JIMENEZ MONTERO ANDREY</t>
  </si>
  <si>
    <t>GONZALEZ RODRIGUEZ AMANDA</t>
  </si>
  <si>
    <t>DAVIS SEGURA EMILY</t>
  </si>
  <si>
    <t>CASTRO ARAYA AMANDA</t>
  </si>
  <si>
    <t>BRENES BRIZUELA KRISTELL</t>
  </si>
  <si>
    <t>BOLAÑOS MOLINA SOFIA</t>
  </si>
  <si>
    <t>ANGULO DIAZ LEONARDO</t>
  </si>
  <si>
    <t>ACUÑA FONSECA DANNA</t>
  </si>
  <si>
    <t>VILLALOBOS UMAÑA CELESTE</t>
  </si>
  <si>
    <t>VARGAS QUESADA MATHIAS</t>
  </si>
  <si>
    <t>RODRIGUEZ ARTAVIA JUAN</t>
  </si>
  <si>
    <t>JIMENEZ RAMIREZ JUAN</t>
  </si>
  <si>
    <t>GONZALEZ VASQUEZ ISAACK</t>
  </si>
  <si>
    <t>FERNANDEZ CARMONA ALEXA</t>
  </si>
  <si>
    <t>CARVAJAL BONILLA TAYRA</t>
  </si>
  <si>
    <t>WOO MENDEZ SANTIAGO</t>
  </si>
  <si>
    <t>VIVAS DAVILA URIELKA</t>
  </si>
  <si>
    <t>VILLACHICA UMAÑA ANNIE</t>
  </si>
  <si>
    <t>TORRES CALVO YAZMIN</t>
  </si>
  <si>
    <t>RODRIGUEZ MENDOZA AMANDA</t>
  </si>
  <si>
    <t>RETANA VARGAS SOFIA</t>
  </si>
  <si>
    <t>PEÑA MONTIEL SARAHY</t>
  </si>
  <si>
    <t>NAVARRETE PALACIO ELIAH</t>
  </si>
  <si>
    <t>MONGE ESPINOZA CELESTE</t>
  </si>
  <si>
    <t>MEZA CRUZ NAOMY</t>
  </si>
  <si>
    <t>MATAMOROS ULATE RAICHEL</t>
  </si>
  <si>
    <t>FERNANDEZ UGALDE BRITTANY</t>
  </si>
  <si>
    <t>BATRES ESQUIVEL DERECK</t>
  </si>
  <si>
    <t>UMAÑA HERNANDEZ MATIAS</t>
  </si>
  <si>
    <t>SANCHEZ ARIAS JASIRY</t>
  </si>
  <si>
    <t>RIVAS GONZALEZ MAYKEL</t>
  </si>
  <si>
    <t>NAVARRETE SIBAJA DILAN</t>
  </si>
  <si>
    <t>MEZA SOLANO BREYNER</t>
  </si>
  <si>
    <t>GALEANO JARQUIN ELIZABETH</t>
  </si>
  <si>
    <t>SEGURA ARIAS FERNANDA</t>
  </si>
  <si>
    <t>OVIEDO CAMACHO SANTIAGO</t>
  </si>
  <si>
    <t>MOREIRA BADILLA HILARY</t>
  </si>
  <si>
    <t>HERNANDEZ MIRANDA BRITTANY</t>
  </si>
  <si>
    <t>RODRIGUEZ HUERTAS MATHIAS</t>
  </si>
  <si>
    <t>QUESADA CHAVES KATTYE</t>
  </si>
  <si>
    <t>SALAZAR SALAS YAINDEN</t>
  </si>
  <si>
    <t>JIMENEZ MENDEZ ASHLYE</t>
  </si>
  <si>
    <t xml:space="preserve">GONZALEZ SANCHEZ LUCIANO </t>
  </si>
  <si>
    <t>FERNANDEZ BOLAÑOS CALEB</t>
  </si>
  <si>
    <t>CHAVARRIA VARGAS SAMUEL</t>
  </si>
  <si>
    <t>CHAVARRIA RODRIGUEZ JULIAN</t>
  </si>
  <si>
    <t>ROJAS LOPEZ JONATAN</t>
  </si>
  <si>
    <t>OVARES VILLEGAS KRISTEL</t>
  </si>
  <si>
    <t>MORALES RODRIGUEZ DYLAN</t>
  </si>
  <si>
    <t>JIMENEZ RUIZ ISMAEL</t>
  </si>
  <si>
    <t>HERNANDEZ MARADIAGA JAQUELINE</t>
  </si>
  <si>
    <t>HERNANDEZ CESPEDES SHARON</t>
  </si>
  <si>
    <t>SOLORZANO VALLECILLO ELIAN</t>
  </si>
  <si>
    <t>CORDOBA CESPEDES DILAN</t>
  </si>
  <si>
    <t>SALAZAR CORRALES MEISEL</t>
  </si>
  <si>
    <t>PORRAS CABEZAS GABRIEL</t>
  </si>
  <si>
    <t>MIJANGO GONZALEZ SERGIO</t>
  </si>
  <si>
    <t>MARIN JIMENEZ GABRIEL</t>
  </si>
  <si>
    <t>JIMENEZ JIMENEZ ANDRES</t>
  </si>
  <si>
    <t>CHAVARRIA OBREGON CALEB</t>
  </si>
  <si>
    <t>BARRANTES MASIS JANNELY</t>
  </si>
  <si>
    <t>BALLESTERO ARIAS BIANKA</t>
  </si>
  <si>
    <t>ALVAREZ ARAYA SHERIL</t>
  </si>
  <si>
    <t>ALVAREZ ARAYA JOHANA</t>
  </si>
  <si>
    <t>URBINA MACHADO GERALD</t>
  </si>
  <si>
    <t>SUAREZ ROBLES GABRIEL</t>
  </si>
  <si>
    <t>SOLIS CARAZO IGNASIO</t>
  </si>
  <si>
    <t>SANCHO SANCHEZ MATIAS</t>
  </si>
  <si>
    <t>SANCHEZ ABARCA ARIEL</t>
  </si>
  <si>
    <t>RAMIREZ DIAZ EZEQUIEL</t>
  </si>
  <si>
    <t>YR202304145</t>
  </si>
  <si>
    <t>UGALDE ESQUIVEL JOSEVETH</t>
  </si>
  <si>
    <t>VILCHEZ CHAVARRIA STARLING</t>
  </si>
  <si>
    <t>LE MAITRE CARMONA MAGDIEL</t>
  </si>
  <si>
    <t>MENDEZ CASTRO SEBASTIAN</t>
  </si>
  <si>
    <t>AGUILAR MORA BRITANY</t>
  </si>
  <si>
    <t>ARGUELLO SABAT FABIOLA DE JESUS</t>
  </si>
  <si>
    <t>PRODUCCION EN COCINA</t>
  </si>
  <si>
    <t>CHAVES GONZALEZ AARON</t>
  </si>
  <si>
    <t>BARQUERO MONTERO RYAN</t>
  </si>
  <si>
    <t>CERDAS RODRIGUEZ BRITHANY</t>
  </si>
  <si>
    <t>GUERRERO CAMPOS NOEMY</t>
  </si>
  <si>
    <t>RODRIGUEZ BARQUERO BRIANA</t>
  </si>
  <si>
    <t>SOLORZANO CALDERON NICOLLE</t>
  </si>
  <si>
    <t>SOLERA CAMBRONERO KEYSI</t>
  </si>
  <si>
    <t>CARDENAS BLANCO NAOMY SHARLOTEE</t>
  </si>
  <si>
    <t>208990223</t>
  </si>
  <si>
    <r>
      <t xml:space="preserve">CORTES ARIAS LUIS FELIPE </t>
    </r>
    <r>
      <rPr>
        <b/>
        <sz val="11"/>
        <color theme="1"/>
        <rFont val="Calibri"/>
        <family val="2"/>
        <scheme val="minor"/>
      </rPr>
      <t>(Electrónica)</t>
    </r>
  </si>
  <si>
    <t>155854093128</t>
  </si>
  <si>
    <t>OPERACIONES EN A&amp;B (DUAL)</t>
  </si>
  <si>
    <r>
      <t xml:space="preserve">FISCHER NILS FREDERIK </t>
    </r>
    <r>
      <rPr>
        <b/>
        <sz val="11"/>
        <color theme="1"/>
        <rFont val="Calibri"/>
        <family val="2"/>
        <scheme val="minor"/>
      </rPr>
      <t>(Intercambio)</t>
    </r>
  </si>
  <si>
    <r>
      <t xml:space="preserve">SKORUPSKI JAN JAKOB </t>
    </r>
    <r>
      <rPr>
        <b/>
        <sz val="11"/>
        <color theme="1"/>
        <rFont val="Calibri"/>
        <family val="2"/>
        <scheme val="minor"/>
      </rPr>
      <t xml:space="preserve"> (Intercambio)</t>
    </r>
  </si>
  <si>
    <t>OPERACIONES EN A&amp;B</t>
  </si>
  <si>
    <t>VILLANUEVA VILLALOBOS JORGE</t>
  </si>
  <si>
    <t>VILLANUEVA VILLALOBOS LUISA</t>
  </si>
  <si>
    <t>NOMBRE ORIGINAL</t>
  </si>
  <si>
    <t>CHAVERRI ACUÑA HERSON</t>
  </si>
  <si>
    <t>ESPINOZA GUTIERREZ FRANCINI</t>
  </si>
  <si>
    <t>GUZMAN TREMINIO BREILY</t>
  </si>
  <si>
    <t>LOPEZ RAPALO JULIAN</t>
  </si>
  <si>
    <t>MONTERO CHACON CRISTIAN</t>
  </si>
  <si>
    <t xml:space="preserve">REYES CANO JOSTHIN </t>
  </si>
  <si>
    <t>ROJAS MONTERO YASSIR</t>
  </si>
  <si>
    <t>SAENZ GUILLEN MATHIAS</t>
  </si>
  <si>
    <t>SALINAS ZELEDON JOSUE</t>
  </si>
  <si>
    <t>NMB</t>
  </si>
  <si>
    <t>APE</t>
  </si>
  <si>
    <t>1ER NMB</t>
  </si>
  <si>
    <t>ACUÑA PEREZ YULANIS MARTA</t>
  </si>
  <si>
    <t>RODRIGUEZ CERDAS VALERY</t>
  </si>
  <si>
    <t>CHAVES SIRIAS VALERIA</t>
  </si>
  <si>
    <t>CODIGO</t>
  </si>
  <si>
    <t>ID</t>
  </si>
  <si>
    <t>Casillero</t>
  </si>
  <si>
    <t>Transporte</t>
  </si>
  <si>
    <t>LISTA DE ESTUDIANTES</t>
  </si>
  <si>
    <t>2-0939-0450</t>
  </si>
  <si>
    <t>YULANIS ACUÑA PEREZ</t>
  </si>
  <si>
    <t>2-0964-0122</t>
  </si>
  <si>
    <t>CRISTOPHER ARAYA ACOSTA</t>
  </si>
  <si>
    <t>2-0961-0010</t>
  </si>
  <si>
    <t>MEGAN BENAVIDES MELENDEZ</t>
  </si>
  <si>
    <t>2-0955-0492</t>
  </si>
  <si>
    <t>BRIANNA CARMONA CHAVARRIA</t>
  </si>
  <si>
    <t>2-0955-0279</t>
  </si>
  <si>
    <t>HERSON CHAVERRI ACUÑA</t>
  </si>
  <si>
    <t>7-0353-0923</t>
  </si>
  <si>
    <t>FRANCINI ESPINOZA GUTIERREZ</t>
  </si>
  <si>
    <t>2-0960-0349</t>
  </si>
  <si>
    <t>ALONSO GODINEZ ROJAS</t>
  </si>
  <si>
    <t>2-0957-0968</t>
  </si>
  <si>
    <t>BREILY GUZMAN TREMINIO</t>
  </si>
  <si>
    <t>2-0956-0246</t>
  </si>
  <si>
    <t>JULIAN LOPEZ RAPALO</t>
  </si>
  <si>
    <t>2-0958-0707</t>
  </si>
  <si>
    <t>CRISTIAN MONTERO CHACON</t>
  </si>
  <si>
    <t>4-0300-0904</t>
  </si>
  <si>
    <t>MATTHEW ORTIZ ARTAVIA</t>
  </si>
  <si>
    <t>JOSTHIN REYES CANO</t>
  </si>
  <si>
    <t>1-2146-0453</t>
  </si>
  <si>
    <t>YASSIR ROJAS MONTERO</t>
  </si>
  <si>
    <t>2-0964-0362</t>
  </si>
  <si>
    <t>MATHIAS SAENZ GUILLEN</t>
  </si>
  <si>
    <t>JOSUE SALINAS ZELEDON</t>
  </si>
  <si>
    <t>2-0966-0786</t>
  </si>
  <si>
    <t>BRITTANY SANDI ARGUELLO</t>
  </si>
  <si>
    <t>2-0961-0433</t>
  </si>
  <si>
    <t>JORGE VILLANUEVA VILLALOBOS</t>
  </si>
  <si>
    <t>2-0961-0434</t>
  </si>
  <si>
    <t>LUISA VILLANUEVA VILLALOBOS</t>
  </si>
  <si>
    <t>5-0493-0868</t>
  </si>
  <si>
    <t>MARIANA ALVARADO ESPINOZA</t>
  </si>
  <si>
    <t>4-0300-0450</t>
  </si>
  <si>
    <t>AYLIN ARIAS SUAREZ</t>
  </si>
  <si>
    <t>2-0956-0133</t>
  </si>
  <si>
    <t>SEBASTIAN CALVO ALVAREZ</t>
  </si>
  <si>
    <t>4-0297-0815</t>
  </si>
  <si>
    <t>KIMBERLY CAMPOS PEREZ</t>
  </si>
  <si>
    <t>1-2149-0467</t>
  </si>
  <si>
    <t>FRANCESCO CASTRO ALVARADO</t>
  </si>
  <si>
    <t>2-0964-0358</t>
  </si>
  <si>
    <t>JUAN CORELLA MONTERO</t>
  </si>
  <si>
    <t>2-0965-0493</t>
  </si>
  <si>
    <t>CESAR FERNANDEZ SOLERA</t>
  </si>
  <si>
    <t>2-0958-0344</t>
  </si>
  <si>
    <t>GENESIS GONZALEZ PICADO</t>
  </si>
  <si>
    <t>LUIS HERRERA ROCHA</t>
  </si>
  <si>
    <t>2-0952-0139</t>
  </si>
  <si>
    <t>DANA JIMENEZ ZAMORA</t>
  </si>
  <si>
    <t>2-0950-0026</t>
  </si>
  <si>
    <t>FABIAN MARTINEZ SILVA</t>
  </si>
  <si>
    <t>2-0955-0707</t>
  </si>
  <si>
    <t>EMMA MORALES PANIAGUA</t>
  </si>
  <si>
    <t>4-0296-0774</t>
  </si>
  <si>
    <t>KEISY PICADO AGUILAR</t>
  </si>
  <si>
    <t>4-0300-0437</t>
  </si>
  <si>
    <t>VALERY RODRIGUEZ CERDAS</t>
  </si>
  <si>
    <t>2-0962-0397</t>
  </si>
  <si>
    <t>EMMA SOLERA VALERIN</t>
  </si>
  <si>
    <t>6-0540-0847</t>
  </si>
  <si>
    <t>CARLOS VASQUEZ RETANA</t>
  </si>
  <si>
    <t>4-0297-0123</t>
  </si>
  <si>
    <t>ANDERSON ZUÑIGA VALLE</t>
  </si>
  <si>
    <t>AARON AGUILAR ALFARO</t>
  </si>
  <si>
    <t>EMANUEL ARAYA LEON</t>
  </si>
  <si>
    <t>SEBASTIAN ARAYA SALAS</t>
  </si>
  <si>
    <t>DEIVID BETETA GONZALEZ</t>
  </si>
  <si>
    <t>TRACY CHAVES CHAVEZ</t>
  </si>
  <si>
    <t>WENDY ESPINOZA MORENO</t>
  </si>
  <si>
    <t>KRIASMED GOMEZ SANCHEZ</t>
  </si>
  <si>
    <t>KEISY HERNANDEZ HERRERA</t>
  </si>
  <si>
    <t>ANGEL LOPEZ ROJAS</t>
  </si>
  <si>
    <t>EVELYN MONTERO SOLANO</t>
  </si>
  <si>
    <t>IAN OTOYA MATUS</t>
  </si>
  <si>
    <t>MELANIE RAMIREZ CERDA</t>
  </si>
  <si>
    <t>MATEO ROJAS OLIVEIRA</t>
  </si>
  <si>
    <t>MATTIAS SANDI VARGAS</t>
  </si>
  <si>
    <t>ISAAC SOTO HERNANDEZ</t>
  </si>
  <si>
    <t>SANTIAGO UGARTE CARVAJAL</t>
  </si>
  <si>
    <t>SAMANTHA ZUÑIGA VILLALOBOS</t>
  </si>
  <si>
    <t>ISAAC ALVARADO RAMIREZ</t>
  </si>
  <si>
    <t>ELIAN ARLEY SEGURA</t>
  </si>
  <si>
    <t>JONATHAN BERRIOS REYES</t>
  </si>
  <si>
    <t>DERECK CALVO CORDOBA</t>
  </si>
  <si>
    <t>EBAN CENTENO HERNÁNDEZ</t>
  </si>
  <si>
    <t>KRISBELL CORTEDANO ARGEÑAL</t>
  </si>
  <si>
    <t>ALONSO GAMEZ VEGA</t>
  </si>
  <si>
    <t>BRANDON GONZALEZ ROSALES</t>
  </si>
  <si>
    <t>OSMANY LARIOS HENRIQUEZ</t>
  </si>
  <si>
    <t>VALENTINA MENA VALVERDE</t>
  </si>
  <si>
    <t>HELLEN MORALES RUIZ</t>
  </si>
  <si>
    <t>NAHOMY PILARTE MARCIA</t>
  </si>
  <si>
    <t>4-0296-0490</t>
  </si>
  <si>
    <t>JOSELYNE RAMIREZ ROJAS</t>
  </si>
  <si>
    <t>MATHIAS RODRIGUEZ LUNA</t>
  </si>
  <si>
    <t>GABRIEL SALAS CARBALLO</t>
  </si>
  <si>
    <t>NOHEMI SOLIS ESPINOZA</t>
  </si>
  <si>
    <t>KEYLEB URBINA RODAS</t>
  </si>
  <si>
    <t>CRISTOFER AGUILAR MALESPIN</t>
  </si>
  <si>
    <t>IKER ARAYA SANCHEZ</t>
  </si>
  <si>
    <t>BERNI BLANDON REYES</t>
  </si>
  <si>
    <t>GABRIEL CARVAJAL JIMENEZ</t>
  </si>
  <si>
    <t>SANTIAGO CHAVES ROJAS</t>
  </si>
  <si>
    <t>NAHOMY FALLAS RODRIGUEZ</t>
  </si>
  <si>
    <t>YULIETH HERNANDEZ RODRIGUEZ</t>
  </si>
  <si>
    <t>DEREK LORIA MORALES</t>
  </si>
  <si>
    <t>JUSTIN MADRIGAL TORRES</t>
  </si>
  <si>
    <t>EMMA MORA ALFARO</t>
  </si>
  <si>
    <t>LUIS PAO AMADOR</t>
  </si>
  <si>
    <t>ALVARO RIVERA BUSTAMANTE</t>
  </si>
  <si>
    <t>TOMAS ROJAS ROJAS</t>
  </si>
  <si>
    <t>MARIA SEGURA ARCE</t>
  </si>
  <si>
    <t>LEONARDO VADO SALAZAR</t>
  </si>
  <si>
    <t>FACUNDO VILLEGAS MONTERO</t>
  </si>
  <si>
    <t>DRAKE ZUÑIGA UGALDE</t>
  </si>
  <si>
    <t>AMANDA ALARCON GONZALEZ</t>
  </si>
  <si>
    <t>SEBASTIAN AVILA CARBALLO</t>
  </si>
  <si>
    <t>CAMILA CALVO URBINA</t>
  </si>
  <si>
    <t>JESSICA CESPEDES ESQUIVEL</t>
  </si>
  <si>
    <t>ARIADNA CRUZ LOPEZ</t>
  </si>
  <si>
    <t>ASHLEY FONSECA CORDOBA</t>
  </si>
  <si>
    <t>BRYANNA GARCIA JIMENEZ</t>
  </si>
  <si>
    <t>BRIANNA GONZALEZ SOLANO</t>
  </si>
  <si>
    <t>CARMONA LE MAITRE</t>
  </si>
  <si>
    <t>ANGELITH MENDOZA JIMENEZ</t>
  </si>
  <si>
    <t>EDWIN RAMIREZ BLANDON</t>
  </si>
  <si>
    <t>TIFANNY SEGURA CAMBRONERO</t>
  </si>
  <si>
    <t>SAMUEL SOTO GALLEGOS</t>
  </si>
  <si>
    <t>SOFIA VALVERDE SANCHEZ</t>
  </si>
  <si>
    <t>EMANUEL VARGAS RAMOS</t>
  </si>
  <si>
    <t>MAITE VENEGAS QUIROS</t>
  </si>
  <si>
    <t>MARIANA VINDAS ARIAS</t>
  </si>
  <si>
    <t>ABIGAIL ARGUEDAS RODRIGUEZ</t>
  </si>
  <si>
    <t>NOEMI ARIAS CESPEDES</t>
  </si>
  <si>
    <t>MATIAS BUSTOS PORRAS</t>
  </si>
  <si>
    <t>ANGEL CARVAJAL SOLIS</t>
  </si>
  <si>
    <t>ESTEBAN CHAVES SOLERA</t>
  </si>
  <si>
    <t>BRIANNA FALLAS ROSALES</t>
  </si>
  <si>
    <t>GENESIS GONZALEZ BORGE</t>
  </si>
  <si>
    <t>MARLON HERRERA CUBERO</t>
  </si>
  <si>
    <t>AARON LOPEZ PICADO</t>
  </si>
  <si>
    <t>CATALINA MARTINEZ ALFARO</t>
  </si>
  <si>
    <t>4-0296-0926</t>
  </si>
  <si>
    <t>EVER MARTINEZ MARTINEZ</t>
  </si>
  <si>
    <t>ESTEBAN PEREZ CHAVES</t>
  </si>
  <si>
    <t>MIA RODRIGUEZ ALVARADO</t>
  </si>
  <si>
    <t>TOMAS RODRIGUEZ MEJIAS</t>
  </si>
  <si>
    <t>JOSE ROSALES ROJAS</t>
  </si>
  <si>
    <t>LEONEL SALAS RODRIGUEZ</t>
  </si>
  <si>
    <t>JEREMY SOLIS MUÑOZ</t>
  </si>
  <si>
    <t>ITZEL ALVARADO ZUÑIGA</t>
  </si>
  <si>
    <t>KENDAL AVILES ESPINOSA</t>
  </si>
  <si>
    <t>VALHESKA CAMBRONERO MURILLO</t>
  </si>
  <si>
    <t>ESTEFANY CAMBRONERO NUÑEZ</t>
  </si>
  <si>
    <t>SAMUEL CESPEDES PEÑARANDA</t>
  </si>
  <si>
    <t>HERRERA DE WATRINGANT</t>
  </si>
  <si>
    <t>KEYTHEL GARCIA MIRANDA</t>
  </si>
  <si>
    <t>DARWIN GONZALEZ SOLIS</t>
  </si>
  <si>
    <t>DAYANA LINARES VARGAS</t>
  </si>
  <si>
    <t>4-0301-0065</t>
  </si>
  <si>
    <t>GENESIS LOPEZ MENDEZ</t>
  </si>
  <si>
    <t>VALENTINA MIRANDA SALAS</t>
  </si>
  <si>
    <t>YOSEF MONTIEL MENA</t>
  </si>
  <si>
    <t>JIMENA NARANJO MONTOYA</t>
  </si>
  <si>
    <t>4-0297-0394</t>
  </si>
  <si>
    <t>MARIANGEL RAMIREZ ORTEGA</t>
  </si>
  <si>
    <t>KRISTEN RODRIGUEZ MURILLO</t>
  </si>
  <si>
    <t>SANTIAGO SALAZAR CHINCHILLA</t>
  </si>
  <si>
    <t>BRIANA VEGA CALVO</t>
  </si>
  <si>
    <t>GABRIEL VENEGAS SOLANO</t>
  </si>
  <si>
    <t>IAN ALFARO CARRION</t>
  </si>
  <si>
    <t>KENDALL ARIAS ARIAS</t>
  </si>
  <si>
    <t>VALENTINA CALDERON ZUMBADO</t>
  </si>
  <si>
    <t>IAN CASCANTE MORALES</t>
  </si>
  <si>
    <t>CEDRIX COLOMER REYES</t>
  </si>
  <si>
    <t>MARIANGEL FERNANDEZ ALVAREZ</t>
  </si>
  <si>
    <t>JARLEYDI GOMEZ HERNANDEZ</t>
  </si>
  <si>
    <t>ALANYS GONZALEZ CAMPOS</t>
  </si>
  <si>
    <t>ELISEO HERRERA ZUÑIGA</t>
  </si>
  <si>
    <t>NEIMAR MARTINEZ ORDEÑANA</t>
  </si>
  <si>
    <t>FABRICIO MORA MORA</t>
  </si>
  <si>
    <t>OBADYAH PEREZ MONTIEL</t>
  </si>
  <si>
    <t>MATEO RODRIGUEZ CAMACHO</t>
  </si>
  <si>
    <t>LUCAS RUIZ ALVARADO</t>
  </si>
  <si>
    <t>EYFRANK SEGURA SUAREZ</t>
  </si>
  <si>
    <t>ALANA VARGAS GONZALEZ</t>
  </si>
  <si>
    <t>YUNIELKA ZAMORAN GARCIA</t>
  </si>
  <si>
    <t>AARON ALVAREZ DURAN</t>
  </si>
  <si>
    <t>THIAGO BADILLA CARRILLO</t>
  </si>
  <si>
    <t>ALISSON CHACON LOBO</t>
  </si>
  <si>
    <t>2-0964-0025</t>
  </si>
  <si>
    <t>JUSTIN CORELLA ALVARADO</t>
  </si>
  <si>
    <t>MARIPAZ DELGADO GONZALEZ</t>
  </si>
  <si>
    <t>SHEYLIN GARCIA SEVILLA</t>
  </si>
  <si>
    <t>CAMILA GUERRERO GUADAMUZ</t>
  </si>
  <si>
    <t>GENESIS LOPEZ BRAVO</t>
  </si>
  <si>
    <t>MARYPAZ MOLINA SEQUEIRA</t>
  </si>
  <si>
    <t>MATIAS OCAMPO DELGADO</t>
  </si>
  <si>
    <t>LUCAS RAMOS ARTAVIA</t>
  </si>
  <si>
    <t>ASHLEY REYES SABALLOS</t>
  </si>
  <si>
    <t>KEYLER RODRIGUEZ PEREZ</t>
  </si>
  <si>
    <t>NAOMY SALAZAR MUÑOZ</t>
  </si>
  <si>
    <t>ALISON SIBAJA JIMENEZ</t>
  </si>
  <si>
    <t>KENNETH SOZA VELASQUEZ</t>
  </si>
  <si>
    <t>JOHAN VILLAGRA ARGUELLO</t>
  </si>
  <si>
    <t>ALLISSON ALFARO RAMOS</t>
  </si>
  <si>
    <t>JOEL ARIAS SANDOVAL</t>
  </si>
  <si>
    <t>ASHLEY CABEZAS ALVAREZ</t>
  </si>
  <si>
    <t>JOVI CASTILLO ARAUZ</t>
  </si>
  <si>
    <t>MARIANA CONTRERAS ALVARADO</t>
  </si>
  <si>
    <t>WILLY FERNANDEZ ARGUEDAS</t>
  </si>
  <si>
    <t>JEYNOR GONZALEZ CHACON</t>
  </si>
  <si>
    <t>AMY JIMENEZ CARRANZA</t>
  </si>
  <si>
    <t>ANTONELLA MARTINEZ SANCHEZ</t>
  </si>
  <si>
    <t>KEISSY MORALES AGUILAR</t>
  </si>
  <si>
    <t>DILAN PEREZ VALLECILLO</t>
  </si>
  <si>
    <t>VICTORIA RUIZ CALVO</t>
  </si>
  <si>
    <t>ISAAC SANCHEZ GOMEZ</t>
  </si>
  <si>
    <t>ELEANI SEGURA VENEGAS</t>
  </si>
  <si>
    <t>AMANDA VARGAS MATAMOROS</t>
  </si>
  <si>
    <t>MATHIAS ZAPATA CHAVARRIA</t>
  </si>
  <si>
    <t>KEYDAN ALVAREZ SOTO</t>
  </si>
  <si>
    <t>NAZARETH BALTODANO LOPEZ</t>
  </si>
  <si>
    <t>ZOE CAMPOS GUZMAN</t>
  </si>
  <si>
    <t>GENESIS CARVAJAL GOMEZ</t>
  </si>
  <si>
    <t>FABRICIO CHACON SALAS</t>
  </si>
  <si>
    <t>2-0940-0995</t>
  </si>
  <si>
    <t>JOSEPH CHAVARRIA GONZALEZ</t>
  </si>
  <si>
    <t>AARON DURAN ARAYA</t>
  </si>
  <si>
    <t>NEYTHAN GARCIA VALVERDE</t>
  </si>
  <si>
    <t>SOFIA GUTIERREZ HERNANDEZ</t>
  </si>
  <si>
    <t>TYRON LOPEZ CORRALES</t>
  </si>
  <si>
    <t>ERICK MOLINA SERRANO</t>
  </si>
  <si>
    <t>BEATRIZ OROZCO ALEGRIA</t>
  </si>
  <si>
    <t>2-0966-0857</t>
  </si>
  <si>
    <t>ALESSANDRO PICADO SANCHEZ</t>
  </si>
  <si>
    <t>JANIER RAYO LUQUEZ</t>
  </si>
  <si>
    <t>IKER SUAZO GUTIERREZ</t>
  </si>
  <si>
    <t>CALETH VELAZQUEZ PEREZ</t>
  </si>
  <si>
    <t>ALLISON VILLALOBOS CASTRO</t>
  </si>
  <si>
    <t>ISAAC ARIAS SIBAJA</t>
  </si>
  <si>
    <t>JUAN CALVO ACUÑA</t>
  </si>
  <si>
    <t>MARLON CASTILLO CASTRO</t>
  </si>
  <si>
    <t>7-0354-0028</t>
  </si>
  <si>
    <t>STAYCI CHAVES BLANDON</t>
  </si>
  <si>
    <t>SHANTAL CORDERO AMPIE</t>
  </si>
  <si>
    <t>VALENTINA FERNANDEZ NUÑEZ</t>
  </si>
  <si>
    <t>ISABELLA GONZALEZ MIRANDA</t>
  </si>
  <si>
    <t>EMILIANO JIMENEZ RODRIGUEZ</t>
  </si>
  <si>
    <t>SOFIA MARTINEZ SANCHEZ</t>
  </si>
  <si>
    <t>GUSTAVO MORALES MURILLO</t>
  </si>
  <si>
    <t>MATIAS PEREZ VARELA</t>
  </si>
  <si>
    <t>GERSON RODRIGUEZ CENTENO</t>
  </si>
  <si>
    <t>NEYTAN RUIZ QUIROS</t>
  </si>
  <si>
    <t>MATTHIW SOZA GONZALEZ</t>
  </si>
  <si>
    <t>BREINER VANEGAS ESPINOZA</t>
  </si>
  <si>
    <t>MONSERRATH VARGAS RODRIGUEZ</t>
  </si>
  <si>
    <t>JEAN BARRANTES OVIEDO</t>
  </si>
  <si>
    <t>2-0957-0256</t>
  </si>
  <si>
    <t>EDUARDO CARRILLO MORALES</t>
  </si>
  <si>
    <t>MARYANGEL CHAVARRIA ARCE</t>
  </si>
  <si>
    <t>JULIO ESPINOZA CASTILLO</t>
  </si>
  <si>
    <t>EIMY GAZO MARTINEZ</t>
  </si>
  <si>
    <t>MARIANGEL GUEVARA CHAVARRIA</t>
  </si>
  <si>
    <t>DYLAN LARA ARCE</t>
  </si>
  <si>
    <t>GENESIS MORA MELENDEZ</t>
  </si>
  <si>
    <t>AXEL OROZCO MARTINEZ</t>
  </si>
  <si>
    <t>ALDO REYES CALVO</t>
  </si>
  <si>
    <t>FARID ROJAS BLANCO</t>
  </si>
  <si>
    <t>NOAH SANCHEZ LOPEZ</t>
  </si>
  <si>
    <t>ANGIE UGALDE MEZA</t>
  </si>
  <si>
    <t>JEREMY VILLALOBOS MURILLO</t>
  </si>
  <si>
    <t>BRITTANY ZUÑIGA CHACON</t>
  </si>
  <si>
    <t>ALEX ACUÑA SANDIGO</t>
  </si>
  <si>
    <t>KENDALL CAMPOS PEREZ</t>
  </si>
  <si>
    <t>ANA DAVILA JAEN</t>
  </si>
  <si>
    <t>4-0291-0147</t>
  </si>
  <si>
    <t>SYLVANA FERNANDEZ SALAZAR</t>
  </si>
  <si>
    <t>BRITTANNY GARCIA ARCE</t>
  </si>
  <si>
    <t>VALENTINA GARCIA ARCE</t>
  </si>
  <si>
    <t>DAVID GONZALEZ ALVAREZ</t>
  </si>
  <si>
    <t>ELEAZAR GUTIERREZ ALEMAN</t>
  </si>
  <si>
    <t>ADAM LUNA MALESPIN</t>
  </si>
  <si>
    <t>SHARON MOLINA VILLALOBOS</t>
  </si>
  <si>
    <t>DERRICK PICADO VILLALTA</t>
  </si>
  <si>
    <t>MAREYLING RODRIGUEZ FLORES</t>
  </si>
  <si>
    <t>MATHIAS SALAS CHAVES</t>
  </si>
  <si>
    <t>IAN SANDOVAL MIRANDA</t>
  </si>
  <si>
    <t>MATIAS VARGAS DELGADO</t>
  </si>
  <si>
    <t>4-0291-0919</t>
  </si>
  <si>
    <t>ISAAC VINDAS HIDALGO</t>
  </si>
  <si>
    <t>BRITANY ALVAREZ CAMPOS</t>
  </si>
  <si>
    <t>FABIAN ARIAS DELGADO</t>
  </si>
  <si>
    <t>DANNIER CASCANTE SALMERON</t>
  </si>
  <si>
    <t>BEBERLY CHAVARRIA NUÑEZ</t>
  </si>
  <si>
    <t>VALERI GONZALEZ CASTILLO</t>
  </si>
  <si>
    <t>ANGEL JIMENEZ HERNANDEZ</t>
  </si>
  <si>
    <t>ISAAC JIMENEZ RODRIGUEZ</t>
  </si>
  <si>
    <t>2-0949-0185</t>
  </si>
  <si>
    <t>ESTEBAN LEON MONGE</t>
  </si>
  <si>
    <t>DHANIER MENA GOMEZ</t>
  </si>
  <si>
    <t>JIMENA ORTIZ ARAYA</t>
  </si>
  <si>
    <t>ANGELO SANCHEZ CAMPOS</t>
  </si>
  <si>
    <t>SEBASTIAN SEGURA GONZALEZ</t>
  </si>
  <si>
    <t>LEONORA SOLANO ARGUEDAS</t>
  </si>
  <si>
    <t>KEVIN UMAÑA CARBALLO</t>
  </si>
  <si>
    <t>KENNETH ZUÑIGA MORA</t>
  </si>
  <si>
    <t>CESIA AGUILAR LEON</t>
  </si>
  <si>
    <t>DANNA ARAYA SANCHEZ</t>
  </si>
  <si>
    <t>JENHSEN BARQUERO MEJIAS</t>
  </si>
  <si>
    <t>SEBASTIAN BARRANTES ESQUIVEL</t>
  </si>
  <si>
    <t>SOFIA CORDOBA SOLANO</t>
  </si>
  <si>
    <t>BRYAN HERNANDEZ CALVO</t>
  </si>
  <si>
    <t>4-0290-0498</t>
  </si>
  <si>
    <t>DYLAN MUÑOZ ULATE</t>
  </si>
  <si>
    <t>SHARON NUÑEZ DURAN</t>
  </si>
  <si>
    <t>ASHLEY PORTUGUEZ ULATE</t>
  </si>
  <si>
    <t>ROLANDO RODRIGUEZ HERRERA</t>
  </si>
  <si>
    <t>BREANCI SALAS ESQUIVEL</t>
  </si>
  <si>
    <t>ARIANNA SEGURA ALFARO</t>
  </si>
  <si>
    <t>IVAN VARGAS ESQUIVEL</t>
  </si>
  <si>
    <t>KENDAL WATSON CORTES</t>
  </si>
  <si>
    <t>VALENTINA ALVAREZ ARAYA</t>
  </si>
  <si>
    <t>CESAR ARIAS SANDOVAL</t>
  </si>
  <si>
    <t>ARIANA BRAVO OVIEDO</t>
  </si>
  <si>
    <t>JESUS CHAVES BADILLA</t>
  </si>
  <si>
    <t>KEYLOR ESQUIVEL MONTERO</t>
  </si>
  <si>
    <t>JOSE GONZALEZ CESPEDES</t>
  </si>
  <si>
    <t>MARIANGEL MELENDEZ FLORES</t>
  </si>
  <si>
    <t>JIMENA MORA SANDI</t>
  </si>
  <si>
    <t>SOLANSH MORA ZUÑIGA</t>
  </si>
  <si>
    <t>ANDREK OVIEDO ALFARO</t>
  </si>
  <si>
    <t>EMERRY REYES RAMIREZ</t>
  </si>
  <si>
    <t>DONOVAN RUBIO SANCHEZ</t>
  </si>
  <si>
    <t>ISAAC SANCHEZ GONZALEZ</t>
  </si>
  <si>
    <t>DYLAN SOLANO SEGURA</t>
  </si>
  <si>
    <t>JOSEPH UMAÑA MATARRITA</t>
  </si>
  <si>
    <t>JOHN VINDAS SANDI</t>
  </si>
  <si>
    <t>SEBASTIAN AGUILAR MUÑOZ</t>
  </si>
  <si>
    <t>ARIELA ARCE ALCAZAR</t>
  </si>
  <si>
    <t>TAMARA BARRIENTOS SALAS</t>
  </si>
  <si>
    <t>XIMENA CASTILLO BARREDA</t>
  </si>
  <si>
    <t>ASHLY DAVILA LOPEZ</t>
  </si>
  <si>
    <t>DILANY GARCIA MONTERO</t>
  </si>
  <si>
    <t>ISIS MONGE CARVAJAL</t>
  </si>
  <si>
    <t>ISAAC MONTERO FLORES</t>
  </si>
  <si>
    <t>ANA MURILLO BASTOS</t>
  </si>
  <si>
    <t>PAMELA NUÑEZ MONTIEL</t>
  </si>
  <si>
    <t>EMMANUEL QUESADA BONILLA</t>
  </si>
  <si>
    <t>KRYSTEL RODRIGUEZ MESEN</t>
  </si>
  <si>
    <t>AARON SOTO RODRIGUEZ</t>
  </si>
  <si>
    <t>VINCENT VARGAS MENA</t>
  </si>
  <si>
    <t>YEREMI ZAMORA VASQUEZ</t>
  </si>
  <si>
    <t>ELIAN ZULETA CORTES</t>
  </si>
  <si>
    <t>GABRIEL ALVAREZ ALVAREZ</t>
  </si>
  <si>
    <t>MARIA ARROYO MOREIRA</t>
  </si>
  <si>
    <t>ERICKA BARRANTES BARRANTES</t>
  </si>
  <si>
    <t>ABRAHAM FERNANDEZ ALVAREZ</t>
  </si>
  <si>
    <t>ARGERY GONZALEZ CHINCHILLA</t>
  </si>
  <si>
    <t>LARISSA MENDEZ GONZALEZ</t>
  </si>
  <si>
    <t>YELSIN MORALES FLORES</t>
  </si>
  <si>
    <t>ARIANA PANIAGUA MORALES</t>
  </si>
  <si>
    <t>ANDERSON RIVAS BALTODANO</t>
  </si>
  <si>
    <t>KISHA RUIZ CESPEDES</t>
  </si>
  <si>
    <t>SEBASTIAN SALAS VASQUEZ</t>
  </si>
  <si>
    <t>JESUS SANCHEZ RODRIGUEZ</t>
  </si>
  <si>
    <t>DANIELA UMAÑA RODRIGUEZ</t>
  </si>
  <si>
    <t>JOSEPH VILCHEZ CHAVARRIA</t>
  </si>
  <si>
    <t>PILAR ALFARO AGUILAR</t>
  </si>
  <si>
    <t>NICOLAS ARCE ALFARO</t>
  </si>
  <si>
    <t>CALEB BATRES ESQUIVEL</t>
  </si>
  <si>
    <t>HALLEY CASTILLO LOPEZ</t>
  </si>
  <si>
    <t>KATHERINE DAVILA MARTINEZ</t>
  </si>
  <si>
    <t>BRYAN FERNANDEZ MORA</t>
  </si>
  <si>
    <t>JEXON GARCIA SEVILLA</t>
  </si>
  <si>
    <t>EDWARD HERNANDEZ RETANA</t>
  </si>
  <si>
    <t>ARANZA MARIN OVIEDO</t>
  </si>
  <si>
    <t>JOHN NUÑEZ NAVARRO</t>
  </si>
  <si>
    <t>ARIANY QUESADA CORTEZ</t>
  </si>
  <si>
    <t>ELIAS ROJAS ACUÑA</t>
  </si>
  <si>
    <t>MARIA SALAZAR BADILLA</t>
  </si>
  <si>
    <t>EMILY SEGURA GARCIA</t>
  </si>
  <si>
    <t>LEONOR SPENCE CAMPOS</t>
  </si>
  <si>
    <t>MARIA VARGAS QUESADA</t>
  </si>
  <si>
    <t>ANGIE ALVAREZ CASTRO</t>
  </si>
  <si>
    <t>VALERY ARROYO PORRAS</t>
  </si>
  <si>
    <t>DYLAN CAAMAÑO MORA</t>
  </si>
  <si>
    <t>YAZID CHAVES MORENO</t>
  </si>
  <si>
    <t>DANIEL FERNANDEZ GOMEZ</t>
  </si>
  <si>
    <t>DARIEL GONZALEZ MEZA</t>
  </si>
  <si>
    <t>KRISTELL LEIVA TREJOS</t>
  </si>
  <si>
    <t>GENESIS MENDOZA RODRIGUEZ</t>
  </si>
  <si>
    <t>JACOB MORALES ROSALES</t>
  </si>
  <si>
    <t>RADLEY ROJAS ALVAREZ</t>
  </si>
  <si>
    <t>MICHELLE SANCHEZ SALAS</t>
  </si>
  <si>
    <t>MATEO SOLERA MONGE</t>
  </si>
  <si>
    <t>PEDRO SOLERA MONGE</t>
  </si>
  <si>
    <t>ISABEL UREÑA VARGAS</t>
  </si>
  <si>
    <t>MARIA VILLALOBOS CABRERA</t>
  </si>
  <si>
    <t>GENESIS ALFARO MURILLO</t>
  </si>
  <si>
    <t>MATIAS ARCE MONTERO</t>
  </si>
  <si>
    <t>SANTIAGO BRIZUELA CHACON</t>
  </si>
  <si>
    <t>YULIANA CESPEDES GONZALEZ</t>
  </si>
  <si>
    <t>SEBASTIAN HERRERA CALVO</t>
  </si>
  <si>
    <t>SOFIA MARTINEZ VARGAS</t>
  </si>
  <si>
    <t>SAMIR MONTES BERMUDEZ</t>
  </si>
  <si>
    <t>YIRLANY MONTES BERMUDEZ</t>
  </si>
  <si>
    <t>HILLARY NUÑEZ SOTO</t>
  </si>
  <si>
    <t>DERECK RAMIREZ MARIN</t>
  </si>
  <si>
    <t>NATASHA ROBLETO GAITAN</t>
  </si>
  <si>
    <t>RACHEL SALAZAR PADILLA</t>
  </si>
  <si>
    <t>DOMINICK SUAREZ DIAZ</t>
  </si>
  <si>
    <t>MATIAS ALVAREZ JIMENEZ</t>
  </si>
  <si>
    <t>FIORELLA AVALOS GONZALEZ</t>
  </si>
  <si>
    <t>EDRIAN CALVO MORA</t>
  </si>
  <si>
    <t>MATIAS CHAVES RIVERS</t>
  </si>
  <si>
    <t>EITHAN FERNANDEZ MIRANDA</t>
  </si>
  <si>
    <t>VALERIA GONZALEZ RODRIGUEZ</t>
  </si>
  <si>
    <t>ORIANA LIZANO PORRAS</t>
  </si>
  <si>
    <t>FABRICIO MESEN GUTIERREZ</t>
  </si>
  <si>
    <t>ANGIE MOREIRA SALAS</t>
  </si>
  <si>
    <t>STEFFANY PEREIRA ROJAS</t>
  </si>
  <si>
    <t>JULIANNA ROCHA OVIEDO</t>
  </si>
  <si>
    <t>KIANY RUIZ GUZMAN</t>
  </si>
  <si>
    <t>ADRIEL SANCHEZ ZELEDON</t>
  </si>
  <si>
    <t>MATHIAS SOLIS CHACON</t>
  </si>
  <si>
    <t>EMILY VADO CASTRO</t>
  </si>
  <si>
    <t>ADRIEL VILLALOBOS GAMBOA</t>
  </si>
  <si>
    <t>JOSE ALVARADO ACHIO</t>
  </si>
  <si>
    <t>EMILIANO ARIAS ALFARO</t>
  </si>
  <si>
    <t>NAHOMY BOLAÑOS MORA</t>
  </si>
  <si>
    <t>DAYANA CESPEDES NUÑEZ</t>
  </si>
  <si>
    <t>TYLER EDUARTE GARRO</t>
  </si>
  <si>
    <t>CRISTIAN FALLAS BLANDON</t>
  </si>
  <si>
    <t>RITZIANNY NUÑEZ TENORIO</t>
  </si>
  <si>
    <t>DOMINICK SALAZAR VILLEGAS</t>
  </si>
  <si>
    <t>LUIS SEGURA JIMENEZ</t>
  </si>
  <si>
    <t>MARYPAZ SEGURA SEGURA</t>
  </si>
  <si>
    <t>YAZARI ULLOA MEZA</t>
  </si>
  <si>
    <t>NATALIA VASQUEZ MERCADO</t>
  </si>
  <si>
    <t>VALENTINA VILCHEZ ALVARADO</t>
  </si>
  <si>
    <t>HANNA VILLALOBOS PEREZ</t>
  </si>
  <si>
    <t>RUTH ZUÑIGA GUILLEN</t>
  </si>
  <si>
    <t>KENDALL ALVAREZ LOAIZA</t>
  </si>
  <si>
    <t>WINDEL AVILA ARAYA</t>
  </si>
  <si>
    <t>CARLOS CAMACHO SAMUDIO</t>
  </si>
  <si>
    <t>VALERIA CHAVES SIRIAS</t>
  </si>
  <si>
    <t>GABRIEL GOMEZ RODRIGUEZ</t>
  </si>
  <si>
    <t>JUYMAN GUARDADO MADRIZ</t>
  </si>
  <si>
    <t>SAMUEL MATA GONZALEZ</t>
  </si>
  <si>
    <t>MATIAS RAMIREZ OVIEDO</t>
  </si>
  <si>
    <t>ARIANA RUIZ RODRIGUEZ</t>
  </si>
  <si>
    <t>KALEB SANCHO GONZALEZ</t>
  </si>
  <si>
    <t>DIEGO SOLORZANO ARIAS</t>
  </si>
  <si>
    <t>FABIOLA SUAZO LOPEZ</t>
  </si>
  <si>
    <t>LUNA VARELA CONEJO</t>
  </si>
  <si>
    <t>NATALIA VASQUEZ PALACIOS</t>
  </si>
  <si>
    <t>MATHIAS ZUMBADO ESQUIVEL</t>
  </si>
  <si>
    <t>REMZO ZUMBADO ESQUIVEL</t>
  </si>
  <si>
    <t>SAMUEL ALVARADO VALVERDE</t>
  </si>
  <si>
    <t>DANIELA BONILLA CESPEDES</t>
  </si>
  <si>
    <t>JOLETT ESPINOZA ABARCA</t>
  </si>
  <si>
    <t>KARINA GONZALEZ CARBALLO</t>
  </si>
  <si>
    <t>4-0288-0022</t>
  </si>
  <si>
    <t>MELANY JARA RODRIGUEZ</t>
  </si>
  <si>
    <t>MILTON JIMENEZ CARRANZA</t>
  </si>
  <si>
    <t>KATHERINE MATAMOROS CASTILLO</t>
  </si>
  <si>
    <t>MATHIAS MORA CALVO</t>
  </si>
  <si>
    <t>JOSELLINE OBANDO RODRIGUEZ</t>
  </si>
  <si>
    <t>RONALD PEREZ MEZA</t>
  </si>
  <si>
    <t>ANDRES RAMIREZ MONGE</t>
  </si>
  <si>
    <t>JEFFERSON RODRIGUEZ ARTAVIA</t>
  </si>
  <si>
    <t>ITHAN ROJAS VILLALOBOS</t>
  </si>
  <si>
    <t>KRISTEL ROSALES GONZALEZ</t>
  </si>
  <si>
    <t>JOSE AVILES ESPINOSA</t>
  </si>
  <si>
    <t>ARWEN BONILLA PALACIOS</t>
  </si>
  <si>
    <t>SANTIAGO CHACON ALFARO</t>
  </si>
  <si>
    <t>SAMIRA COOPER CRUZ</t>
  </si>
  <si>
    <t>ALLEN FONSECA CHAVES</t>
  </si>
  <si>
    <t>DANA GUEVARA GUEVARA</t>
  </si>
  <si>
    <t>SANTIAGO LOPEZ PICADO</t>
  </si>
  <si>
    <t>ALEJANDRO MIRANDA ARAYA</t>
  </si>
  <si>
    <t>SIMON MIRANDA SANCHO</t>
  </si>
  <si>
    <t>YIRLANY PICADO HERNANDEZ</t>
  </si>
  <si>
    <t>ADRIAN RODRIGUEZ CARBALLO</t>
  </si>
  <si>
    <t>4-0293-0471</t>
  </si>
  <si>
    <t>LEANDRO RODRIGUEZ SALAZAR</t>
  </si>
  <si>
    <t>FABIOLA SALAS BRENES</t>
  </si>
  <si>
    <t>KENDALL SANDI ARGUEDAS</t>
  </si>
  <si>
    <t>JOHAN SOTO CUBERO</t>
  </si>
  <si>
    <t>JHOSUA ALVAREZ JIMENEZ</t>
  </si>
  <si>
    <t>DEREK ARIAS ALFARO</t>
  </si>
  <si>
    <t>LAUREN CAMACHO MORA</t>
  </si>
  <si>
    <t>RUBI CASTRO GONZALEZ</t>
  </si>
  <si>
    <t>FELIPE ESQUIVEL ROJAS</t>
  </si>
  <si>
    <t>JOHN GOMEZ GUEVARA</t>
  </si>
  <si>
    <t>YURGUEN HERNANDEZ MONGE</t>
  </si>
  <si>
    <t>FABIANA MARIN JIMENEZ</t>
  </si>
  <si>
    <t>2-0910-0455</t>
  </si>
  <si>
    <t>MARYAN MARTINEZ ORDEÑANA</t>
  </si>
  <si>
    <t>FABIOLA MENDOZA MONTERO</t>
  </si>
  <si>
    <t>LIBNI MOREIRA CALERO</t>
  </si>
  <si>
    <t>SAMUEL MOREIRA CALERO</t>
  </si>
  <si>
    <t>EMILY PALACIOS ROJAS</t>
  </si>
  <si>
    <t>2-0912-0140</t>
  </si>
  <si>
    <t>IAN RODRIGUEZ ROJO</t>
  </si>
  <si>
    <t>DENILSON ROJAS UGALDE</t>
  </si>
  <si>
    <t>AARON SIBAJA BONILLA</t>
  </si>
  <si>
    <t>NAZARETH BERROCAL MONTERO</t>
  </si>
  <si>
    <t>TAMARA CENTENO BARRANTES</t>
  </si>
  <si>
    <t>MARIA GUILLEN CASTRO</t>
  </si>
  <si>
    <t>AXEL JIMENEZ MENDEZ</t>
  </si>
  <si>
    <t>RASHELL MARTINEZ SANCHEZ</t>
  </si>
  <si>
    <t>DIEGO MONTERO BARRANTES</t>
  </si>
  <si>
    <t>ARIANA NAVARRO PADILLA</t>
  </si>
  <si>
    <t>ASHLEY QUIROS MORA</t>
  </si>
  <si>
    <t>PABLO QUIROS RAMIREZ</t>
  </si>
  <si>
    <t>2-0902-0531</t>
  </si>
  <si>
    <t>DIXON QUIROS ZUÑIGA</t>
  </si>
  <si>
    <t>ASHLEY RODRIGUEZ LUNA</t>
  </si>
  <si>
    <t>SAMANTHA SALAZAR VIQUEZ</t>
  </si>
  <si>
    <t>SEBASTIAN VEGA LOPEZ</t>
  </si>
  <si>
    <t>KENNETH ZAMORA RODRIGUEZ</t>
  </si>
  <si>
    <t>NICOLAS ZUÑIGA CORTES</t>
  </si>
  <si>
    <t>JOSE AGUILAR ESQUIVEL</t>
  </si>
  <si>
    <t>ANDRES ARIAS ZUÑIGA</t>
  </si>
  <si>
    <t>AYKEL ARTAVIA ARAYA</t>
  </si>
  <si>
    <t>NICOLE CAMBRONERO CESPEDES</t>
  </si>
  <si>
    <t>ALANA CESPEDES UGALDE</t>
  </si>
  <si>
    <t>LINDSEY DIAZ CABRERA</t>
  </si>
  <si>
    <t>ALEX GONZALEZ MORA</t>
  </si>
  <si>
    <t>MARIA HERNANDEZ MORA</t>
  </si>
  <si>
    <t>IAN JIMENEZ ZAMORA</t>
  </si>
  <si>
    <t>SAMANTHA MESEN SALAZAR</t>
  </si>
  <si>
    <t>DYLAN PEREZ GOMEZ</t>
  </si>
  <si>
    <t>SARA RODRIGUEZ ARAYA</t>
  </si>
  <si>
    <t>MARIANA ROJAS ZUMBADO</t>
  </si>
  <si>
    <t>KIMBERLY SILVA RUIZ</t>
  </si>
  <si>
    <t>ABIGAIL VENEGAS SOLANO</t>
  </si>
  <si>
    <t>DANNA BERROCAL SEGURA</t>
  </si>
  <si>
    <t>BIANCA CARVAJAL FERNANDEZ</t>
  </si>
  <si>
    <t>SEBASTIAN CHAVES ARAYA</t>
  </si>
  <si>
    <t>DENNET FERNANDEZ GOMEZ</t>
  </si>
  <si>
    <t>2-0929-0171</t>
  </si>
  <si>
    <t>HANKAN GARSIA BLANDON</t>
  </si>
  <si>
    <t>JONATHAN GUTIERREZ ESCOTO</t>
  </si>
  <si>
    <t>GAEL JIMENEZ MIRANDA</t>
  </si>
  <si>
    <t>JORDY MARTINEZ UMAÑA</t>
  </si>
  <si>
    <t>NICOLAS NUÑEZ CHAVES</t>
  </si>
  <si>
    <t>ASHLY QUIROS PEREZ</t>
  </si>
  <si>
    <t>ARIANA RODRIGUEZ SANCHEZ</t>
  </si>
  <si>
    <t>MATHIAS UGALDE CORTES</t>
  </si>
  <si>
    <t>MARIANGEL ZUÑIGA PANIAGUA</t>
  </si>
  <si>
    <t>ARIADNE ALVARADO SALAS</t>
  </si>
  <si>
    <t>JOSUE ARIAS ROJAS</t>
  </si>
  <si>
    <t>ALEJANDRO ARROYO DELGADO</t>
  </si>
  <si>
    <t>TAMARA CAMPOS BRENES</t>
  </si>
  <si>
    <t>MATHIAS CHACON LOBO</t>
  </si>
  <si>
    <t>DAVID HERNANDEZ RETANA</t>
  </si>
  <si>
    <t>ALLISON JIMENEZ ARAYA</t>
  </si>
  <si>
    <t>NAOMY MESEN VARGAS</t>
  </si>
  <si>
    <t>VALERY MESEN VARGAS</t>
  </si>
  <si>
    <t>EMILY MORERA MONTERO</t>
  </si>
  <si>
    <t>JOSUE RUIZ GONZALEZ</t>
  </si>
  <si>
    <t>2-0935-0976</t>
  </si>
  <si>
    <t>MARIAM SANCHEZ ULLOA</t>
  </si>
  <si>
    <t>KEVIN VILLALOBOS CAMPOS</t>
  </si>
  <si>
    <t>FRANCO ZUÑIGA VALLE</t>
  </si>
  <si>
    <t>SANTIAGO ALVAREZ CHAVARRIA</t>
  </si>
  <si>
    <t>AXEL ALVAREZ LOPEZ</t>
  </si>
  <si>
    <t>2-0928-0085</t>
  </si>
  <si>
    <t>KYARA CAMBRONERO MOYA</t>
  </si>
  <si>
    <t>BRANDON CARVAJAL ROBLES</t>
  </si>
  <si>
    <t>DAIMARELI CHAVES DELGADO</t>
  </si>
  <si>
    <t>FABIAN FALLAS CAMPOS</t>
  </si>
  <si>
    <t>KAROL FERNANDEZ FERNANDEZ</t>
  </si>
  <si>
    <t>IAN GUTIERREZ ZAMORA</t>
  </si>
  <si>
    <t>FIORELA HERNANDEZ GARBANZO</t>
  </si>
  <si>
    <t>DARIANY JIMENEZ MONTERO</t>
  </si>
  <si>
    <t>ALINA JIMENEZ RAMIREZ</t>
  </si>
  <si>
    <t>DYLAN MAYORGA LOPEZ</t>
  </si>
  <si>
    <t>EVANYELI MONTERO SIBAJA</t>
  </si>
  <si>
    <t>YARETH NUÑEZ SIBAJA</t>
  </si>
  <si>
    <t>JOHAN RODRIGUEZ TREJOS</t>
  </si>
  <si>
    <t>YULIANA ALFARO HERNANDEZ</t>
  </si>
  <si>
    <t>VALERIA ARROYO PEREZ</t>
  </si>
  <si>
    <t>YENDEL CAMPOS CONEJO</t>
  </si>
  <si>
    <t>BRENDA CHANG MORALES</t>
  </si>
  <si>
    <t>HILLARY CHAVES RIVERS</t>
  </si>
  <si>
    <t>ARON GONZALEZ CHACON</t>
  </si>
  <si>
    <t>EYNGEL HERRERA CAMPOS</t>
  </si>
  <si>
    <t>KEISY LOPEZ DIAZ</t>
  </si>
  <si>
    <t>ANDREW MOREIRA UMAÑA</t>
  </si>
  <si>
    <t>SANTIAGO PEREZ MOLINA</t>
  </si>
  <si>
    <t>JIMENA PEREZ ZUÑIGA</t>
  </si>
  <si>
    <t>ISMAEL RODRIGUEZ BARRANTES</t>
  </si>
  <si>
    <t>JEREMY RODRIGUEZ BARRIENTOS</t>
  </si>
  <si>
    <t>FIORELLA SALAS BOGANTES</t>
  </si>
  <si>
    <t>ENZO SOLERA CACCIUTTOLO</t>
  </si>
  <si>
    <t>IGNACIO ALVAREZ SOTO</t>
  </si>
  <si>
    <t>MARY CHAVES SALAS</t>
  </si>
  <si>
    <t>ADRIEL FLORES SEGURA</t>
  </si>
  <si>
    <t>ISAAC GUZMAN BRENES</t>
  </si>
  <si>
    <t>PAMELA JIMENEZ PANIAGUA</t>
  </si>
  <si>
    <t>ALLISON MEDRANO BERROCAL</t>
  </si>
  <si>
    <t>BRITTANY MONTOYA PEREZ</t>
  </si>
  <si>
    <t>SANTIAGO OPORTA REYES</t>
  </si>
  <si>
    <t>MARIA ROJAS BRENES</t>
  </si>
  <si>
    <t>INDIRA SANCHEZ GONZALEZ</t>
  </si>
  <si>
    <t>MATIAS UREÑA VARGAS</t>
  </si>
  <si>
    <t>FRANCINY VARGAS ARGUEDAS</t>
  </si>
  <si>
    <t>ANGELY VILLEGAS SALAS</t>
  </si>
  <si>
    <t>MARLEN ALFARO SALMERON</t>
  </si>
  <si>
    <t>FABIAN CAMPOS MIRANDA</t>
  </si>
  <si>
    <t>NATALIA CARRION RAMIREZ</t>
  </si>
  <si>
    <t>ASTRID CHAVARRIA HERNANDEZ</t>
  </si>
  <si>
    <t>JUAN HIDALGO MORALES</t>
  </si>
  <si>
    <t>DANIEL MADRIZ CASTILLO</t>
  </si>
  <si>
    <t>VALERIA MEZA PARRALES</t>
  </si>
  <si>
    <t>KALED MONTERO ESQUIVEL</t>
  </si>
  <si>
    <t>BRANDON MORERA QUIROS</t>
  </si>
  <si>
    <t>GISELLE PILARTE MARCIA</t>
  </si>
  <si>
    <t>IAN RODRIGUEZ GARCIA</t>
  </si>
  <si>
    <t>JIMENA SALAS VILLALOBOS</t>
  </si>
  <si>
    <t>MELISSA VIQUEZ VIQUEZ</t>
  </si>
  <si>
    <t>YULISA VIQUEZ VIQUEZ</t>
  </si>
  <si>
    <t>LINCY AMADOR ARCE</t>
  </si>
  <si>
    <t>2-0929-0997</t>
  </si>
  <si>
    <t>OMAR ARAYA URBINA</t>
  </si>
  <si>
    <t>KENNY CASTILLO FERNANDEZ</t>
  </si>
  <si>
    <t>DANNA CORDERO ROJAS</t>
  </si>
  <si>
    <t>ASHLY MEJIAS MENDEZ</t>
  </si>
  <si>
    <t>ANA MORA LOPEZ</t>
  </si>
  <si>
    <t>FABIOLA ORTIZ VALERIO</t>
  </si>
  <si>
    <t>EZEQUIEL RAMIREZ DIAZ</t>
  </si>
  <si>
    <t>ARIEL SANCHEZ ABARCA</t>
  </si>
  <si>
    <t>MATIAS SANCHO SANCHEZ</t>
  </si>
  <si>
    <t>IGNASIO SOLIS CARAZO</t>
  </si>
  <si>
    <t>GABRIEL SUAREZ ROBLES</t>
  </si>
  <si>
    <t>GERALD URBINA MACHADO</t>
  </si>
  <si>
    <t>JOHANA ALVAREZ ARAYA</t>
  </si>
  <si>
    <t>SHERIL ALVAREZ ARAYA</t>
  </si>
  <si>
    <t>1-2072-0903</t>
  </si>
  <si>
    <t>BIANKA BALLESTERO ARIAS</t>
  </si>
  <si>
    <t>JANNELY BARRANTES MASIS</t>
  </si>
  <si>
    <t>CALEB CHAVARRIA OBREGON</t>
  </si>
  <si>
    <t>ANDERSON GONZALEZ RODRIGUEZ</t>
  </si>
  <si>
    <t>ANDRES JIMENEZ JIMENEZ</t>
  </si>
  <si>
    <t>GABRIEL MARIN JIMENEZ</t>
  </si>
  <si>
    <t>SERGIO MIJANGO GONZALEZ</t>
  </si>
  <si>
    <t>GABRIEL PORRAS CABEZAS</t>
  </si>
  <si>
    <t>MARIANO RODRIGUEZ GOMEZ</t>
  </si>
  <si>
    <t>MEISEL SALAZAR CORRALES</t>
  </si>
  <si>
    <t>ELIAN SOLORZANO VALLECILLO</t>
  </si>
  <si>
    <t>DILAN CORDOBA CESPEDES</t>
  </si>
  <si>
    <t>KENDALL GARCIA MORA</t>
  </si>
  <si>
    <t>4-0288-0214</t>
  </si>
  <si>
    <t>SHARON HERNANDEZ CESPEDES</t>
  </si>
  <si>
    <t>JAQUELINE HERNANDEZ MARADIAGA</t>
  </si>
  <si>
    <t>ISMAEL JIMENEZ RUIZ</t>
  </si>
  <si>
    <t>SEBASTIAN MENA VEGA</t>
  </si>
  <si>
    <t>DYLAN MORALES RODRIGUEZ</t>
  </si>
  <si>
    <t>KRISTEL OVARES VILLEGAS</t>
  </si>
  <si>
    <t>KAMILE RAMOS ARTAVIA</t>
  </si>
  <si>
    <t>JONATAN ROJAS LOPEZ</t>
  </si>
  <si>
    <t>KIRK SEGURA ALVAREZ</t>
  </si>
  <si>
    <t>MARIA VARGAS MEZA</t>
  </si>
  <si>
    <t>VALENTINA VARGAS MEZA</t>
  </si>
  <si>
    <t>MARIANGEL BARRANTES MONTERO</t>
  </si>
  <si>
    <t>JULIAN CHAVARRIA RODRIGUEZ</t>
  </si>
  <si>
    <t>SAMUEL CHAVARRIA VARGAS</t>
  </si>
  <si>
    <t>CALEB FERNANDEZ BOLAÑOS</t>
  </si>
  <si>
    <t>LUCIANO GONZALEZ SANCHEZ</t>
  </si>
  <si>
    <t>ASHLYE JIMENEZ MENDEZ</t>
  </si>
  <si>
    <t>GABRIEL MARTINEZ LOPEZ</t>
  </si>
  <si>
    <t>EVANS MOLINA RUIZ</t>
  </si>
  <si>
    <t>KATTYE QUESADA CHAVES</t>
  </si>
  <si>
    <t>MATHIAS RODRIGUEZ HUERTAS</t>
  </si>
  <si>
    <t>YAINDEN SALAZAR SALAS</t>
  </si>
  <si>
    <t>JUSTIN SOZA LUMBIZ</t>
  </si>
  <si>
    <t>4-0287-0301</t>
  </si>
  <si>
    <t>MARIANA VARGAS SOLANO</t>
  </si>
  <si>
    <t>VALERIA ARIAS OVIEDO</t>
  </si>
  <si>
    <t>JEFERSON CALVO SALAS</t>
  </si>
  <si>
    <t>JERSON CALVO SALAS</t>
  </si>
  <si>
    <t>KRISTEL CASTRO JIMENEZ</t>
  </si>
  <si>
    <t>YOREL CRUZ SOLERA</t>
  </si>
  <si>
    <t>NORYERI GOMEZ ALVAREZ</t>
  </si>
  <si>
    <t>BRITTANY HERNANDEZ MIRANDA</t>
  </si>
  <si>
    <t>SANTIAGO JIMENEZ VARGAS</t>
  </si>
  <si>
    <t>SEBASTIAN MENDEZ GONZALEZ</t>
  </si>
  <si>
    <t>HILARY MOREIRA BADILLA</t>
  </si>
  <si>
    <t>SANTIAGO OVIEDO CAMACHO</t>
  </si>
  <si>
    <t>BRITNEY SALAS ACEVEDO</t>
  </si>
  <si>
    <t>FERNANDA SEGURA ARIAS</t>
  </si>
  <si>
    <t>ELIZABETH GALEANO JARQUIN</t>
  </si>
  <si>
    <t>MATHIAS MENDEZ CAMPOS</t>
  </si>
  <si>
    <t>BREYNER MEZA SOLANO</t>
  </si>
  <si>
    <t>ANGELO MORA SANDI</t>
  </si>
  <si>
    <t>DILAN NAVARRETE SIBAJA</t>
  </si>
  <si>
    <t>MAYKEL RIVAS GONZALEZ</t>
  </si>
  <si>
    <t>JASIRY SANCHEZ ARIAS</t>
  </si>
  <si>
    <t>MATIAS UMAÑA HERNANDEZ</t>
  </si>
  <si>
    <t>AMBERLY ALFARO CARDENAS</t>
  </si>
  <si>
    <t>DERECK BATRES ESQUIVEL</t>
  </si>
  <si>
    <t>BRITTANY FERNANDEZ UGALDE</t>
  </si>
  <si>
    <t>JIUVER GONZALEZ HUETE</t>
  </si>
  <si>
    <t>2-0908-0436</t>
  </si>
  <si>
    <t>KIARA HERNANDEZ RAMIREZ</t>
  </si>
  <si>
    <t>RAICHEL MATAMOROS ULATE</t>
  </si>
  <si>
    <t>NAOMY MEZA CRUZ</t>
  </si>
  <si>
    <t>CELESTE MONGE ESPINOZA</t>
  </si>
  <si>
    <t>155852146619</t>
  </si>
  <si>
    <t>ELIAH NAVARRETE PALACIO</t>
  </si>
  <si>
    <t>SARAHY PEÑA MONTIEL</t>
  </si>
  <si>
    <t>ANDY PEREZ MEZA</t>
  </si>
  <si>
    <t>SOFIA RETANA VARGAS</t>
  </si>
  <si>
    <t>AMANDA RODRIGUEZ MENDOZA</t>
  </si>
  <si>
    <t>VICTORIA SANDI ALVARADO</t>
  </si>
  <si>
    <t>MARIANGEL SEGURA SEGURA</t>
  </si>
  <si>
    <t>YAZMIN TORRES CALVO</t>
  </si>
  <si>
    <t>GENESIS VEGA NARVAEZ</t>
  </si>
  <si>
    <t>ANNIE VILLACHICA UMAÑA</t>
  </si>
  <si>
    <t>URIELKA VIVAS DAVILA</t>
  </si>
  <si>
    <t>SANTIAGO WOO MENDEZ</t>
  </si>
  <si>
    <t>YULISA ANGULO DIAZ</t>
  </si>
  <si>
    <t>TAYRA CARVAJAL BONILLA</t>
  </si>
  <si>
    <t>ALEXA FERNANDEZ CARMONA</t>
  </si>
  <si>
    <t>2-0908-0143</t>
  </si>
  <si>
    <t>ISAACK GONZALEZ VASQUEZ</t>
  </si>
  <si>
    <t>JUAN JIMENEZ RAMIREZ</t>
  </si>
  <si>
    <t>JUAN RODRIGUEZ ARTAVIA</t>
  </si>
  <si>
    <t>MATHIAS VARGAS QUESADA</t>
  </si>
  <si>
    <t>CELESTE VILLALOBOS UMAÑA</t>
  </si>
  <si>
    <t>TAMARA ZUÑIGA VILLALOBOS</t>
  </si>
  <si>
    <t>DANNA ACUÑA FONSECA</t>
  </si>
  <si>
    <t>JIMENA ALVARADO RAMIREZ</t>
  </si>
  <si>
    <t>ESTEBAN ALVAREZ DELGADO</t>
  </si>
  <si>
    <t>LEONARDO ANGULO DIAZ</t>
  </si>
  <si>
    <t>SOFIA BOLAÑOS MOLINA</t>
  </si>
  <si>
    <t>KRISTELL BRENES BRIZUELA</t>
  </si>
  <si>
    <t>MARIA CALVO ACUÑA</t>
  </si>
  <si>
    <t>SHEILA CAMACHO RODRIGUEZ</t>
  </si>
  <si>
    <t>AMANDA CASTRO ARAYA</t>
  </si>
  <si>
    <t>EMILY DAVIS SEGURA</t>
  </si>
  <si>
    <t>NAIMA FLORES CESPEDES</t>
  </si>
  <si>
    <t>AMANDA GONZALEZ RODRIGUEZ</t>
  </si>
  <si>
    <t>JESLYN HERRERA VALVERDE</t>
  </si>
  <si>
    <t>ANDREY JIMENEZ MONTERO</t>
  </si>
  <si>
    <t>KRISTEL MOLINA AVALOS</t>
  </si>
  <si>
    <t>4-0281-0859</t>
  </si>
  <si>
    <t>AXEL MORAGA MORA</t>
  </si>
  <si>
    <t>SEBASTIAN SOLANO SOJO</t>
  </si>
  <si>
    <t>DEBORA TRUJILLO CALDERA</t>
  </si>
  <si>
    <t>CHELSY ZAMORA CHACON</t>
  </si>
  <si>
    <t>MATHIAS ARIAS LEON</t>
  </si>
  <si>
    <t>YARIEL CAMBRONERO ARIAS</t>
  </si>
  <si>
    <t>STEVEN CASTRO VEGA</t>
  </si>
  <si>
    <t>KEYLOR FALLAS RODRIGUEZ</t>
  </si>
  <si>
    <t>LUCIANA FERNANDEZ MIRANDA</t>
  </si>
  <si>
    <t>4-0285-0685</t>
  </si>
  <si>
    <t>CALEB HERRERA VIQUEZ</t>
  </si>
  <si>
    <t>C-3K7G-2LF8</t>
  </si>
  <si>
    <t>LILLY HORMANN MARTHA</t>
  </si>
  <si>
    <t>JESHUA LOPEZ RAMIREZ</t>
  </si>
  <si>
    <t>ABIGAIL MENDEZ DELGADO</t>
  </si>
  <si>
    <t>KIANNY MIRANDA HERNANDEZ</t>
  </si>
  <si>
    <t>FABRICIO MORA GOMEZ</t>
  </si>
  <si>
    <t>GABRIEL OPORTA QUESADA</t>
  </si>
  <si>
    <t>MARIA PRENDAS PEREZ</t>
  </si>
  <si>
    <t>ALLISON RODRIGUEZ MURILLO</t>
  </si>
  <si>
    <t>EMILY ROJAS ZELEDON</t>
  </si>
  <si>
    <t>RAQUEL SANDI ALFARO</t>
  </si>
  <si>
    <t>SHERYL SOTO RODRIGUEZ</t>
  </si>
  <si>
    <t>ANGIE UGALDE ARAYA</t>
  </si>
  <si>
    <t>MANFRED UGALDE SALAS</t>
  </si>
  <si>
    <t>ANTONY VARGAS ESQUIVEL</t>
  </si>
  <si>
    <t>ARAN ACOSTA SALAZAR</t>
  </si>
  <si>
    <t>SCARLET ACUÑA GONZALEZ</t>
  </si>
  <si>
    <t>MATIAS ALVAREZ ALVAREZ</t>
  </si>
  <si>
    <t>SAMUEL ARGUEDAS RODRIGUEZ</t>
  </si>
  <si>
    <t>ALISON BADILLA MONTERO</t>
  </si>
  <si>
    <t>JOCKSAN BENAVIDES BOLAÑOS</t>
  </si>
  <si>
    <t>SEBASTIAN CERDAS VARGAS</t>
  </si>
  <si>
    <t>ROY CESPEDES MUÑOZ</t>
  </si>
  <si>
    <t>KENAN CHAVARRIA BENZA</t>
  </si>
  <si>
    <t>MARIANGEL CHAVARRIA SAENZ</t>
  </si>
  <si>
    <t>AMANDA ESPINOZA RODRIGUEZ</t>
  </si>
  <si>
    <t>KEYLAN GUTIERREZ ALEMAN</t>
  </si>
  <si>
    <t>CARLOS LINARTE PEREZ</t>
  </si>
  <si>
    <t>JEFFRY MARTINEZ LOPEZ</t>
  </si>
  <si>
    <t>SOFIA MONTERO UREÑA</t>
  </si>
  <si>
    <t>GILBERTH MORENO PANIAGUA</t>
  </si>
  <si>
    <t>CALEB RAMIREZ ORTEGA</t>
  </si>
  <si>
    <t>JOSE SANCHEZ CARBALLO</t>
  </si>
  <si>
    <t>MATIAS SOTO PANIAGUA</t>
  </si>
  <si>
    <t>JIMENA VARGAS CARVAJAL</t>
  </si>
  <si>
    <t>BRITANY AGUILAR MORA</t>
  </si>
  <si>
    <t>LUIS ALFARO ARCE</t>
  </si>
  <si>
    <t>SERGIO ARAYA BONILLA</t>
  </si>
  <si>
    <t>ABIGAIL COTO NARVAEZ</t>
  </si>
  <si>
    <t>KEYLOR DIAZ MONTERO</t>
  </si>
  <si>
    <t>NICOLAS FALLAS PORTILLA</t>
  </si>
  <si>
    <t>JUAN GOMEZ RUIZ</t>
  </si>
  <si>
    <t>EMILY GOMEZ UGALDE</t>
  </si>
  <si>
    <t>FIORELLA GUZMAN RODRIGUEZ</t>
  </si>
  <si>
    <t>RACHELL HERRA MEJIA</t>
  </si>
  <si>
    <t>SEBASTIAN MENDEZ CASTRO</t>
  </si>
  <si>
    <t>GABRIEL MORALES NUÑEZ</t>
  </si>
  <si>
    <t>MARIANGEL NUÑEZ CALVO</t>
  </si>
  <si>
    <t>AMANDA NUÑEZ GAMBOA</t>
  </si>
  <si>
    <t>LUZ ROJAS MORENO</t>
  </si>
  <si>
    <t>2-0907-0941</t>
  </si>
  <si>
    <t>JOSEVETH UGALDE ESQUIVEL</t>
  </si>
  <si>
    <t>ESTEFANY UMAÑA CASTRO</t>
  </si>
  <si>
    <t>STARLING VILCHEZ CHAVARRIA</t>
  </si>
  <si>
    <t>LEANDRO ARAYA LEON</t>
  </si>
  <si>
    <t>KIARA ARAYA SOTO</t>
  </si>
  <si>
    <t>SANTIAGO ARAYA VIQUEZ</t>
  </si>
  <si>
    <t>JARED CHACON SANTAMARIA</t>
  </si>
  <si>
    <t>ANGEL ESCAMPINE SALGADO</t>
  </si>
  <si>
    <t>JIMENA LEDEZMA SOLANO</t>
  </si>
  <si>
    <t>FABIAN MERCADO SILVA</t>
  </si>
  <si>
    <t>EMILIANO MORA CARVAJAL</t>
  </si>
  <si>
    <t>SANTIAGO MORALES CASTRO</t>
  </si>
  <si>
    <t>BRYAN RAMIREZ IROLA</t>
  </si>
  <si>
    <t>KEVIN RUIZ MEJIA</t>
  </si>
  <si>
    <t>YEUDY SEGURA JIMENEZ</t>
  </si>
  <si>
    <t>EMMANUEL SOLANO MURILLO</t>
  </si>
  <si>
    <t>ALICIA TINOCO TORREZ</t>
  </si>
  <si>
    <t>ANTHONY VASQUEZ PALACIOS</t>
  </si>
  <si>
    <t>JUSTIN VILLALOBOS CONEJO</t>
  </si>
  <si>
    <t>JACQUELINE VILLALOBOS TENORIO</t>
  </si>
  <si>
    <t>CRISTEL ARAYA ALVARADO</t>
  </si>
  <si>
    <t>YIRE CALERO MORALES</t>
  </si>
  <si>
    <t>JIMENA CAMBRONERO VARGAS</t>
  </si>
  <si>
    <t>ANTHONY CORTES GUTIERREZ</t>
  </si>
  <si>
    <t>GABRIEL GONZALEZ ALVAREZ</t>
  </si>
  <si>
    <t>BASTIAN GONZALEZ PICADO</t>
  </si>
  <si>
    <t>AHSLY HERRERA PANIAGUA</t>
  </si>
  <si>
    <t>SOPHIA LOPEZ BARREDA</t>
  </si>
  <si>
    <t>MARY LOPEZ ORTIZ</t>
  </si>
  <si>
    <t>JEAN MARTINEZ CRUZ</t>
  </si>
  <si>
    <t>ROBERTO OBANDO LOPEZ</t>
  </si>
  <si>
    <t>AMANDA PORRAS ALDANA</t>
  </si>
  <si>
    <t>LUIS SANCHEZ OVIEDO</t>
  </si>
  <si>
    <t>TAIS SOTO SANCHEZ</t>
  </si>
  <si>
    <t>FELIPE TRAÑA GOMEZ</t>
  </si>
  <si>
    <t>JOSUE VALVERDE JIMENEZ</t>
  </si>
  <si>
    <t>FABIOLA ARGUELLO SABAT</t>
  </si>
  <si>
    <t>JOHN CASTRO SANTOS</t>
  </si>
  <si>
    <t>MATIAS HERMES ALFARO</t>
  </si>
  <si>
    <t>AARON MORA ALVARADO</t>
  </si>
  <si>
    <t>RICARDO MORA CARVAJAL</t>
  </si>
  <si>
    <t>EITHAN RODRIGUEZ ESPINOZA</t>
  </si>
  <si>
    <t>MARIA SOLERA VALERIN</t>
  </si>
  <si>
    <t>JEISY VARGAS CHAVARRIA</t>
  </si>
  <si>
    <t>MARCO BRAVO HERRERA</t>
  </si>
  <si>
    <t>DOMINIC CAMPOS DELGADO</t>
  </si>
  <si>
    <t>DANA CARVAJAL CAMACHO</t>
  </si>
  <si>
    <t>JOSE CASCANTE MOLINA</t>
  </si>
  <si>
    <t>EMILY CHAVES MIRANDA</t>
  </si>
  <si>
    <t>NAOMY CHAVES ROJAS</t>
  </si>
  <si>
    <t>MARIEL FERNANDEZ TREJOS</t>
  </si>
  <si>
    <t>ALESSANDRO GONZALEZ JIMENEZ</t>
  </si>
  <si>
    <t>ISHMAEL GUTIERREZ CUARESMA</t>
  </si>
  <si>
    <t>GABRIEL HERRERA FERNANDEZ</t>
  </si>
  <si>
    <t>STACY JIMENEZ JIMENEZ</t>
  </si>
  <si>
    <t>AVRIL MORA ALFARO</t>
  </si>
  <si>
    <t>JOSE ORELLANA TORRES</t>
  </si>
  <si>
    <t>TIFANNY OTOYA MATUS</t>
  </si>
  <si>
    <t>MARY OVIEDO SALAZAR</t>
  </si>
  <si>
    <t>SARAY QUESADA BONILLA</t>
  </si>
  <si>
    <t>NICOLAS RODRIGUEZ CAMACHO</t>
  </si>
  <si>
    <t>JOSE ALVARADO VALVERDE</t>
  </si>
  <si>
    <t>DERECK BRENES ACUÑA</t>
  </si>
  <si>
    <t>HILLARY CHAVARRIA RODRIGUEZ</t>
  </si>
  <si>
    <t>JOHEL ESCOTO LUNA</t>
  </si>
  <si>
    <t>SEBASTIAN FERNANDEZ GAMBOA</t>
  </si>
  <si>
    <t>MATIAS GARCIA MONTERO</t>
  </si>
  <si>
    <t>YARET GRANADOS VELAZQUEZ</t>
  </si>
  <si>
    <t>CHRISTOPER HERNANDEZ MORA</t>
  </si>
  <si>
    <t>LARISSA MARIN JIMENEZ</t>
  </si>
  <si>
    <t>GABRIEL NUÑEZ SALAS</t>
  </si>
  <si>
    <t>2-0912-0753</t>
  </si>
  <si>
    <t>CHRISTOPHER OVIEDO RAMIREZ</t>
  </si>
  <si>
    <t>ARTURO PANIAGUA SALAZAR</t>
  </si>
  <si>
    <t>FRANCELLA RIVERA TERCERO</t>
  </si>
  <si>
    <t>KEYLOR RODRIGUEZ LARA</t>
  </si>
  <si>
    <t>VALERIA SANDOVAL ALFARO</t>
  </si>
  <si>
    <t>JOSUE SIRIAS RODRIGUEZ</t>
  </si>
  <si>
    <t>IRVYN VANEGAS VARGAS</t>
  </si>
  <si>
    <t>JOSE VELASQUEZ PEREZ</t>
  </si>
  <si>
    <t>MANASES ALVARADO ESPINOZA</t>
  </si>
  <si>
    <t>MARIA ALVARADO GONZALEZ</t>
  </si>
  <si>
    <t>BRANDON ALVAREZ CESPEDES</t>
  </si>
  <si>
    <t>DAYANNA ALZATE CASTRILLON</t>
  </si>
  <si>
    <t>DANIEL AVALOS GONZALEZ</t>
  </si>
  <si>
    <t>NEISMY CASCANTE SALMERON</t>
  </si>
  <si>
    <t>SHEYDIS FERNANDEZ MONTERO</t>
  </si>
  <si>
    <t>LEONIDAS GUZMAN BRENES</t>
  </si>
  <si>
    <t>ABIGAIL HIDALGO VALVERDE</t>
  </si>
  <si>
    <t>GENESIS MARTINEZ CRUZ</t>
  </si>
  <si>
    <t>MARIA MENDEZ ARAYA</t>
  </si>
  <si>
    <t>STACY MESEN SALAZAR</t>
  </si>
  <si>
    <t>JAFETH MUÑOZ ULATE</t>
  </si>
  <si>
    <t>ASHLEY SOLANO ESCOTO</t>
  </si>
  <si>
    <t>DAMNEE ULLOA ARGUEDAS</t>
  </si>
  <si>
    <t>DAVID VARGAS LINARES</t>
  </si>
  <si>
    <t>STIBALY VARGAS MONTERO</t>
  </si>
  <si>
    <t>ASIEL ALFARO CARRION</t>
  </si>
  <si>
    <t>JESHUA BARRANTES DURAN</t>
  </si>
  <si>
    <t>ASHLEY BRICEÑO RODRIGUEZ</t>
  </si>
  <si>
    <t>AXEL CAMBRONERO BLANDON</t>
  </si>
  <si>
    <t>SOFIA CARMONA BARQUERO</t>
  </si>
  <si>
    <t>VANNESA CEPERO ACOSTA</t>
  </si>
  <si>
    <t>JULIANA DIAZ MONTEZUMA</t>
  </si>
  <si>
    <t>MARIA JIMENEZ OLIVAS</t>
  </si>
  <si>
    <t>DILAN MARTINEZ SANCHEZ</t>
  </si>
  <si>
    <t>DESIREE MIRANDA GAMBOA</t>
  </si>
  <si>
    <t>BRITANNY VARGAS ESPINOZA</t>
  </si>
  <si>
    <t>LUIS VASQUEZ PALACIOS</t>
  </si>
  <si>
    <t>BRITNEY VELAZQUEZ SANDOVAL</t>
  </si>
  <si>
    <t>MELANIE VILLALOBOS MORA</t>
  </si>
  <si>
    <t>JUSTIN VILLALOBOS VILLALOBOS</t>
  </si>
  <si>
    <t>NATANAEL ARRIETA UREÑA</t>
  </si>
  <si>
    <t>ASHLEY BADILLA ARCIA</t>
  </si>
  <si>
    <t>RYAN BARQUERO MONTERO</t>
  </si>
  <si>
    <t>PAMELA CAMPOS ALFARO</t>
  </si>
  <si>
    <t>BRITHANY CERDAS RODRIGUEZ</t>
  </si>
  <si>
    <t>AARON CHAVES GONZALEZ</t>
  </si>
  <si>
    <t>KEVIN FLORES MURILLO</t>
  </si>
  <si>
    <t>NOEMY GUERRERO CAMPOS</t>
  </si>
  <si>
    <t>JAIRO MENDOZA RODRIGUEZ</t>
  </si>
  <si>
    <t>JULIO MOLINA RODRIGUEZ</t>
  </si>
  <si>
    <t>AMY PARRA FIGUEROA</t>
  </si>
  <si>
    <t>CAMILA PEREZ UMAÑA</t>
  </si>
  <si>
    <t>KEILYN RAMIREZ SANCHEZ</t>
  </si>
  <si>
    <t>BRIANA RODRIGUEZ BARQUERO</t>
  </si>
  <si>
    <t>JIMENA SANCHEZ CAMBRONERO</t>
  </si>
  <si>
    <t>ANTHONY SEGURA GOMEZ</t>
  </si>
  <si>
    <t>NATALIA SOLANO GARCIA</t>
  </si>
  <si>
    <t>KEYSI SOLERA CAMBRONERO</t>
  </si>
  <si>
    <t>NICOLLE SOLORZANO CALDERON</t>
  </si>
  <si>
    <t>NATALIA ARAYA MORA</t>
  </si>
  <si>
    <t>ALESSANDRO ARCE VARGAS</t>
  </si>
  <si>
    <t>AARON BRENES VARGAS</t>
  </si>
  <si>
    <t>1-2017-0699</t>
  </si>
  <si>
    <t>NAOMY CARDENAS BLANCO</t>
  </si>
  <si>
    <t>BRANDON CARVAJAL AVENDAÑO</t>
  </si>
  <si>
    <t>CAROLINA CESPEDES GONZALEZ</t>
  </si>
  <si>
    <t>VALENTINA FALLAS CERON</t>
  </si>
  <si>
    <t>MARIANGEL GOMEZ FALLAS</t>
  </si>
  <si>
    <t>YUBELKA MAYORGA GARCIA</t>
  </si>
  <si>
    <t>RODMERY MEJIAS ALFARO</t>
  </si>
  <si>
    <t>ESCARLETH RAMIREZ PERALTA</t>
  </si>
  <si>
    <t>ALEXANDRA RODRIGUEZ BARRANTES</t>
  </si>
  <si>
    <t>ARIANA RODRIGUEZ RODRIGUEZ</t>
  </si>
  <si>
    <t>GERALD ROJAS MESEN</t>
  </si>
  <si>
    <t>PABLO ROJAS UGALDE</t>
  </si>
  <si>
    <t>ALEJANDRO ROJAS ZUMBADO</t>
  </si>
  <si>
    <t>DYLAN SALAZAR CHINCHILLA</t>
  </si>
  <si>
    <t>GABRIEL VALVERDE ARIAS</t>
  </si>
  <si>
    <t>NICOLE ZAMORA ALVARADO</t>
  </si>
  <si>
    <t>KEVIN ARAGON SANCHEZ</t>
  </si>
  <si>
    <t>KARINA BARRANTES OVIEDO</t>
  </si>
  <si>
    <t>JOSUE CALVO MIRANDA</t>
  </si>
  <si>
    <t>JOSE CALVO ROSALES</t>
  </si>
  <si>
    <t>CARLOS CASTILLO ACERO</t>
  </si>
  <si>
    <t>KEYLIN GARCIA PEÑA</t>
  </si>
  <si>
    <t>JOSEPH HERNANDEZ PEREIRA</t>
  </si>
  <si>
    <t>MARIPAZ MADRIGAL MAIRENA</t>
  </si>
  <si>
    <t>WILLIAN PANIAGUA MORALES</t>
  </si>
  <si>
    <t>ISAAC RAMIREZ DIAZ</t>
  </si>
  <si>
    <t>KIAN SEGURA ABARCA</t>
  </si>
  <si>
    <t>THOMAS VEGA LOPEZ</t>
  </si>
  <si>
    <t>JARED ALVARADO ZUÑIGA</t>
  </si>
  <si>
    <t>FABIANA CHAVES MENDEZ</t>
  </si>
  <si>
    <t>SCARLETH CORDOBA NUÑEZ</t>
  </si>
  <si>
    <t>MANUEL ESCOTO RIVERA</t>
  </si>
  <si>
    <t>ILAN LUNA MALESPIN</t>
  </si>
  <si>
    <t>AMANDA MATARRITA ARAYA</t>
  </si>
  <si>
    <t>SOFIA MURILLO VALENCIANO</t>
  </si>
  <si>
    <t>PIOTR ORIAS MENA</t>
  </si>
  <si>
    <t>OLMAN ORTEGA MACHADO</t>
  </si>
  <si>
    <t>SEBASTIAN PICADO CHAVARRIA</t>
  </si>
  <si>
    <t>DANIEL RIVERA SALAZAR</t>
  </si>
  <si>
    <t>ERICK SALAS CORTES</t>
  </si>
  <si>
    <t>MATIAS SALAS SALAZAR</t>
  </si>
  <si>
    <t>SEBASTIAN SEGURA ROJAS</t>
  </si>
  <si>
    <t>ESTEBAN VARGAS SALAS</t>
  </si>
  <si>
    <t>MELANIE VEGA LOPEZ</t>
  </si>
  <si>
    <t>FABIOLA VENEGAS SOLIS</t>
  </si>
  <si>
    <t>DILAN VILLALOBOS CASTRO</t>
  </si>
  <si>
    <t>BRIANA ARAYA SOLANO</t>
  </si>
  <si>
    <t>MARIPAZ CAMPOS MONGE</t>
  </si>
  <si>
    <t>SHARON CAMPOS VILLALOBOS</t>
  </si>
  <si>
    <t>MARIA GARCIA MORALES</t>
  </si>
  <si>
    <t>JAIRO GONZALEZ RODRIGUEZ</t>
  </si>
  <si>
    <t>TATIANA LARGAESPADA ARTAVIA</t>
  </si>
  <si>
    <t>AMANDA LOBO BERMUDEZ</t>
  </si>
  <si>
    <t>MANUEL LOGO ESTRADA</t>
  </si>
  <si>
    <t>HEISON MADRIGAL CORDERO</t>
  </si>
  <si>
    <t>KRISTHEL MOREIRA CASTILLO</t>
  </si>
  <si>
    <t>KATERINE RIVERA BENAVIDES</t>
  </si>
  <si>
    <t>EMMANUEL SANCHEZ ALFARO</t>
  </si>
  <si>
    <t>ELIAS SANCHEZ SOTO</t>
  </si>
  <si>
    <t>KHALID SANCHEZ ZELEDON</t>
  </si>
  <si>
    <t>CALEB AGUILAR GONZALEZ</t>
  </si>
  <si>
    <t>KEILER AMADOR JIMENEZ</t>
  </si>
  <si>
    <t>DYLAN BLANCO ALFARO</t>
  </si>
  <si>
    <t>LUIS CORTES ARIAS</t>
  </si>
  <si>
    <t>CARLOS DUARTE JIRON</t>
  </si>
  <si>
    <t>JUSTIN GONZALEZ RODRIGUEZ</t>
  </si>
  <si>
    <t>ARIANA JARA RODRIGUEZ</t>
  </si>
  <si>
    <t>KAREN JIMENEZ PANIAGUA</t>
  </si>
  <si>
    <t>SEBASTIAN MURILLO BASTOS</t>
  </si>
  <si>
    <t>JOSTIN OPORTA LINARTE</t>
  </si>
  <si>
    <t>SAMUEL SANCHEZ ARIAS</t>
  </si>
  <si>
    <t>JOSHUA SANCHEZ RODRIGUEZ</t>
  </si>
  <si>
    <t>DIEGO SOLORZANO MORA</t>
  </si>
  <si>
    <t>YULIANNA VILLALOBOS PEREZ</t>
  </si>
  <si>
    <t>ZAIT ARGUEDAS ARGUEDAS</t>
  </si>
  <si>
    <t>HILARY BERROCAL SANCHEZ</t>
  </si>
  <si>
    <t>YARLANY CAMBRONERO ARIAS</t>
  </si>
  <si>
    <t>GERSON CARMONA VARGAS</t>
  </si>
  <si>
    <t>HELENA FALLAS VARGAS</t>
  </si>
  <si>
    <t>STEPHANIA FUENTES GONZALEZ</t>
  </si>
  <si>
    <t>STEVEN HUERTA GARCIA</t>
  </si>
  <si>
    <t>DANIEL LOAIZA MEJIAS</t>
  </si>
  <si>
    <t>KEANNY LOPEZ RODRIGUEZ</t>
  </si>
  <si>
    <t>ANGELA MADRIGAL CORDERO</t>
  </si>
  <si>
    <t>YOUSSEF OVIEDO ALFARO</t>
  </si>
  <si>
    <t>MELANY ROJAS VALVERDE</t>
  </si>
  <si>
    <t>AMY ROMERO ROJAS</t>
  </si>
  <si>
    <t>ANYELINE SOTO CASTILLO</t>
  </si>
  <si>
    <t>SOFIA VARELA CAMBRONERO</t>
  </si>
  <si>
    <t>NAYLETH VARGAS FONSECA</t>
  </si>
  <si>
    <t>KAROL VILCHEZ GARCIA</t>
  </si>
  <si>
    <t>MONSERRAT ZUÑIGA SEGURA</t>
  </si>
  <si>
    <t>DEREK ALVARADO RUIZ</t>
  </si>
  <si>
    <t>ARGERIE ARIAS ARTAVIA</t>
  </si>
  <si>
    <t>JOHNSON DAVILA MARTINEZ</t>
  </si>
  <si>
    <t>JOSEPH GONZALEZ AGUERO</t>
  </si>
  <si>
    <t>MAITRE LOPEZ LE</t>
  </si>
  <si>
    <t>ANDREA MOLINA SEQUEIRA</t>
  </si>
  <si>
    <t>ERICK MUÑOZ RODRIGUEZ</t>
  </si>
  <si>
    <t>ANGEL MURILLO PALACIOS</t>
  </si>
  <si>
    <t>RICHARD OBANDO GARCIA</t>
  </si>
  <si>
    <t>GABRIEL RODRIGUEZ FLORES</t>
  </si>
  <si>
    <t>JAMES ROJAS CASCANTE</t>
  </si>
  <si>
    <t>CALEB SEGURA SANDI</t>
  </si>
  <si>
    <t>LAURA VADO SALAZAR</t>
  </si>
  <si>
    <t>GABRIEL VARGAS OVARES</t>
  </si>
  <si>
    <t>JUSTIN VILLALOBOS CHACON</t>
  </si>
  <si>
    <t>SIURY CAMACHO FALLAS</t>
  </si>
  <si>
    <t>VALERIA CASTRO RAMIREZ</t>
  </si>
  <si>
    <t>SANTIAGO CHAVES CHAVEZ</t>
  </si>
  <si>
    <t>JOSE ESPINOZA SALAS</t>
  </si>
  <si>
    <t>GABRIEL FONSECA OVIEDO</t>
  </si>
  <si>
    <t>AILLYN GARCIA MONTERO</t>
  </si>
  <si>
    <t>LUIS GONZALEZ JIMENEZ</t>
  </si>
  <si>
    <t>SANTIAGO GONZALEZ PEREZ</t>
  </si>
  <si>
    <t>LIZETH JIMENEZ DURAN</t>
  </si>
  <si>
    <t>SHARLOT LIZANO PORRAS</t>
  </si>
  <si>
    <t>STEVE PEREZ ABARCA</t>
  </si>
  <si>
    <t>DERECK RAMIREZ OVIEDO</t>
  </si>
  <si>
    <t>PATRICK RAMOS PILARTE</t>
  </si>
  <si>
    <t>ANDY RIOS SILVA</t>
  </si>
  <si>
    <t>JOHEL ROSEMBERG ALVARADO</t>
  </si>
  <si>
    <t>VALENTINA UMAÑA RODRIGUEZ</t>
  </si>
  <si>
    <t>JAROD GONZALEZ AGUERO</t>
  </si>
  <si>
    <t>EDDY LOPEZ DIAZ</t>
  </si>
  <si>
    <t>HILLARY RAMOS MONTANO</t>
  </si>
  <si>
    <t>NESTOR RODRIGUEZ SALAZAR</t>
  </si>
  <si>
    <t>ASHLEY SALVATIERRA GONZALEZ</t>
  </si>
  <si>
    <t>ALEJANDRO SANCHEZ CAMPOS</t>
  </si>
  <si>
    <t>JOSE VARGAS ARAYA</t>
  </si>
  <si>
    <t>ANTHONY CAMPOS ARROYO</t>
  </si>
  <si>
    <t>TAMARA CASTILLO GARBANZO</t>
  </si>
  <si>
    <t>RACHELL DIAZ RODRIGUEZ</t>
  </si>
  <si>
    <t>JUAN GONZALEZ MIRANDA</t>
  </si>
  <si>
    <t>VALERIA GUERRERO ALFARO</t>
  </si>
  <si>
    <t>DANIELA JIMENEZ ALVAREZ</t>
  </si>
  <si>
    <t>YEILING MARTINEZ GONZALEZ</t>
  </si>
  <si>
    <t>JAZMIN MEDINA CENTENO</t>
  </si>
  <si>
    <t>SARAH MOLINA NUÑEZ</t>
  </si>
  <si>
    <t>KENETH MONTERO HERRERA</t>
  </si>
  <si>
    <t>KRISTEL RODRIGUEZ OROZCO</t>
  </si>
  <si>
    <t>DAINA SALAZAR PICADO</t>
  </si>
  <si>
    <t>LUCIA SANDI MORA</t>
  </si>
  <si>
    <t>YERSON VARGAS LOPEZ</t>
  </si>
  <si>
    <t>ANDIEL VIQUEZ CHAVES</t>
  </si>
  <si>
    <t>ISAAC ALVARADO ARGUELLO</t>
  </si>
  <si>
    <t>MARÍA AVENDAÑO GUTIERREZ</t>
  </si>
  <si>
    <t>MAURICIO BARRANTES ROJAS</t>
  </si>
  <si>
    <t>TATIANA CALERO ORTIZ</t>
  </si>
  <si>
    <t>ASLY COOPER CRUZ</t>
  </si>
  <si>
    <t>JIMENA FERNANDEZ CARVAJAL</t>
  </si>
  <si>
    <t>YIRLANNY GONZALEZ CARBALLO</t>
  </si>
  <si>
    <t>ALLISON MEZA MARTINEZ</t>
  </si>
  <si>
    <t>ISAAC MIRANDA ARAYA</t>
  </si>
  <si>
    <t>MARÍA MUÑOZ HERNÁNDEZ</t>
  </si>
  <si>
    <t>HAZEL PICADO HERNÁNDEZ</t>
  </si>
  <si>
    <t>SARA RODRIGUEZ ALVARADO</t>
  </si>
  <si>
    <t>DARVIN ZAPATA MONGE</t>
  </si>
  <si>
    <t>SOFIA ALFARO GONZALEZ</t>
  </si>
  <si>
    <t>JIMENA BERMUDEZ MEJIA</t>
  </si>
  <si>
    <t>BRITTANY CALVO ARGUEDAS</t>
  </si>
  <si>
    <t>MARIA CALVO MORA</t>
  </si>
  <si>
    <t>KEILYN GOMEZ OBANDO</t>
  </si>
  <si>
    <t>JIMENA HERNANDEZ GARBANZO</t>
  </si>
  <si>
    <t>FIORELLA LEON VEGA</t>
  </si>
  <si>
    <t>BARIAN MELENDEZ ALVAREZ</t>
  </si>
  <si>
    <t>VALERIA MONTERO SÁNCHEZ</t>
  </si>
  <si>
    <t>KENNETH OBREGON SANCHEZ</t>
  </si>
  <si>
    <t>SEBASTIAN OVARES QUIROS</t>
  </si>
  <si>
    <t>DAVID SOLANO MOYA</t>
  </si>
  <si>
    <t>GENESIS SOTO CARDENAS</t>
  </si>
  <si>
    <t>FERGIE SOTO RODRIGUEZ</t>
  </si>
  <si>
    <t>NICOLE ZAMORA RODRIGUEZ</t>
  </si>
  <si>
    <t>JIMMY CARBALLO VELÁSQUEZ</t>
  </si>
  <si>
    <t>CALEB CASTILLO ALFARO</t>
  </si>
  <si>
    <t>DALLAY CORRALES DURÁN</t>
  </si>
  <si>
    <t>MARIANGEL HERRERA RODRÍGUEZ</t>
  </si>
  <si>
    <t>SHARON MUÑOZ ROSTRÁN</t>
  </si>
  <si>
    <t>JENNIFER RAMÍREZ REYES</t>
  </si>
  <si>
    <t>CAMILA RODRIGUEZ DIAZ</t>
  </si>
  <si>
    <t>ISAAC RODRÍGUEZ SALAS</t>
  </si>
  <si>
    <t>KEYSI RUIZ GUZMÁN</t>
  </si>
  <si>
    <t>RACHEL SALAS BOGANTES</t>
  </si>
  <si>
    <t>SCARLETT SALAZAR ÁLVAREZ</t>
  </si>
  <si>
    <t>NAYELHÍ SALAZAR REYES</t>
  </si>
  <si>
    <t>STEVEN SALAZAR UMAÑA</t>
  </si>
  <si>
    <t>SEBASTIAN ALFARO ARIAS</t>
  </si>
  <si>
    <t>KEITY CAMBRONERO MOYA</t>
  </si>
  <si>
    <t>KEVIN CAMBRONERO VARGAS</t>
  </si>
  <si>
    <t>C-1GWG-ZCMV</t>
  </si>
  <si>
    <t>FREDERIK FISCHER NILS</t>
  </si>
  <si>
    <t>JILDY HENRIQUEZ VILLALOBOS</t>
  </si>
  <si>
    <t>KEYLOR MORA SALAS</t>
  </si>
  <si>
    <t>LEONARDO MORALES MURILLO</t>
  </si>
  <si>
    <t>YARISSA OVIEDO SOTO</t>
  </si>
  <si>
    <t>BENJAMIN PANIAGUA SALAZAR</t>
  </si>
  <si>
    <t>YENUAR PEREZ ROJAS</t>
  </si>
  <si>
    <t>AARON RODRIGUEZ BRAVO</t>
  </si>
  <si>
    <t>BRANDON SALAZAR SALAS</t>
  </si>
  <si>
    <t>C-6ZRT-F93X</t>
  </si>
  <si>
    <t>JAKOB SKORUPSKI JAN</t>
  </si>
  <si>
    <t>MELANY SOLANO CASTRO</t>
  </si>
  <si>
    <t>DENISSE TREJOS OVIEDO</t>
  </si>
  <si>
    <t>JEISON ALFARO GARITA</t>
  </si>
  <si>
    <t>REICHEL CAMPOS SANABRIA</t>
  </si>
  <si>
    <t>TATIANA CORTES SANCHEZ</t>
  </si>
  <si>
    <t>DILAN FERNANDEZ MONTERO</t>
  </si>
  <si>
    <t>EISETH GONZALEZ CARBALLO</t>
  </si>
  <si>
    <t>JIMENA GONZALEZ SOLANO</t>
  </si>
  <si>
    <t>JOSWAN LORIA RODRIGUEZ</t>
  </si>
  <si>
    <t>ALEXA MOLINA ALVAREZ</t>
  </si>
  <si>
    <t>ALISON MONTERO CHACON</t>
  </si>
  <si>
    <t>JOSUE MONTERO JIMENEZ</t>
  </si>
  <si>
    <t>ISAAC NUÑEZ GAMBOA</t>
  </si>
  <si>
    <t>KRISTEL QUIROS ARIAS</t>
  </si>
  <si>
    <t>BAYRON RAMIREZ OVIEDO</t>
  </si>
  <si>
    <t>MARIANA SALAZAR PICADO</t>
  </si>
  <si>
    <t>ADRIAN SEQUEIRA ULLOA</t>
  </si>
  <si>
    <t>FELIX UREÑA VARGAS</t>
  </si>
  <si>
    <t>JOSUE AGÜERO GARITA</t>
  </si>
  <si>
    <t>NATHALIE ARAYA SANABRIA</t>
  </si>
  <si>
    <t>DIANA BARRANTES OVIEDO</t>
  </si>
  <si>
    <t>JOSUE CARBALLO ARTAVIA</t>
  </si>
  <si>
    <t>MATIAS CHAVARRIA SALAZAR</t>
  </si>
  <si>
    <t>SOPHIA CHUPPA CARVAJAL</t>
  </si>
  <si>
    <t>KENYI GONZALEZ CASTRO</t>
  </si>
  <si>
    <t>SANTIAGO GONZALEZ ROJAS</t>
  </si>
  <si>
    <t>KATHERINE LINARTE PEREZ</t>
  </si>
  <si>
    <t>BARBARA MIRANDA HERNANDEZ</t>
  </si>
  <si>
    <t>ANDRES MORA LOPEZ</t>
  </si>
  <si>
    <t>GENESIS OPORTA PIEDRA</t>
  </si>
  <si>
    <t>MARIA OVIEDO CARBALLO</t>
  </si>
  <si>
    <t>SOFIA PEREZ VALVERDE</t>
  </si>
  <si>
    <t>KRISTY RAMIREZ GOMEZ</t>
  </si>
  <si>
    <t xml:space="preserve">RODRIGUEZ VILLALOBOS </t>
  </si>
  <si>
    <t>MAYKOL CARVAJAL VALVERDE</t>
  </si>
  <si>
    <t>JEIKEL FALLAS RODRIGUEZ</t>
  </si>
  <si>
    <t>IAN FLORES JIMENEZ</t>
  </si>
  <si>
    <t>DANIELA HERRERA CORTES</t>
  </si>
  <si>
    <t>KENDALL MATAMOROS VASQUEZ</t>
  </si>
  <si>
    <t>MARIA MONGE ALVARADO</t>
  </si>
  <si>
    <t>GERALD MONTERO MADRIGAL</t>
  </si>
  <si>
    <t>PRISCILLA MORALES BARRANTES</t>
  </si>
  <si>
    <t>SEBASTIAN NUÑEZ CHINCHILLA</t>
  </si>
  <si>
    <t xml:space="preserve"> QUIROS ARAYA</t>
  </si>
  <si>
    <t>JUAN ROJAS CHACON</t>
  </si>
  <si>
    <t>MATIAS SALAS ALVAREZ</t>
  </si>
  <si>
    <t>NELSON SOLANO FONSECA</t>
  </si>
  <si>
    <t>ESMERALDA ARTAVIA MEDINA</t>
  </si>
  <si>
    <t>MIGUEL BENAVIDES JIMENEZ</t>
  </si>
  <si>
    <t>MARIA CARVAJAL MURILLO</t>
  </si>
  <si>
    <t>MELISSA DIAZ MEJIAS</t>
  </si>
  <si>
    <t>KENNETH JIMENEZ CARVAJAL</t>
  </si>
  <si>
    <t>ARLIN MIRANDA RUIZ</t>
  </si>
  <si>
    <t>JIMENA MURILLO VILLALOBOS</t>
  </si>
  <si>
    <t>ANGELY ORTEGA VARGAS</t>
  </si>
  <si>
    <t>NICOLE RAMIREZ CHACON</t>
  </si>
  <si>
    <t>MARIANGEL SANCHEZ CLAVERO</t>
  </si>
  <si>
    <t>KRISTEL VILLACHICA UMAÑA</t>
  </si>
  <si>
    <t>BRIGITTE VILLANEA BONILLA</t>
  </si>
  <si>
    <t>CRISTOPHER ZAMORA PEREZ</t>
  </si>
  <si>
    <t>JORDAN AGUILAR MUÑOZ</t>
  </si>
  <si>
    <t>LUIS ALFARO ARAYA</t>
  </si>
  <si>
    <t>KEVIN CAMPOS GONZALEZ</t>
  </si>
  <si>
    <t>DAYANA CHAVES SAENZ</t>
  </si>
  <si>
    <t>JONATHAN DIAZ MADRIGAL</t>
  </si>
  <si>
    <t>EDISON FERNANDEZ FERNANDEZ</t>
  </si>
  <si>
    <t>ADRIAN HERNANDEZ HERRERA</t>
  </si>
  <si>
    <t>KENDALL JIMENEZ CASCANTE</t>
  </si>
  <si>
    <t>JEAN LARA GARCIA</t>
  </si>
  <si>
    <t>HILARY PANIAGUA MONTERO</t>
  </si>
  <si>
    <t>ANGELO QUIROS AGUILAR</t>
  </si>
  <si>
    <t>FABRICIO RUBIO SANCHEZ</t>
  </si>
  <si>
    <t>DIEGO VARGAS GARRO</t>
  </si>
  <si>
    <t>GABRIEL VIQUEZ CORTES</t>
  </si>
  <si>
    <t>ABIGAIL ALPIZAR SANCHEZ</t>
  </si>
  <si>
    <t>KENDALL CALVO ALFARO</t>
  </si>
  <si>
    <t>JUSTIN CAMACHO MORA</t>
  </si>
  <si>
    <t>JOSE CAMBRONERO CAMPOS</t>
  </si>
  <si>
    <t>FABIAN CAMBRONERO NUÑEZ</t>
  </si>
  <si>
    <t>RICARDO CARBALLO VEGA</t>
  </si>
  <si>
    <t>DYLAN CASTRO BOLAÑOS</t>
  </si>
  <si>
    <t>JOSE FLORES ARIAS</t>
  </si>
  <si>
    <t>ANDRES FUERTES SOLANO</t>
  </si>
  <si>
    <t>RANDAL JARQUIN JIMENEZ</t>
  </si>
  <si>
    <t>RICARDO MORA LOPEZ</t>
  </si>
  <si>
    <t>MANUEL OVIEDO CAMACHO</t>
  </si>
  <si>
    <t>DANIEL PANIAGUA MONTERO</t>
  </si>
  <si>
    <t>PAULA SANCHEZ GONZALEZ</t>
  </si>
  <si>
    <t>ADONAI SANCHEZ LOPEZ</t>
  </si>
  <si>
    <t>JORDAN SEGURA CARRILLO</t>
  </si>
  <si>
    <t>NANCY VARGAS ARAYA</t>
  </si>
  <si>
    <t>DYLAN VARGAS GONZALEZ</t>
  </si>
  <si>
    <t>JERICK ALVAREZ GONZALEZ</t>
  </si>
  <si>
    <t>ANTHONY ARIAS ALFARO</t>
  </si>
  <si>
    <t>SHANOON BARRANTES CALVO</t>
  </si>
  <si>
    <t>ALISON MENDEZ CASTRO</t>
  </si>
  <si>
    <t>PAULA MORA MACIAS</t>
  </si>
  <si>
    <t>HILARY PALACIOS ROJAS</t>
  </si>
  <si>
    <t>VIELKA PATTERSON PORRAS</t>
  </si>
  <si>
    <t>SANDRA PEREZ CRUZ</t>
  </si>
  <si>
    <t>BRITTANY ROCHA MONTERO</t>
  </si>
  <si>
    <t>JOSE ROJAS ARAYA</t>
  </si>
  <si>
    <t>GEOVANNY SALAZAR ARIAS</t>
  </si>
  <si>
    <t>DURMAN SEQUEIRA QUIROS</t>
  </si>
  <si>
    <t>AARON VELASQUEZ PEREZ</t>
  </si>
  <si>
    <t>CAMILA VILLALOBOS HERRERA</t>
  </si>
  <si>
    <t>MELANY ZUÑIGA ARCE</t>
  </si>
  <si>
    <t>Horario Diurno</t>
  </si>
  <si>
    <t>Operaciones en A&amp;B</t>
  </si>
  <si>
    <t>Desarrollo Web</t>
  </si>
  <si>
    <t>Código:</t>
  </si>
  <si>
    <t>SI(ESERROR(BUSCARV(C5;Comedor!$B$5:$B$805;1;FALSO));0;1)</t>
  </si>
  <si>
    <t>SI(SI.ERROR(COINCIDIR(C5;Casilleros!$C$5:$C$1305;0)+4;0) &gt; 0;1;0)</t>
  </si>
  <si>
    <t>Ind_Codigo</t>
  </si>
  <si>
    <t>Ind_Cedula</t>
  </si>
  <si>
    <t>Grupo</t>
  </si>
  <si>
    <t>Horario</t>
  </si>
  <si>
    <t>Activo</t>
  </si>
  <si>
    <t>119201433000</t>
  </si>
  <si>
    <t>VANESSA RIVAS ARTOLA</t>
  </si>
  <si>
    <t>CED:</t>
  </si>
  <si>
    <t>2-0888-0408</t>
  </si>
  <si>
    <t>NAOMI ARAYA GONZALEZ</t>
  </si>
  <si>
    <t>155826926129</t>
  </si>
  <si>
    <t>HARVIN MENDOZA GONZALEZ</t>
  </si>
  <si>
    <t>2-0898-0474</t>
  </si>
  <si>
    <t>NAIDELY ORDOÑEZ MARADIAGA</t>
  </si>
  <si>
    <t>2-0890-0585</t>
  </si>
  <si>
    <t>VIVIANA PANIAGUA CARVAJAL</t>
  </si>
  <si>
    <t>Contabilidad General</t>
  </si>
  <si>
    <t>S.T.Nocturna</t>
  </si>
  <si>
    <t>Horario:</t>
  </si>
  <si>
    <t>ulloa Meza</t>
  </si>
  <si>
    <t>Formato: #-####-####</t>
  </si>
  <si>
    <t>9-5 (B) - Tercer Ciclo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</si>
</sst>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5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rgb="FF00FFFF"/>
      </patternFill>
    </fill>
    <fill>
      <patternFill patternType="solid">
        <fgColor theme="0"/>
        <bgColor theme="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5" borderId="0" xfId="0" applyFill="1"/>
    <xf numFmtId="0" fontId="6" fillId="3" borderId="1" xfId="0" applyFont="1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49" fontId="0" fillId="2" borderId="1" xfId="0" quotePrefix="1" applyNumberForma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 vertical="center"/>
      <protection hidden="1"/>
    </xf>
    <xf numFmtId="0" fontId="0" fillId="6" borderId="1" xfId="0" applyFill="1" applyBorder="1" applyAlignment="1" applyProtection="1">
      <alignment horizontal="center"/>
      <protection hidden="1"/>
    </xf>
    <xf numFmtId="0" fontId="1" fillId="3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left" vertical="center" indent="15"/>
    </xf>
    <xf numFmtId="0" fontId="8" fillId="0" borderId="0" xfId="0" applyFont="1" applyAlignment="1">
      <alignment horizontal="left" vertical="center"/>
    </xf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49" fontId="0" fillId="2" borderId="1" xfId="0" applyNumberFormat="1" applyFill="1" applyBorder="1" applyAlignment="1" applyProtection="1">
      <alignment horizontal="center" vertical="center" wrapText="1"/>
      <protection locked="0"/>
    </xf>
    <xf numFmtId="49" fontId="5" fillId="2" borderId="1" xfId="0" quotePrefix="1" applyNumberFormat="1" applyFont="1" applyFill="1" applyBorder="1" applyAlignment="1" applyProtection="1">
      <alignment horizontal="center"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2" borderId="1" xfId="0" quotePrefix="1" applyNumberFormat="1" applyFont="1" applyFill="1" applyBorder="1" applyAlignment="1" applyProtection="1">
      <alignment horizontal="center" vertical="center"/>
      <protection locked="0"/>
    </xf>
    <xf numFmtId="49" fontId="0" fillId="2" borderId="1" xfId="0" quotePrefix="1" applyNumberFormat="1" applyFill="1" applyBorder="1" applyAlignment="1" applyProtection="1">
      <alignment horizontal="center"/>
      <protection locked="0"/>
    </xf>
    <xf numFmtId="49" fontId="0" fillId="5" borderId="0" xfId="0" applyNumberFormat="1" applyFill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1" fontId="3" fillId="4" borderId="0" xfId="0" applyNumberFormat="1" applyFont="1" applyFill="1" applyAlignment="1">
      <alignment horizontal="center" vertical="center"/>
    </xf>
    <xf numFmtId="0" fontId="7" fillId="5" borderId="0" xfId="0" applyFont="1" applyFill="1"/>
    <xf numFmtId="0" fontId="3" fillId="4" borderId="0" xfId="0" quotePrefix="1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0" fillId="2" borderId="1" xfId="0" quotePrefix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/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9" fontId="0" fillId="2" borderId="1" xfId="0" applyNumberForma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8" borderId="1" xfId="0" applyNumberFormat="1" applyFill="1" applyBorder="1" applyAlignment="1">
      <alignment horizontal="left"/>
    </xf>
    <xf numFmtId="0" fontId="5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49" fontId="3" fillId="2" borderId="1" xfId="0" applyNumberFormat="1" applyFont="1" applyFill="1" applyBorder="1" applyAlignment="1">
      <alignment horizontal="left" vertical="center"/>
    </xf>
    <xf numFmtId="0" fontId="0" fillId="2" borderId="1" xfId="0" applyFill="1" applyBorder="1" applyAlignment="1">
      <alignment horizontal="left"/>
    </xf>
    <xf numFmtId="0" fontId="0" fillId="8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" fillId="2" borderId="1" xfId="0" applyFont="1" applyFill="1" applyBorder="1" applyAlignment="1">
      <alignment horizontal="left"/>
    </xf>
    <xf numFmtId="49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" fontId="0" fillId="2" borderId="1" xfId="0" applyNumberForma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0" fillId="2" borderId="1" xfId="0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center" wrapText="1"/>
    </xf>
    <xf numFmtId="0" fontId="5" fillId="8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Border="1"/>
    <xf numFmtId="1" fontId="3" fillId="2" borderId="1" xfId="0" applyNumberFormat="1" applyFont="1" applyFill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left" vertical="center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5" fillId="2" borderId="1" xfId="0" quotePrefix="1" applyFont="1" applyFill="1" applyBorder="1" applyAlignment="1" applyProtection="1">
      <alignment horizontal="center" vertical="center"/>
      <protection locked="0"/>
    </xf>
    <xf numFmtId="0" fontId="5" fillId="2" borderId="1" xfId="0" quotePrefix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49" fontId="12" fillId="9" borderId="1" xfId="0" applyNumberFormat="1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" wrapText="1"/>
    </xf>
    <xf numFmtId="0" fontId="12" fillId="9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 wrapText="1"/>
    </xf>
    <xf numFmtId="1" fontId="12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wrapText="1"/>
    </xf>
    <xf numFmtId="0" fontId="11" fillId="2" borderId="1" xfId="0" applyFont="1" applyFill="1" applyBorder="1" applyAlignment="1">
      <alignment horizontal="center" vertical="center" wrapText="1"/>
    </xf>
    <xf numFmtId="0" fontId="12" fillId="9" borderId="1" xfId="0" quotePrefix="1" applyFont="1" applyFill="1" applyBorder="1" applyAlignment="1">
      <alignment horizontal="center" vertical="center"/>
    </xf>
    <xf numFmtId="49" fontId="12" fillId="0" borderId="1" xfId="0" quotePrefix="1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top"/>
    </xf>
    <xf numFmtId="1" fontId="12" fillId="0" borderId="1" xfId="0" quotePrefix="1" applyNumberFormat="1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4" fillId="4" borderId="0" xfId="0" applyFont="1" applyFill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7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8" fillId="7" borderId="1" xfId="0" applyFont="1" applyFill="1" applyBorder="1" applyAlignment="1">
      <alignment horizontal="left" vertical="center"/>
    </xf>
    <xf numFmtId="0" fontId="8" fillId="7" borderId="1" xfId="0" quotePrefix="1" applyFont="1" applyFill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right" vertical="top"/>
    </xf>
    <xf numFmtId="0" fontId="15" fillId="0" borderId="0" xfId="0" applyFont="1" applyAlignment="1">
      <alignment horizontal="right" vertical="center"/>
    </xf>
    <xf numFmtId="0" fontId="7" fillId="5" borderId="0" xfId="0" applyFont="1" applyFill="1" applyAlignment="1">
      <alignment horizontal="center"/>
    </xf>
  </cellXfs>
  <cellStyles count="1">
    <cellStyle name="Normal" xfId="0" builtinId="0"/>
  </cellStyles>
  <dxfs count="75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theme="5"/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F4DAB7"/>
      <color rgb="FFF2DBBC"/>
      <color rgb="FF1D2959"/>
      <color rgb="FFF4DFC4"/>
      <color rgb="FFF2D8B6"/>
      <color rgb="FF272328"/>
      <color rgb="FF1D2D46"/>
      <color rgb="FF0C1828"/>
      <color rgb="FF1E2B5C"/>
      <color rgb="FF1B97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png"/><Relationship Id="rId7" Type="http://schemas.openxmlformats.org/officeDocument/2006/relationships/image" Target="../media/image9.jp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jp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6.png"/><Relationship Id="rId2" Type="http://schemas.openxmlformats.org/officeDocument/2006/relationships/image" Target="../media/image12.png"/><Relationship Id="rId1" Type="http://schemas.openxmlformats.org/officeDocument/2006/relationships/image" Target="../media/image11.jpg"/><Relationship Id="rId6" Type="http://schemas.openxmlformats.org/officeDocument/2006/relationships/image" Target="../media/image15.png"/><Relationship Id="rId5" Type="http://schemas.openxmlformats.org/officeDocument/2006/relationships/image" Target="../media/image9.jpg"/><Relationship Id="rId4" Type="http://schemas.openxmlformats.org/officeDocument/2006/relationships/image" Target="../media/image14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47</xdr:col>
      <xdr:colOff>1813</xdr:colOff>
      <xdr:row>30</xdr:row>
      <xdr:rowOff>45473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B1687D6-DEC0-491A-B0F4-E33A35B7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2815770" cy="1841616"/>
        </a:xfrm>
        <a:prstGeom prst="rect">
          <a:avLst/>
        </a:prstGeom>
      </xdr:spPr>
    </xdr:pic>
    <xdr:clientData/>
  </xdr:twoCellAnchor>
  <xdr:twoCellAnchor>
    <xdr:from>
      <xdr:col>16</xdr:col>
      <xdr:colOff>32424</xdr:colOff>
      <xdr:row>4</xdr:row>
      <xdr:rowOff>30242</xdr:rowOff>
    </xdr:from>
    <xdr:to>
      <xdr:col>48</xdr:col>
      <xdr:colOff>31751</xdr:colOff>
      <xdr:row>7</xdr:row>
      <xdr:rowOff>41389</xdr:rowOff>
    </xdr:to>
    <xdr:sp macro="" textlink="">
      <xdr:nvSpPr>
        <xdr:cNvPr id="16" name="Text Box 6">
          <a:extLst>
            <a:ext uri="{FF2B5EF4-FFF2-40B4-BE49-F238E27FC236}">
              <a16:creationId xmlns:a16="http://schemas.microsoft.com/office/drawing/2014/main" id="{4BA96594-B094-4464-98F7-E02C6C07AFCA}"/>
            </a:ext>
          </a:extLst>
        </xdr:cNvPr>
        <xdr:cNvSpPr txBox="1">
          <a:spLocks noChangeArrowheads="1"/>
        </xdr:cNvSpPr>
      </xdr:nvSpPr>
      <xdr:spPr bwMode="auto">
        <a:xfrm>
          <a:off x="940339" y="257221"/>
          <a:ext cx="1815157" cy="18138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r>
            <a:rPr lang="es-CR" sz="1000" b="1" kern="1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 Condensed" panose="020B0502040204020203" pitchFamily="34" charset="0"/>
              <a:ea typeface="Calibri" panose="020F0502020204030204" pitchFamily="34" charset="0"/>
              <a:cs typeface="Times New Roman" panose="02020603050405020304" pitchFamily="18" charset="0"/>
            </a:rPr>
            <a:t>Dirección Regional de Educación Alajuela</a:t>
          </a:r>
        </a:p>
      </xdr:txBody>
    </xdr:sp>
    <xdr:clientData/>
  </xdr:twoCellAnchor>
  <xdr:twoCellAnchor>
    <xdr:from>
      <xdr:col>16</xdr:col>
      <xdr:colOff>2167</xdr:colOff>
      <xdr:row>7</xdr:row>
      <xdr:rowOff>12172</xdr:rowOff>
    </xdr:from>
    <xdr:to>
      <xdr:col>48</xdr:col>
      <xdr:colOff>1076</xdr:colOff>
      <xdr:row>10</xdr:row>
      <xdr:rowOff>26129</xdr:rowOff>
    </xdr:to>
    <xdr:sp macro="" textlink="">
      <xdr:nvSpPr>
        <xdr:cNvPr id="17" name="Text Box 6">
          <a:extLst>
            <a:ext uri="{FF2B5EF4-FFF2-40B4-BE49-F238E27FC236}">
              <a16:creationId xmlns:a16="http://schemas.microsoft.com/office/drawing/2014/main" id="{6795A5D5-CF75-4AA3-9FB2-6F2588DB29CE}"/>
            </a:ext>
          </a:extLst>
        </xdr:cNvPr>
        <xdr:cNvSpPr txBox="1">
          <a:spLocks noChangeArrowheads="1"/>
        </xdr:cNvSpPr>
      </xdr:nvSpPr>
      <xdr:spPr bwMode="auto">
        <a:xfrm>
          <a:off x="922318" y="414738"/>
          <a:ext cx="1839211" cy="18648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r>
            <a:rPr lang="es-CR" sz="1000" b="1" kern="1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 Condensed" panose="020B0502040204020203" pitchFamily="34" charset="0"/>
              <a:ea typeface="Calibri" panose="020F0502020204030204" pitchFamily="34" charset="0"/>
              <a:cs typeface="Times New Roman" panose="02020603050405020304" pitchFamily="18" charset="0"/>
            </a:rPr>
            <a:t>Circuito 01</a:t>
          </a:r>
        </a:p>
      </xdr:txBody>
    </xdr:sp>
    <xdr:clientData/>
  </xdr:twoCellAnchor>
  <xdr:twoCellAnchor>
    <xdr:from>
      <xdr:col>16</xdr:col>
      <xdr:colOff>866</xdr:colOff>
      <xdr:row>9</xdr:row>
      <xdr:rowOff>44604</xdr:rowOff>
    </xdr:from>
    <xdr:to>
      <xdr:col>47</xdr:col>
      <xdr:colOff>56059</xdr:colOff>
      <xdr:row>13</xdr:row>
      <xdr:rowOff>186</xdr:rowOff>
    </xdr:to>
    <xdr:sp macro="" textlink="">
      <xdr:nvSpPr>
        <xdr:cNvPr id="18" name="Text Box 6">
          <a:extLst>
            <a:ext uri="{FF2B5EF4-FFF2-40B4-BE49-F238E27FC236}">
              <a16:creationId xmlns:a16="http://schemas.microsoft.com/office/drawing/2014/main" id="{09CBA2DB-FB38-4345-A742-0E39F8183E88}"/>
            </a:ext>
          </a:extLst>
        </xdr:cNvPr>
        <xdr:cNvSpPr txBox="1">
          <a:spLocks noChangeArrowheads="1"/>
        </xdr:cNvSpPr>
      </xdr:nvSpPr>
      <xdr:spPr bwMode="auto">
        <a:xfrm>
          <a:off x="901411" y="551161"/>
          <a:ext cx="1800000" cy="1807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r>
            <a:rPr lang="es-CR" sz="1000" b="1" kern="1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 Condensed" panose="020B0502040204020203" pitchFamily="34" charset="0"/>
              <a:ea typeface="Calibri" panose="020F0502020204030204" pitchFamily="34" charset="0"/>
              <a:cs typeface="Aharoni" panose="02010803020104030203" pitchFamily="2" charset="-79"/>
            </a:rPr>
            <a:t>Colegio Técnico Profesional de Carrizal</a:t>
          </a:r>
        </a:p>
      </xdr:txBody>
    </xdr:sp>
    <xdr:clientData/>
  </xdr:twoCellAnchor>
  <xdr:twoCellAnchor>
    <xdr:from>
      <xdr:col>7</xdr:col>
      <xdr:colOff>65314</xdr:colOff>
      <xdr:row>11</xdr:row>
      <xdr:rowOff>107643</xdr:rowOff>
    </xdr:from>
    <xdr:to>
      <xdr:col>18</xdr:col>
      <xdr:colOff>143459</xdr:colOff>
      <xdr:row>13</xdr:row>
      <xdr:rowOff>103418</xdr:rowOff>
    </xdr:to>
    <xdr:sp macro="" textlink="V7">
      <xdr:nvSpPr>
        <xdr:cNvPr id="19" name="Text Box 6">
          <a:extLst>
            <a:ext uri="{FF2B5EF4-FFF2-40B4-BE49-F238E27FC236}">
              <a16:creationId xmlns:a16="http://schemas.microsoft.com/office/drawing/2014/main" id="{B00713D4-80A4-4B1F-946C-D70049F24D9C}"/>
            </a:ext>
          </a:extLst>
        </xdr:cNvPr>
        <xdr:cNvSpPr txBox="1">
          <a:spLocks noChangeArrowheads="1"/>
        </xdr:cNvSpPr>
      </xdr:nvSpPr>
      <xdr:spPr bwMode="auto">
        <a:xfrm>
          <a:off x="1198789" y="8899218"/>
          <a:ext cx="1859320" cy="243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>
            <a:lnSpc>
              <a:spcPct val="107000"/>
            </a:lnSpc>
            <a:spcAft>
              <a:spcPts val="800"/>
            </a:spcAft>
          </a:pPr>
          <a:fld id="{FB152061-51FE-4250-AD90-504AE07F1889}" type="TxLink">
            <a:rPr lang="en-US" sz="1600" b="1" i="0" u="none" strike="noStrike" kern="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 Condensed" panose="020B0502040204020203" pitchFamily="34" charset="0"/>
              <a:ea typeface="Microsoft JhengHei" panose="020B0604030504040204" pitchFamily="34" charset="-120"/>
              <a:cs typeface="Aharoni" panose="02010803020104030203" pitchFamily="2" charset="-79"/>
            </a:rPr>
            <a:pPr algn="ctr">
              <a:lnSpc>
                <a:spcPct val="107000"/>
              </a:lnSpc>
              <a:spcAft>
                <a:spcPts val="800"/>
              </a:spcAft>
            </a:pPr>
            <a:t> </a:t>
          </a:fld>
          <a:endParaRPr lang="es-CR" sz="2800" b="1" kern="100"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ahnschrift Light Condensed" panose="020B0502040204020203" pitchFamily="34" charset="0"/>
            <a:ea typeface="Microsoft JhengHei" panose="020B0604030504040204" pitchFamily="34" charset="-120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52730</xdr:colOff>
      <xdr:row>21</xdr:row>
      <xdr:rowOff>18818</xdr:rowOff>
    </xdr:from>
    <xdr:to>
      <xdr:col>48</xdr:col>
      <xdr:colOff>49530</xdr:colOff>
      <xdr:row>23</xdr:row>
      <xdr:rowOff>41910</xdr:rowOff>
    </xdr:to>
    <xdr:sp macro="" textlink="V9">
      <xdr:nvSpPr>
        <xdr:cNvPr id="21" name="Text Box 6">
          <a:extLst>
            <a:ext uri="{FF2B5EF4-FFF2-40B4-BE49-F238E27FC236}">
              <a16:creationId xmlns:a16="http://schemas.microsoft.com/office/drawing/2014/main" id="{47569F87-7AED-4F29-B48A-CC1340152CAF}"/>
            </a:ext>
          </a:extLst>
        </xdr:cNvPr>
        <xdr:cNvSpPr txBox="1">
          <a:spLocks noChangeArrowheads="1"/>
        </xdr:cNvSpPr>
      </xdr:nvSpPr>
      <xdr:spPr bwMode="auto">
        <a:xfrm>
          <a:off x="395630" y="1218968"/>
          <a:ext cx="2397100" cy="13739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fld id="{9572E04C-3AEC-42C2-99E8-A607BA8C4363}" type="TxLink">
            <a:rPr lang="en-US" sz="1100" b="0" i="0" u="none" strike="noStrike" kern="1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 Condensed" panose="020B0502040204020203" pitchFamily="34" charset="0"/>
              <a:ea typeface="Calibri" panose="020F0502020204030204" pitchFamily="34" charset="0"/>
              <a:cs typeface="Calibri"/>
            </a:rPr>
            <a:pPr algn="ctr" fontAlgn="base">
              <a:lnSpc>
                <a:spcPct val="107000"/>
              </a:lnSpc>
              <a:spcAft>
                <a:spcPts val="800"/>
              </a:spcAft>
            </a:pPr>
            <a:t> </a:t>
          </a:fld>
          <a:endParaRPr lang="es-CR" sz="1800" b="0" kern="100"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ahnschrift Light Condensed" panose="020B0502040204020203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32658</xdr:colOff>
      <xdr:row>18</xdr:row>
      <xdr:rowOff>1436</xdr:rowOff>
    </xdr:from>
    <xdr:to>
      <xdr:col>6</xdr:col>
      <xdr:colOff>67753</xdr:colOff>
      <xdr:row>19</xdr:row>
      <xdr:rowOff>105302</xdr:rowOff>
    </xdr:to>
    <xdr:sp macro="" textlink="V6">
      <xdr:nvSpPr>
        <xdr:cNvPr id="23" name="Text Box 7">
          <a:extLst>
            <a:ext uri="{FF2B5EF4-FFF2-40B4-BE49-F238E27FC236}">
              <a16:creationId xmlns:a16="http://schemas.microsoft.com/office/drawing/2014/main" id="{5AC8D335-DD4E-4F1A-BFD4-AB4350A73B1F}"/>
            </a:ext>
          </a:extLst>
        </xdr:cNvPr>
        <xdr:cNvSpPr txBox="1">
          <a:spLocks noChangeArrowheads="1"/>
        </xdr:cNvSpPr>
      </xdr:nvSpPr>
      <xdr:spPr bwMode="auto">
        <a:xfrm>
          <a:off x="32658" y="9659786"/>
          <a:ext cx="1006645" cy="22769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l" fontAlgn="base">
            <a:lnSpc>
              <a:spcPct val="107000"/>
            </a:lnSpc>
            <a:spcAft>
              <a:spcPts val="800"/>
            </a:spcAft>
          </a:pPr>
          <a:fld id="{50D78E24-883B-4CFD-9FBB-C9ADF2132A59}" type="TxLink">
            <a:rPr lang="en-US" sz="1200" b="0" i="0" u="none" strike="noStrike" kern="100">
              <a:solidFill>
                <a:schemeClr val="bg1"/>
              </a:solidFill>
              <a:effectLst/>
              <a:latin typeface="Calibri"/>
              <a:ea typeface="Calibri" panose="020F0502020204030204" pitchFamily="34" charset="0"/>
              <a:cs typeface="Calibri"/>
            </a:rPr>
            <a:pPr algn="l" fontAlgn="base">
              <a:lnSpc>
                <a:spcPct val="107000"/>
              </a:lnSpc>
              <a:spcAft>
                <a:spcPts val="800"/>
              </a:spcAft>
            </a:pPr>
            <a:t> </a:t>
          </a:fld>
          <a:endParaRPr lang="es-CR" sz="2800" kern="100">
            <a:solidFill>
              <a:schemeClr val="bg1"/>
            </a:solidFill>
            <a:effectLst/>
            <a:latin typeface="Bahnschrift Light" panose="020B0502040204020203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0</xdr:col>
      <xdr:colOff>1</xdr:colOff>
      <xdr:row>0</xdr:row>
      <xdr:rowOff>1</xdr:rowOff>
    </xdr:from>
    <xdr:ext cx="1849244" cy="243532"/>
    <xdr:pic>
      <xdr:nvPicPr>
        <xdr:cNvPr id="25" name="Imagen 24">
          <a:extLst>
            <a:ext uri="{FF2B5EF4-FFF2-40B4-BE49-F238E27FC236}">
              <a16:creationId xmlns:a16="http://schemas.microsoft.com/office/drawing/2014/main" id="{D24E6FC5-C269-4FDB-83CD-1135D5CCA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" y="1"/>
          <a:ext cx="1849244" cy="243532"/>
        </a:xfrm>
        <a:prstGeom prst="rect">
          <a:avLst/>
        </a:prstGeom>
      </xdr:spPr>
    </xdr:pic>
    <xdr:clientData/>
  </xdr:oneCellAnchor>
  <xdr:twoCellAnchor>
    <xdr:from>
      <xdr:col>16</xdr:col>
      <xdr:colOff>29929</xdr:colOff>
      <xdr:row>14</xdr:row>
      <xdr:rowOff>39892</xdr:rowOff>
    </xdr:from>
    <xdr:to>
      <xdr:col>47</xdr:col>
      <xdr:colOff>36979</xdr:colOff>
      <xdr:row>17</xdr:row>
      <xdr:rowOff>52623</xdr:rowOff>
    </xdr:to>
    <xdr:sp macro="" textlink="BC10">
      <xdr:nvSpPr>
        <xdr:cNvPr id="32" name="Text Box 6">
          <a:extLst>
            <a:ext uri="{FF2B5EF4-FFF2-40B4-BE49-F238E27FC236}">
              <a16:creationId xmlns:a16="http://schemas.microsoft.com/office/drawing/2014/main" id="{D6CCC8BF-EF17-4DAD-9326-8E6BB43C87C7}"/>
            </a:ext>
          </a:extLst>
        </xdr:cNvPr>
        <xdr:cNvSpPr txBox="1">
          <a:spLocks noChangeArrowheads="1"/>
        </xdr:cNvSpPr>
      </xdr:nvSpPr>
      <xdr:spPr bwMode="auto">
        <a:xfrm>
          <a:off x="950080" y="845024"/>
          <a:ext cx="1789842" cy="18525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fld id="{226B0C9E-86A6-44FD-9F49-89D298AB7CA9}" type="TxLink">
            <a:rPr lang="en-US" sz="1100" b="0" i="0" u="none" strike="noStrike" kern="100">
              <a:solidFill>
                <a:srgbClr val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Condensed" panose="020B0502040204020203" pitchFamily="34" charset="0"/>
              <a:ea typeface="Calibri" panose="020F0502020204030204" pitchFamily="34" charset="0"/>
              <a:cs typeface="Calibri"/>
            </a:rPr>
            <a:pPr algn="ctr" fontAlgn="base">
              <a:lnSpc>
                <a:spcPct val="107000"/>
              </a:lnSpc>
              <a:spcAft>
                <a:spcPts val="800"/>
              </a:spcAft>
            </a:pPr>
            <a:t>KENNY CASTILLO FERNANDEZ</a:t>
          </a:fld>
          <a:endParaRPr lang="es-CR" sz="1100" b="1" kern="100"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ahnschrift SemiCondensed" panose="020B0502040204020203" pitchFamily="34" charset="0"/>
            <a:ea typeface="Calibri" panose="020F050202020403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16</xdr:col>
      <xdr:colOff>1887</xdr:colOff>
      <xdr:row>22</xdr:row>
      <xdr:rowOff>39560</xdr:rowOff>
    </xdr:from>
    <xdr:to>
      <xdr:col>48</xdr:col>
      <xdr:colOff>796</xdr:colOff>
      <xdr:row>25</xdr:row>
      <xdr:rowOff>52292</xdr:rowOff>
    </xdr:to>
    <xdr:sp macro="" textlink="BC22">
      <xdr:nvSpPr>
        <xdr:cNvPr id="34" name="Text Box 6">
          <a:extLst>
            <a:ext uri="{FF2B5EF4-FFF2-40B4-BE49-F238E27FC236}">
              <a16:creationId xmlns:a16="http://schemas.microsoft.com/office/drawing/2014/main" id="{5140AC1C-D1D8-4D4F-B5ED-1E616E49CAAF}"/>
            </a:ext>
          </a:extLst>
        </xdr:cNvPr>
        <xdr:cNvSpPr txBox="1">
          <a:spLocks noChangeArrowheads="1"/>
        </xdr:cNvSpPr>
      </xdr:nvSpPr>
      <xdr:spPr bwMode="auto">
        <a:xfrm>
          <a:off x="922038" y="1304768"/>
          <a:ext cx="1839211" cy="1852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fld id="{6A797620-4813-4EDB-9BBA-1D61EE51996D}" type="TxLink">
            <a:rPr lang="en-US" sz="1050" b="1" i="0" u="none" strike="noStrike" kern="100">
              <a:solidFill>
                <a:srgbClr val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 Condensed" panose="020B0502040204020203" pitchFamily="34" charset="0"/>
              <a:ea typeface="Calibri" panose="020F0502020204030204" pitchFamily="34" charset="0"/>
              <a:cs typeface="Calibri"/>
            </a:rPr>
            <a:pPr algn="ctr" fontAlgn="base">
              <a:lnSpc>
                <a:spcPct val="107000"/>
              </a:lnSpc>
              <a:spcAft>
                <a:spcPts val="800"/>
              </a:spcAft>
            </a:pPr>
            <a:t>Horario Diurno</a:t>
          </a:fld>
          <a:endParaRPr lang="es-CR" sz="2000" b="1" kern="100"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ahnschrift Light Condensed" panose="020B0502040204020203" pitchFamily="34" charset="0"/>
            <a:ea typeface="Calibri" panose="020F050202020403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51737</xdr:colOff>
      <xdr:row>22</xdr:row>
      <xdr:rowOff>39510</xdr:rowOff>
    </xdr:from>
    <xdr:to>
      <xdr:col>17</xdr:col>
      <xdr:colOff>10780</xdr:colOff>
      <xdr:row>25</xdr:row>
      <xdr:rowOff>51884</xdr:rowOff>
    </xdr:to>
    <xdr:sp macro="" textlink="BC18">
      <xdr:nvSpPr>
        <xdr:cNvPr id="35" name="Text Box 6">
          <a:extLst>
            <a:ext uri="{FF2B5EF4-FFF2-40B4-BE49-F238E27FC236}">
              <a16:creationId xmlns:a16="http://schemas.microsoft.com/office/drawing/2014/main" id="{C9CD5D56-EA93-41CD-8B32-A197ED6480A7}"/>
            </a:ext>
          </a:extLst>
        </xdr:cNvPr>
        <xdr:cNvSpPr txBox="1">
          <a:spLocks noChangeArrowheads="1"/>
        </xdr:cNvSpPr>
      </xdr:nvSpPr>
      <xdr:spPr bwMode="auto">
        <a:xfrm>
          <a:off x="51737" y="1304718"/>
          <a:ext cx="936703" cy="184902"/>
        </a:xfrm>
        <a:prstGeom prst="rect">
          <a:avLst/>
        </a:prstGeom>
        <a:solidFill>
          <a:sysClr val="window" lastClr="FFFFFF"/>
        </a:solidFill>
        <a:ln w="3175">
          <a:solidFill>
            <a:srgbClr val="1D2D46"/>
          </a:solidFill>
        </a:ln>
        <a:effectLst/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fld id="{65A6D035-C388-4119-868C-184F6026F6DD}" type="TxLink">
            <a:rPr lang="en-US" sz="1100" b="0" i="0" u="none" strike="noStrike" kern="10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Bahnschrift SemiBold Condensed" panose="020B0502040204020203" pitchFamily="34" charset="0"/>
              <a:ea typeface="Calibri" panose="020F0502020204030204" pitchFamily="34" charset="0"/>
              <a:cs typeface="Calibri"/>
            </a:rPr>
            <a:pPr algn="ctr" fontAlgn="base">
              <a:lnSpc>
                <a:spcPct val="107000"/>
              </a:lnSpc>
              <a:spcAft>
                <a:spcPts val="800"/>
              </a:spcAft>
            </a:pPr>
            <a:t>2-0931-0643</a:t>
          </a:fld>
          <a:endParaRPr lang="es-CR" sz="1100" b="1" kern="100">
            <a:solidFill>
              <a:schemeClr val="tx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Bahnschrift SemiBold Condensed" panose="020B0502040204020203" pitchFamily="34" charset="0"/>
            <a:ea typeface="Calibri" panose="020F0502020204030204" pitchFamily="34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7</xdr:col>
      <xdr:colOff>55111</xdr:colOff>
      <xdr:row>25</xdr:row>
      <xdr:rowOff>27065</xdr:rowOff>
    </xdr:from>
    <xdr:to>
      <xdr:col>11</xdr:col>
      <xdr:colOff>8133</xdr:colOff>
      <xdr:row>28</xdr:row>
      <xdr:rowOff>36831</xdr:rowOff>
    </xdr:to>
    <xdr:sp macro="" textlink="">
      <xdr:nvSpPr>
        <xdr:cNvPr id="53" name="Img_Comedor" hidden="1">
          <a:extLst>
            <a:ext uri="{FF2B5EF4-FFF2-40B4-BE49-F238E27FC236}">
              <a16:creationId xmlns:a16="http://schemas.microsoft.com/office/drawing/2014/main" id="{D1EEC6A5-8675-74F8-6B60-2DAFFF90BAA5}"/>
            </a:ext>
          </a:extLst>
        </xdr:cNvPr>
        <xdr:cNvSpPr/>
      </xdr:nvSpPr>
      <xdr:spPr>
        <a:xfrm>
          <a:off x="452324" y="1445682"/>
          <a:ext cx="180000" cy="180000"/>
        </a:xfrm>
        <a:prstGeom prst="round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952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 kern="1200"/>
        </a:p>
      </xdr:txBody>
    </xdr:sp>
    <xdr:clientData/>
  </xdr:twoCellAnchor>
  <xdr:twoCellAnchor>
    <xdr:from>
      <xdr:col>0</xdr:col>
      <xdr:colOff>49675</xdr:colOff>
      <xdr:row>25</xdr:row>
      <xdr:rowOff>30817</xdr:rowOff>
    </xdr:from>
    <xdr:to>
      <xdr:col>7</xdr:col>
      <xdr:colOff>12462</xdr:colOff>
      <xdr:row>28</xdr:row>
      <xdr:rowOff>56490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980A0042-CD92-A911-6681-C200E71D60C7}"/>
            </a:ext>
          </a:extLst>
        </xdr:cNvPr>
        <xdr:cNvGrpSpPr/>
      </xdr:nvGrpSpPr>
      <xdr:grpSpPr>
        <a:xfrm>
          <a:off x="49675" y="1527603"/>
          <a:ext cx="381887" cy="205287"/>
          <a:chOff x="1071446" y="2130812"/>
          <a:chExt cx="403838" cy="180000"/>
        </a:xfrm>
      </xdr:grpSpPr>
      <xdr:grpSp>
        <xdr:nvGrpSpPr>
          <xdr:cNvPr id="56" name="Grupo 55">
            <a:extLst>
              <a:ext uri="{FF2B5EF4-FFF2-40B4-BE49-F238E27FC236}">
                <a16:creationId xmlns:a16="http://schemas.microsoft.com/office/drawing/2014/main" id="{D56D83EC-30D6-31A0-8D2A-B5389AC0CD7C}"/>
              </a:ext>
            </a:extLst>
          </xdr:cNvPr>
          <xdr:cNvGrpSpPr/>
        </xdr:nvGrpSpPr>
        <xdr:grpSpPr>
          <a:xfrm>
            <a:off x="1071446" y="2130812"/>
            <a:ext cx="403126" cy="180000"/>
            <a:chOff x="1071446" y="2130812"/>
            <a:chExt cx="403126" cy="180000"/>
          </a:xfrm>
        </xdr:grpSpPr>
        <xdr:sp macro="" textlink="">
          <xdr:nvSpPr>
            <xdr:cNvPr id="55" name="Img_Locker_Rect" hidden="1">
              <a:extLst>
                <a:ext uri="{FF2B5EF4-FFF2-40B4-BE49-F238E27FC236}">
                  <a16:creationId xmlns:a16="http://schemas.microsoft.com/office/drawing/2014/main" id="{50FFF40C-5B3A-4DD5-A22A-3EEDEBD963A6}"/>
                </a:ext>
              </a:extLst>
            </xdr:cNvPr>
            <xdr:cNvSpPr/>
          </xdr:nvSpPr>
          <xdr:spPr>
            <a:xfrm>
              <a:off x="1071446" y="2130812"/>
              <a:ext cx="403126" cy="180000"/>
            </a:xfrm>
            <a:prstGeom prst="roundRect">
              <a:avLst/>
            </a:prstGeom>
            <a:solidFill>
              <a:sysClr val="window" lastClr="FFFFFF"/>
            </a:solidFill>
            <a:ln w="9525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R" sz="1100" kern="1200"/>
            </a:p>
          </xdr:txBody>
        </xdr:sp>
        <xdr:sp macro="" textlink="">
          <xdr:nvSpPr>
            <xdr:cNvPr id="54" name="Img_Lockre_Logo" hidden="1">
              <a:extLst>
                <a:ext uri="{FF2B5EF4-FFF2-40B4-BE49-F238E27FC236}">
                  <a16:creationId xmlns:a16="http://schemas.microsoft.com/office/drawing/2014/main" id="{78491CA2-542E-4639-B01B-5B3A81419D0A}"/>
                </a:ext>
              </a:extLst>
            </xdr:cNvPr>
            <xdr:cNvSpPr/>
          </xdr:nvSpPr>
          <xdr:spPr>
            <a:xfrm>
              <a:off x="1077994" y="2135727"/>
              <a:ext cx="201919" cy="165384"/>
            </a:xfrm>
            <a:prstGeom prst="roundRect">
              <a:avLst/>
            </a:prstGeom>
            <a:blipFill>
              <a:blip xmlns:r="http://schemas.openxmlformats.org/officeDocument/2006/relationships" r:embed="rId4"/>
              <a:stretch>
                <a:fillRect/>
              </a:stretch>
            </a:blipFill>
            <a:ln w="9525"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R" sz="1100" kern="1200"/>
            </a:p>
          </xdr:txBody>
        </xdr:sp>
      </xdr:grpSp>
      <xdr:sp macro="" textlink="$BC$22">
        <xdr:nvSpPr>
          <xdr:cNvPr id="57" name="Img_Locker_Num" hidden="1">
            <a:extLst>
              <a:ext uri="{FF2B5EF4-FFF2-40B4-BE49-F238E27FC236}">
                <a16:creationId xmlns:a16="http://schemas.microsoft.com/office/drawing/2014/main" id="{5A702093-A676-4396-8848-7DF4F34408A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4923" y="2160548"/>
            <a:ext cx="230361" cy="116161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5B9BD5"/>
                </a:solidFill>
              </a14:hiddenFill>
            </a:ext>
            <a:ext uri="{91240B29-F687-4F45-9708-019B960494DF}">
              <a14:hiddenLine xmlns:a14="http://schemas.microsoft.com/office/drawing/2010/main" w="2540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000000"/>
                  </a:outerShdw>
                </a:effectLst>
              </a14:hiddenEffects>
            </a:ext>
          </a:extLst>
        </xdr:spPr>
        <xdr:txBody>
          <a:bodyPr wrap="square" lIns="36576" tIns="36576" rIns="36576" bIns="36576" anchor="ctr" upright="1">
            <a:noAutofit/>
          </a:bodyPr>
          <a:lstStyle/>
          <a:p>
            <a:pPr algn="ctr" fontAlgn="base">
              <a:lnSpc>
                <a:spcPct val="107000"/>
              </a:lnSpc>
              <a:spcAft>
                <a:spcPts val="800"/>
              </a:spcAft>
            </a:pPr>
            <a:fld id="{DF00CC2C-6C6B-41C8-93E3-E6DE9B81ED3A}" type="TxLink">
              <a:rPr lang="en-US" sz="800" b="0" i="0" u="none" strike="noStrike" kern="100">
                <a:solidFill>
                  <a:srgbClr val="00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Light Condensed" panose="020B0502040204020203" pitchFamily="34" charset="0"/>
                <a:ea typeface="Calibri" panose="020F0502020204030204" pitchFamily="34" charset="0"/>
                <a:cs typeface="Calibri"/>
              </a:rPr>
              <a:pPr algn="ctr" fontAlgn="base">
                <a:lnSpc>
                  <a:spcPct val="107000"/>
                </a:lnSpc>
                <a:spcAft>
                  <a:spcPts val="800"/>
                </a:spcAft>
              </a:pPr>
              <a:t>Horario Diurno</a:t>
            </a:fld>
            <a:endParaRPr lang="es-CR" sz="1200" b="0" kern="1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Light Condensed" panose="020B0502040204020203" pitchFamily="34" charset="0"/>
              <a:ea typeface="Calibri" panose="020F0502020204030204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56399</xdr:colOff>
      <xdr:row>5</xdr:row>
      <xdr:rowOff>19830</xdr:rowOff>
    </xdr:from>
    <xdr:to>
      <xdr:col>17</xdr:col>
      <xdr:colOff>14739</xdr:colOff>
      <xdr:row>21</xdr:row>
      <xdr:rowOff>56509</xdr:rowOff>
    </xdr:to>
    <xdr:sp macro="" textlink="">
      <xdr:nvSpPr>
        <xdr:cNvPr id="3" name="Img_Foto">
          <a:extLst>
            <a:ext uri="{FF2B5EF4-FFF2-40B4-BE49-F238E27FC236}">
              <a16:creationId xmlns:a16="http://schemas.microsoft.com/office/drawing/2014/main" id="{1556199F-F5CD-FC54-95C6-C3B78F96E8D1}"/>
            </a:ext>
          </a:extLst>
        </xdr:cNvPr>
        <xdr:cNvSpPr/>
      </xdr:nvSpPr>
      <xdr:spPr>
        <a:xfrm>
          <a:off x="56399" y="319187"/>
          <a:ext cx="976154" cy="994622"/>
        </a:xfrm>
        <a:prstGeom prst="rect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 w="3175"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>
            <a:noFill/>
          </a:endParaRPr>
        </a:p>
      </xdr:txBody>
    </xdr:sp>
    <xdr:clientData/>
  </xdr:twoCellAnchor>
  <xdr:twoCellAnchor>
    <xdr:from>
      <xdr:col>12</xdr:col>
      <xdr:colOff>12420</xdr:colOff>
      <xdr:row>25</xdr:row>
      <xdr:rowOff>29362</xdr:rowOff>
    </xdr:from>
    <xdr:to>
      <xdr:col>15</xdr:col>
      <xdr:colOff>22186</xdr:colOff>
      <xdr:row>28</xdr:row>
      <xdr:rowOff>39128</xdr:rowOff>
    </xdr:to>
    <xdr:sp macro="" textlink="">
      <xdr:nvSpPr>
        <xdr:cNvPr id="4" name="Img_Bus" hidden="1">
          <a:extLst>
            <a:ext uri="{FF2B5EF4-FFF2-40B4-BE49-F238E27FC236}">
              <a16:creationId xmlns:a16="http://schemas.microsoft.com/office/drawing/2014/main" id="{DCF49F7C-C166-4195-BC15-971B0D20729E}"/>
            </a:ext>
          </a:extLst>
        </xdr:cNvPr>
        <xdr:cNvSpPr/>
      </xdr:nvSpPr>
      <xdr:spPr>
        <a:xfrm>
          <a:off x="693356" y="1447979"/>
          <a:ext cx="180000" cy="180000"/>
        </a:xfrm>
        <a:prstGeom prst="roundRect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 w="952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 kern="1200"/>
        </a:p>
      </xdr:txBody>
    </xdr:sp>
    <xdr:clientData/>
  </xdr:twoCellAnchor>
  <xdr:twoCellAnchor>
    <xdr:from>
      <xdr:col>38</xdr:col>
      <xdr:colOff>57379</xdr:colOff>
      <xdr:row>0</xdr:row>
      <xdr:rowOff>10800</xdr:rowOff>
    </xdr:from>
    <xdr:to>
      <xdr:col>47</xdr:col>
      <xdr:colOff>38102</xdr:colOff>
      <xdr:row>3</xdr:row>
      <xdr:rowOff>58364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84C46406-3B76-3376-1AB2-38B2EAC4933E}"/>
            </a:ext>
          </a:extLst>
        </xdr:cNvPr>
        <xdr:cNvGrpSpPr/>
      </xdr:nvGrpSpPr>
      <xdr:grpSpPr>
        <a:xfrm>
          <a:off x="2332493" y="10800"/>
          <a:ext cx="519566" cy="227178"/>
          <a:chOff x="3375206" y="3539740"/>
          <a:chExt cx="495949" cy="217923"/>
        </a:xfrm>
      </xdr:grpSpPr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881F5268-BFB2-AD6A-E6C5-664DC4881097}"/>
              </a:ext>
            </a:extLst>
          </xdr:cNvPr>
          <xdr:cNvSpPr txBox="1"/>
        </xdr:nvSpPr>
        <xdr:spPr>
          <a:xfrm>
            <a:off x="3427907" y="3553007"/>
            <a:ext cx="384511" cy="204656"/>
          </a:xfrm>
          <a:prstGeom prst="rect">
            <a:avLst/>
          </a:prstGeom>
          <a:solidFill>
            <a:srgbClr val="1D2959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cene3d>
              <a:camera prst="perspectiveLeft"/>
              <a:lightRig rig="threePt" dir="t"/>
            </a:scene3d>
          </a:bodyPr>
          <a:lstStyle/>
          <a:p>
            <a:pPr algn="l"/>
            <a:endParaRPr lang="es-CR" sz="1000">
              <a:ln>
                <a:noFill/>
              </a:ln>
              <a:solidFill>
                <a:srgbClr val="F2D8B6"/>
              </a:solidFill>
              <a:effectLst/>
              <a:latin typeface="Impact" panose="020B0806030902050204" pitchFamily="34" charset="0"/>
            </a:endParaRP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746B6BFC-5DFC-450A-A002-EB99AAA34C6E}"/>
              </a:ext>
            </a:extLst>
          </xdr:cNvPr>
          <xdr:cNvSpPr txBox="1"/>
        </xdr:nvSpPr>
        <xdr:spPr>
          <a:xfrm>
            <a:off x="3375206" y="3539740"/>
            <a:ext cx="495949" cy="214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s-CR" sz="1600" b="1">
                <a:solidFill>
                  <a:srgbClr val="F4DAB7"/>
                </a:solidFill>
                <a:latin typeface="Bahnschrift SemiLight Condensed" panose="020B0502040204020203" pitchFamily="34" charset="0"/>
                <a:cs typeface="Arial" panose="020B0604020202020204" pitchFamily="34" charset="0"/>
              </a:rPr>
              <a:t>2026</a:t>
            </a:r>
          </a:p>
        </xdr:txBody>
      </xdr:sp>
    </xdr:grpSp>
    <xdr:clientData/>
  </xdr:twoCellAnchor>
  <xdr:twoCellAnchor>
    <xdr:from>
      <xdr:col>57</xdr:col>
      <xdr:colOff>60281</xdr:colOff>
      <xdr:row>2</xdr:row>
      <xdr:rowOff>7186</xdr:rowOff>
    </xdr:from>
    <xdr:to>
      <xdr:col>60</xdr:col>
      <xdr:colOff>217715</xdr:colOff>
      <xdr:row>21</xdr:row>
      <xdr:rowOff>5442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FE67947B-157C-478F-AEC7-36D60AE8702E}"/>
            </a:ext>
          </a:extLst>
        </xdr:cNvPr>
        <xdr:cNvSpPr/>
      </xdr:nvSpPr>
      <xdr:spPr>
        <a:xfrm>
          <a:off x="4888095" y="126929"/>
          <a:ext cx="1148034" cy="1135813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57</xdr:col>
      <xdr:colOff>92732</xdr:colOff>
      <xdr:row>2</xdr:row>
      <xdr:rowOff>19716</xdr:rowOff>
    </xdr:from>
    <xdr:to>
      <xdr:col>60</xdr:col>
      <xdr:colOff>179615</xdr:colOff>
      <xdr:row>20</xdr:row>
      <xdr:rowOff>38100</xdr:rowOff>
    </xdr:to>
    <xdr:sp macro="" textlink="">
      <xdr:nvSpPr>
        <xdr:cNvPr id="5" name="Img_QRF">
          <a:extLst>
            <a:ext uri="{FF2B5EF4-FFF2-40B4-BE49-F238E27FC236}">
              <a16:creationId xmlns:a16="http://schemas.microsoft.com/office/drawing/2014/main" id="{D8E43FB9-4240-4695-955F-2C746F493514}"/>
            </a:ext>
          </a:extLst>
        </xdr:cNvPr>
        <xdr:cNvSpPr/>
      </xdr:nvSpPr>
      <xdr:spPr>
        <a:xfrm>
          <a:off x="4920546" y="139459"/>
          <a:ext cx="1077483" cy="1096070"/>
        </a:xfrm>
        <a:prstGeom prst="rect">
          <a:avLst/>
        </a:prstGeom>
        <a:blipFill>
          <a:blip xmlns:r="http://schemas.openxmlformats.org/officeDocument/2006/relationships" r:embed="rId7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85725</xdr:colOff>
          <xdr:row>27</xdr:row>
          <xdr:rowOff>19050</xdr:rowOff>
        </xdr:from>
        <xdr:to>
          <xdr:col>61</xdr:col>
          <xdr:colOff>57150</xdr:colOff>
          <xdr:row>31</xdr:row>
          <xdr:rowOff>47625</xdr:rowOff>
        </xdr:to>
        <xdr:sp macro="" textlink="">
          <xdr:nvSpPr>
            <xdr:cNvPr id="3085" name="btnBuscarCed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7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85725</xdr:colOff>
          <xdr:row>2</xdr:row>
          <xdr:rowOff>28575</xdr:rowOff>
        </xdr:from>
        <xdr:to>
          <xdr:col>71</xdr:col>
          <xdr:colOff>95250</xdr:colOff>
          <xdr:row>32</xdr:row>
          <xdr:rowOff>57150</xdr:rowOff>
        </xdr:to>
        <xdr:sp macro="" textlink="">
          <xdr:nvSpPr>
            <xdr:cNvPr id="3086" name="btnImprimir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7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39</xdr:col>
      <xdr:colOff>32658</xdr:colOff>
      <xdr:row>21</xdr:row>
      <xdr:rowOff>19661</xdr:rowOff>
    </xdr:from>
    <xdr:ext cx="503441" cy="503441"/>
    <xdr:pic>
      <xdr:nvPicPr>
        <xdr:cNvPr id="24" name="Imagen 23">
          <a:extLst>
            <a:ext uri="{FF2B5EF4-FFF2-40B4-BE49-F238E27FC236}">
              <a16:creationId xmlns:a16="http://schemas.microsoft.com/office/drawing/2014/main" id="{618D69DC-A3EB-4954-83F8-32610D01B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67644" y="1276961"/>
          <a:ext cx="503441" cy="503441"/>
        </a:xfrm>
        <a:prstGeom prst="rect">
          <a:avLst/>
        </a:prstGeom>
      </xdr:spPr>
    </xdr:pic>
    <xdr:clientData/>
  </xdr:oneCellAnchor>
  <xdr:twoCellAnchor>
    <xdr:from>
      <xdr:col>19</xdr:col>
      <xdr:colOff>46289</xdr:colOff>
      <xdr:row>26</xdr:row>
      <xdr:rowOff>54740</xdr:rowOff>
    </xdr:from>
    <xdr:to>
      <xdr:col>43</xdr:col>
      <xdr:colOff>2389</xdr:colOff>
      <xdr:row>28</xdr:row>
      <xdr:rowOff>51228</xdr:rowOff>
    </xdr:to>
    <xdr:sp macro="" textlink="">
      <xdr:nvSpPr>
        <xdr:cNvPr id="22" name="Text Box 7">
          <a:extLst>
            <a:ext uri="{FF2B5EF4-FFF2-40B4-BE49-F238E27FC236}">
              <a16:creationId xmlns:a16="http://schemas.microsoft.com/office/drawing/2014/main" id="{7DEAD5E9-CEE6-4E0C-B276-587B972B4E91}"/>
            </a:ext>
          </a:extLst>
        </xdr:cNvPr>
        <xdr:cNvSpPr txBox="1">
          <a:spLocks noChangeArrowheads="1"/>
        </xdr:cNvSpPr>
      </xdr:nvSpPr>
      <xdr:spPr bwMode="auto">
        <a:xfrm>
          <a:off x="1138968" y="1549985"/>
          <a:ext cx="1336327" cy="11150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l" fontAlgn="base">
            <a:lnSpc>
              <a:spcPct val="107000"/>
            </a:lnSpc>
            <a:spcAft>
              <a:spcPts val="800"/>
            </a:spcAft>
          </a:pPr>
          <a:r>
            <a:rPr lang="es-CR" sz="500" kern="1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" panose="020B0502040204020203" pitchFamily="34" charset="0"/>
              <a:ea typeface="Calibri" panose="020F0502020204030204" pitchFamily="34" charset="0"/>
              <a:cs typeface="Times New Roman" panose="02020603050405020304" pitchFamily="18" charset="0"/>
            </a:rPr>
            <a:t>* Válido de Febrero a Diciembre del 2026 * </a:t>
          </a:r>
        </a:p>
      </xdr:txBody>
    </xdr:sp>
    <xdr:clientData/>
  </xdr:twoCellAnchor>
  <xdr:twoCellAnchor>
    <xdr:from>
      <xdr:col>15</xdr:col>
      <xdr:colOff>55966</xdr:colOff>
      <xdr:row>19</xdr:row>
      <xdr:rowOff>13763</xdr:rowOff>
    </xdr:from>
    <xdr:to>
      <xdr:col>47</xdr:col>
      <xdr:colOff>54875</xdr:colOff>
      <xdr:row>22</xdr:row>
      <xdr:rowOff>26494</xdr:rowOff>
    </xdr:to>
    <xdr:sp macro="" textlink="BC14">
      <xdr:nvSpPr>
        <xdr:cNvPr id="33" name="Text Box 6">
          <a:extLst>
            <a:ext uri="{FF2B5EF4-FFF2-40B4-BE49-F238E27FC236}">
              <a16:creationId xmlns:a16="http://schemas.microsoft.com/office/drawing/2014/main" id="{9FB5A97B-FF84-4E52-83FB-9E8129E09BDA}"/>
            </a:ext>
          </a:extLst>
        </xdr:cNvPr>
        <xdr:cNvSpPr txBox="1">
          <a:spLocks noChangeArrowheads="1"/>
        </xdr:cNvSpPr>
      </xdr:nvSpPr>
      <xdr:spPr bwMode="auto">
        <a:xfrm>
          <a:off x="918608" y="1106442"/>
          <a:ext cx="1839210" cy="18526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  <xdr:txBody>
        <a:bodyPr wrap="square" lIns="36576" tIns="36576" rIns="36576" bIns="36576" anchor="ctr" upright="1">
          <a:noAutofit/>
        </a:bodyPr>
        <a:lstStyle/>
        <a:p>
          <a:pPr algn="ctr" fontAlgn="base">
            <a:lnSpc>
              <a:spcPct val="107000"/>
            </a:lnSpc>
            <a:spcAft>
              <a:spcPts val="800"/>
            </a:spcAft>
          </a:pPr>
          <a:fld id="{7CC9A164-C6D5-4B56-A2BF-EEE0EF78A422}" type="TxLink">
            <a:rPr lang="en-US" sz="1000" b="1" i="0" u="none" strike="noStrike" kern="100">
              <a:solidFill>
                <a:srgbClr val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Light Condensed" panose="020B0502040204020203" pitchFamily="34" charset="0"/>
              <a:ea typeface="Calibri" panose="020F0502020204030204" pitchFamily="34" charset="0"/>
              <a:cs typeface="Calibri"/>
            </a:rPr>
            <a:pPr algn="ctr" fontAlgn="base">
              <a:lnSpc>
                <a:spcPct val="107000"/>
              </a:lnSpc>
              <a:spcAft>
                <a:spcPts val="800"/>
              </a:spcAft>
            </a:pPr>
            <a:t>9-5 (B) - Tercer Ciclo</a:t>
          </a:fld>
          <a:endParaRPr lang="es-CR" sz="1000" b="1" kern="100"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ahnschrift Light Condensed" panose="020B0502040204020203" pitchFamily="34" charset="0"/>
            <a:ea typeface="Calibri" panose="020F0502020204030204" pitchFamily="34" charset="0"/>
            <a:cs typeface="Aharoni" panose="02010803020104030203" pitchFamily="2" charset="-79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35263</xdr:colOff>
      <xdr:row>15</xdr:row>
      <xdr:rowOff>48985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9F6E1071-613E-4479-A130-BE6267F0A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 rot="10800000">
          <a:off x="0" y="0"/>
          <a:ext cx="2930863" cy="1926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43543</xdr:colOff>
      <xdr:row>0</xdr:row>
      <xdr:rowOff>15190</xdr:rowOff>
    </xdr:from>
    <xdr:to>
      <xdr:col>18</xdr:col>
      <xdr:colOff>111484</xdr:colOff>
      <xdr:row>3</xdr:row>
      <xdr:rowOff>114300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A99563F5-48A5-38A1-1181-183490DE3C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3543" y="15190"/>
          <a:ext cx="2811141" cy="474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76198</xdr:colOff>
      <xdr:row>5</xdr:row>
      <xdr:rowOff>10887</xdr:rowOff>
    </xdr:from>
    <xdr:to>
      <xdr:col>17</xdr:col>
      <xdr:colOff>130630</xdr:colOff>
      <xdr:row>15</xdr:row>
      <xdr:rowOff>81173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D02D0790-1817-A934-2147-D3F090F858F5}"/>
            </a:ext>
          </a:extLst>
        </xdr:cNvPr>
        <xdr:cNvGrpSpPr/>
      </xdr:nvGrpSpPr>
      <xdr:grpSpPr>
        <a:xfrm>
          <a:off x="228598" y="636816"/>
          <a:ext cx="2492832" cy="1322143"/>
          <a:chOff x="250371" y="642258"/>
          <a:chExt cx="2492832" cy="1322143"/>
        </a:xfrm>
      </xdr:grpSpPr>
      <xdr:grpSp>
        <xdr:nvGrpSpPr>
          <xdr:cNvPr id="23" name="Grupo 22">
            <a:extLst>
              <a:ext uri="{FF2B5EF4-FFF2-40B4-BE49-F238E27FC236}">
                <a16:creationId xmlns:a16="http://schemas.microsoft.com/office/drawing/2014/main" id="{CA18D7D1-4FDE-5ADC-9E9E-995892A1D7F2}"/>
              </a:ext>
            </a:extLst>
          </xdr:cNvPr>
          <xdr:cNvGrpSpPr/>
        </xdr:nvGrpSpPr>
        <xdr:grpSpPr>
          <a:xfrm>
            <a:off x="250371" y="642258"/>
            <a:ext cx="2492832" cy="1322143"/>
            <a:chOff x="250371" y="642258"/>
            <a:chExt cx="2492832" cy="1322143"/>
          </a:xfrm>
        </xdr:grpSpPr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pSpPr/>
          </xdr:nvGrpSpPr>
          <xdr:grpSpPr>
            <a:xfrm>
              <a:off x="1148442" y="651736"/>
              <a:ext cx="1594761" cy="1067158"/>
              <a:chOff x="947057" y="825905"/>
              <a:chExt cx="1594761" cy="1067158"/>
            </a:xfrm>
          </xdr:grpSpPr>
          <xdr:pic>
            <xdr:nvPicPr>
              <xdr:cNvPr id="17" name="Imagen 16">
                <a:extLst>
                  <a:ext uri="{FF2B5EF4-FFF2-40B4-BE49-F238E27FC236}">
                    <a16:creationId xmlns:a16="http://schemas.microsoft.com/office/drawing/2014/main" id="{00000000-0008-0000-0700-000011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/>
            </xdr:blipFill>
            <xdr:spPr bwMode="auto">
              <a:xfrm>
                <a:off x="1219208" y="1021452"/>
                <a:ext cx="876300" cy="52830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5B9BD5"/>
                    </a:solidFill>
                  </a14:hiddenFill>
                </a:ext>
                <a:ext uri="{91240B29-F687-4F45-9708-019B960494DF}">
                  <a14:hiddenLine xmlns:a14="http://schemas.microsoft.com/office/drawing/2010/main" w="25400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</a:extLst>
            </xdr:spPr>
          </xdr:pic>
          <xdr:sp macro="" textlink="">
            <xdr:nvSpPr>
              <xdr:cNvPr id="2051" name="Rectangle 3">
                <a:extLst>
                  <a:ext uri="{FF2B5EF4-FFF2-40B4-BE49-F238E27FC236}">
                    <a16:creationId xmlns:a16="http://schemas.microsoft.com/office/drawing/2014/main" id="{00000000-0008-0000-0700-00000308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947057" y="1450469"/>
                <a:ext cx="1518557" cy="442594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5B9BD5"/>
                    </a:solidFill>
                  </a14:hiddenFill>
                </a:ext>
                <a:ext uri="{91240B29-F687-4F45-9708-019B960494DF}">
                  <a14:hiddenLine xmlns:a14="http://schemas.microsoft.com/office/drawing/2010/main" w="25400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</a:extLst>
            </xdr:spPr>
            <xdr:txBody>
              <a:bodyPr vertOverflow="clip" wrap="square" lIns="36576" tIns="36576" rIns="36576" bIns="36576" anchor="t" upright="1"/>
              <a:lstStyle/>
              <a:p>
                <a:pPr algn="ctr" rtl="0">
                  <a:defRPr sz="1000"/>
                </a:pPr>
                <a:r>
                  <a:rPr lang="es-CR" sz="900" b="0" i="0" u="none" strike="noStrike" baseline="0">
                    <a:solidFill>
                      <a:srgbClr val="000000"/>
                    </a:solidFill>
                    <a:latin typeface="Maiandra GD"/>
                  </a:rPr>
                  <a:t>M.Sc. Ingrid Jiménez López</a:t>
                </a:r>
              </a:p>
              <a:p>
                <a:pPr algn="ctr" rtl="0">
                  <a:defRPr sz="1000"/>
                </a:pPr>
                <a:r>
                  <a:rPr lang="es-CR" sz="9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Directora</a:t>
                </a:r>
                <a:endParaRPr lang="es-CR" sz="900" b="0" i="0" u="none" strike="noStrike" baseline="0">
                  <a:solidFill>
                    <a:srgbClr val="000000"/>
                  </a:solidFill>
                  <a:latin typeface="Maiandra GD"/>
                  <a:cs typeface="Calibri"/>
                </a:endParaRPr>
              </a:p>
              <a:p>
                <a:pPr algn="ctr" rtl="0">
                  <a:defRPr sz="1000"/>
                </a:pPr>
                <a:endParaRPr lang="es-CR" sz="900" b="0" i="0" u="none" strike="noStrike" baseline="0">
                  <a:solidFill>
                    <a:srgbClr val="000000"/>
                  </a:solidFill>
                  <a:latin typeface="Maiandra GD"/>
                </a:endParaRPr>
              </a:p>
            </xdr:txBody>
          </xdr:sp>
          <xdr:cxnSp macro="">
            <xdr:nvCxnSpPr>
              <xdr:cNvPr id="2052" name="AutoShape 4">
                <a:extLst>
                  <a:ext uri="{FF2B5EF4-FFF2-40B4-BE49-F238E27FC236}">
                    <a16:creationId xmlns:a16="http://schemas.microsoft.com/office/drawing/2014/main" id="{00000000-0008-0000-0700-000004080000}"/>
                  </a:ext>
                </a:extLst>
              </xdr:cNvPr>
              <xdr:cNvCxnSpPr>
                <a:cxnSpLocks noChangeShapeType="1"/>
              </xdr:cNvCxnSpPr>
            </xdr:nvCxnSpPr>
            <xdr:spPr bwMode="auto">
              <a:xfrm flipV="1">
                <a:off x="1006929" y="1446216"/>
                <a:ext cx="1390038" cy="0"/>
              </a:xfrm>
              <a:prstGeom prst="straightConnector1">
                <a:avLst/>
              </a:prstGeom>
              <a:noFill/>
              <a:ln w="12700" algn="ctr">
                <a:solidFill>
                  <a:srgbClr val="000000"/>
                </a:solidFill>
                <a:round/>
                <a:headEnd type="diamond" w="med" len="med"/>
                <a:tailEnd type="diamond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</a:extLst>
            </xdr:spPr>
          </xdr:cxnSp>
          <xdr:pic>
            <xdr:nvPicPr>
              <xdr:cNvPr id="19" name="Imagen 18">
                <a:extLst>
                  <a:ext uri="{FF2B5EF4-FFF2-40B4-BE49-F238E27FC236}">
                    <a16:creationId xmlns:a16="http://schemas.microsoft.com/office/drawing/2014/main" id="{00000000-0008-0000-0700-000013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996846" y="825905"/>
                <a:ext cx="544972" cy="635446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5B9BD5"/>
                    </a:solidFill>
                  </a14:hiddenFill>
                </a:ext>
                <a:ext uri="{91240B29-F687-4F45-9708-019B960494DF}">
                  <a14:hiddenLine xmlns:a14="http://schemas.microsoft.com/office/drawing/2010/main" w="25400" algn="ctr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  <a:ext uri="{AF507438-7753-43E0-B8FC-AC1667EBCBE1}">
                  <a14:hiddenEffects xmlns:a14="http://schemas.microsoft.com/office/drawing/2010/main"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</a:extLst>
            </xdr:spPr>
          </xdr:pic>
        </xdr:grpSp>
        <xdr:grpSp>
          <xdr:nvGrpSpPr>
            <xdr:cNvPr id="6" name="Grupo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pSpPr/>
          </xdr:nvGrpSpPr>
          <xdr:grpSpPr>
            <a:xfrm>
              <a:off x="261249" y="642258"/>
              <a:ext cx="828000" cy="936000"/>
              <a:chOff x="108851" y="731917"/>
              <a:chExt cx="1039592" cy="1100528"/>
            </a:xfrm>
          </xdr:grpSpPr>
          <xdr:sp macro="" textlink="">
            <xdr:nvSpPr>
              <xdr:cNvPr id="4" name="Rectángulo 3">
                <a:extLst>
                  <a:ext uri="{FF2B5EF4-FFF2-40B4-BE49-F238E27FC236}">
                    <a16:creationId xmlns:a16="http://schemas.microsoft.com/office/drawing/2014/main" id="{00000000-0008-0000-0700-000004000000}"/>
                  </a:ext>
                </a:extLst>
              </xdr:cNvPr>
              <xdr:cNvSpPr/>
            </xdr:nvSpPr>
            <xdr:spPr>
              <a:xfrm>
                <a:off x="108851" y="731917"/>
                <a:ext cx="1039592" cy="1100528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CR" sz="1100"/>
              </a:p>
            </xdr:txBody>
          </xdr:sp>
          <xdr:sp macro="" textlink="">
            <xdr:nvSpPr>
              <xdr:cNvPr id="2" name="Img_QR">
                <a:extLst>
                  <a:ext uri="{FF2B5EF4-FFF2-40B4-BE49-F238E27FC236}">
                    <a16:creationId xmlns:a16="http://schemas.microsoft.com/office/drawing/2014/main" id="{00000000-0008-0000-0700-000002000000}"/>
                  </a:ext>
                </a:extLst>
              </xdr:cNvPr>
              <xdr:cNvSpPr/>
            </xdr:nvSpPr>
            <xdr:spPr>
              <a:xfrm>
                <a:off x="193034" y="815719"/>
                <a:ext cx="873257" cy="937486"/>
              </a:xfrm>
              <a:prstGeom prst="rect">
                <a:avLst/>
              </a:prstGeom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CR" sz="1200"/>
              </a:p>
            </xdr:txBody>
          </xdr:sp>
        </xdr:grpSp>
        <xdr:pic>
          <xdr:nvPicPr>
            <xdr:cNvPr id="8" name="Imagen 7">
              <a:extLst>
                <a:ext uri="{FF2B5EF4-FFF2-40B4-BE49-F238E27FC236}">
                  <a16:creationId xmlns:a16="http://schemas.microsoft.com/office/drawing/2014/main" id="{45002813-B7C0-4068-AE14-AC3F394EF1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351427" y="1670959"/>
              <a:ext cx="333431" cy="277586"/>
            </a:xfrm>
            <a:prstGeom prst="rect">
              <a:avLst/>
            </a:prstGeom>
          </xdr:spPr>
        </xdr:pic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ACA9E98D-3557-A169-DA14-DA7669540DAB}"/>
                </a:ext>
              </a:extLst>
            </xdr:cNvPr>
            <xdr:cNvSpPr txBox="1"/>
          </xdr:nvSpPr>
          <xdr:spPr>
            <a:xfrm>
              <a:off x="1670962" y="1670958"/>
              <a:ext cx="810986" cy="28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CR" sz="500" kern="1200">
                  <a:solidFill>
                    <a:srgbClr val="1E2B5C"/>
                  </a:solidFill>
                  <a:latin typeface="HendersonSansW00-BasicBold" panose="02000505030000020004" pitchFamily="2" charset="0"/>
                </a:rPr>
                <a:t>GOBIERNO DE COSTA RICA</a:t>
              </a:r>
            </a:p>
          </xdr:txBody>
        </xdr:sp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2781E631-B154-456C-9E6B-6D8340D0ED64}"/>
                </a:ext>
              </a:extLst>
            </xdr:cNvPr>
            <xdr:cNvSpPr txBox="1"/>
          </xdr:nvSpPr>
          <xdr:spPr>
            <a:xfrm>
              <a:off x="484414" y="1676401"/>
              <a:ext cx="1055915" cy="28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CR" sz="500" kern="1200">
                  <a:solidFill>
                    <a:srgbClr val="1E2B5C"/>
                  </a:solidFill>
                  <a:latin typeface="HendersonSansW00-BasicBold" panose="02000505030000020004" pitchFamily="2" charset="0"/>
                </a:rPr>
                <a:t>MINISTERIO DE EDUCACIÓN PÚBLICA</a:t>
              </a:r>
            </a:p>
          </xdr:txBody>
        </xdr:sp>
        <xdr:pic>
          <xdr:nvPicPr>
            <xdr:cNvPr id="18" name="Imagen 17">
              <a:extLst>
                <a:ext uri="{FF2B5EF4-FFF2-40B4-BE49-F238E27FC236}">
                  <a16:creationId xmlns:a16="http://schemas.microsoft.com/office/drawing/2014/main" id="{B983268B-0958-660B-47BE-F3D90B8FC4C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250371" y="1660072"/>
              <a:ext cx="297447" cy="27758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cxnSp macro="">
        <xdr:nvCxnSpPr>
          <xdr:cNvPr id="21" name="Conector recto 20">
            <a:extLst>
              <a:ext uri="{FF2B5EF4-FFF2-40B4-BE49-F238E27FC236}">
                <a16:creationId xmlns:a16="http://schemas.microsoft.com/office/drawing/2014/main" id="{B611B482-CC67-3D6C-BF8E-1F007236AF0D}"/>
              </a:ext>
            </a:extLst>
          </xdr:cNvPr>
          <xdr:cNvCxnSpPr/>
        </xdr:nvCxnSpPr>
        <xdr:spPr>
          <a:xfrm>
            <a:off x="1594758" y="1665514"/>
            <a:ext cx="0" cy="252000"/>
          </a:xfrm>
          <a:prstGeom prst="line">
            <a:avLst/>
          </a:prstGeom>
          <a:ln w="19050">
            <a:solidFill>
              <a:srgbClr val="1E2B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9B7B4-4E20-4DC4-A571-501014A55354}">
  <sheetPr codeName="Hoja3"/>
  <dimension ref="B3:M1197"/>
  <sheetViews>
    <sheetView showGridLines="0" workbookViewId="0">
      <selection activeCell="C4" sqref="C4"/>
    </sheetView>
  </sheetViews>
  <sheetFormatPr baseColWidth="10" defaultRowHeight="15" x14ac:dyDescent="0.25"/>
  <cols>
    <col min="2" max="2" width="7.85546875" customWidth="1"/>
    <col min="3" max="3" width="13" style="44" bestFit="1" customWidth="1"/>
    <col min="4" max="4" width="18.28515625" style="44" customWidth="1"/>
    <col min="5" max="5" width="44.42578125" style="44" hidden="1" customWidth="1"/>
    <col min="6" max="7" width="30" style="44" hidden="1" customWidth="1"/>
    <col min="8" max="8" width="23.7109375" style="44" hidden="1" customWidth="1"/>
    <col min="9" max="9" width="44.42578125" style="44" customWidth="1"/>
    <col min="10" max="10" width="27.7109375" bestFit="1" customWidth="1"/>
    <col min="11" max="11" width="10.7109375" style="36" bestFit="1" customWidth="1"/>
    <col min="12" max="12" width="11.85546875" style="36" bestFit="1" customWidth="1"/>
    <col min="13" max="13" width="15.28515625" style="36" bestFit="1" customWidth="1"/>
  </cols>
  <sheetData>
    <row r="3" spans="2:13" x14ac:dyDescent="0.25">
      <c r="B3" s="48" t="s">
        <v>2368</v>
      </c>
      <c r="C3" s="48" t="s">
        <v>2367</v>
      </c>
      <c r="D3" s="48" t="s">
        <v>5</v>
      </c>
      <c r="E3" s="48" t="s">
        <v>2351</v>
      </c>
      <c r="F3" s="48" t="s">
        <v>2361</v>
      </c>
      <c r="G3" s="48" t="s">
        <v>2363</v>
      </c>
      <c r="H3" s="48" t="s">
        <v>2362</v>
      </c>
      <c r="I3" s="48" t="s">
        <v>7</v>
      </c>
      <c r="J3" s="37" t="s">
        <v>9</v>
      </c>
      <c r="K3" s="37" t="s">
        <v>2237</v>
      </c>
      <c r="L3" s="37" t="s">
        <v>2238</v>
      </c>
      <c r="M3" s="37" t="s">
        <v>2239</v>
      </c>
    </row>
    <row r="4" spans="2:13" x14ac:dyDescent="0.25">
      <c r="B4" s="48">
        <v>1</v>
      </c>
      <c r="C4" s="40">
        <v>209390450</v>
      </c>
      <c r="D4" s="43" t="str">
        <f t="shared" ref="D4:D67" si="0">IF(LEN(C4)=9,_xlfn.CONCAT(MID(C4,1,1),"-",MID(C4,2,4),"-",MID(C4,6,4)),TEXT(C4,"000000000000"))</f>
        <v>2-0939-0450</v>
      </c>
      <c r="E4" s="43" t="s">
        <v>2364</v>
      </c>
      <c r="F4" s="43" t="str">
        <f>RIGHT(E4,LEN(E4)-SEARCH(" ",E4,SEARCH(" ",E4)+1))</f>
        <v>YULANIS MARTA</v>
      </c>
      <c r="G4" s="43" t="str">
        <f>IFERROR(LEFT(F4,SEARCH(" ",F4,1)-1),F4)</f>
        <v>YULANIS</v>
      </c>
      <c r="H4" s="43" t="str">
        <f>LEFT(E4,SEARCH(" ",E4,SEARCH(" ",E4)+1)-1)</f>
        <v>ACUÑA PEREZ</v>
      </c>
      <c r="I4" s="43" t="str">
        <f>_xlfn.CONCAT(G4," ",H4)</f>
        <v>YULANIS ACUÑA PEREZ</v>
      </c>
      <c r="J4" s="35" t="s">
        <v>2243</v>
      </c>
      <c r="K4" s="37">
        <v>7</v>
      </c>
      <c r="L4" s="37">
        <v>1</v>
      </c>
      <c r="M4" s="37" t="s">
        <v>1</v>
      </c>
    </row>
    <row r="5" spans="2:13" x14ac:dyDescent="0.25">
      <c r="B5" s="48">
        <v>2</v>
      </c>
      <c r="C5" s="40">
        <v>209640122</v>
      </c>
      <c r="D5" s="43" t="str">
        <f t="shared" si="0"/>
        <v>2-0964-0122</v>
      </c>
      <c r="E5" s="43" t="s">
        <v>2163</v>
      </c>
      <c r="F5" s="43" t="str">
        <f t="shared" ref="F5:F68" si="1">RIGHT(E5,LEN(E5)-SEARCH(" ",E5,SEARCH(" ",E5)+1))</f>
        <v>CRISTOPHER</v>
      </c>
      <c r="G5" s="43" t="str">
        <f t="shared" ref="G5:G68" si="2">IFERROR(LEFT(F5,SEARCH(" ",F5,1)-1),F5)</f>
        <v>CRISTOPHER</v>
      </c>
      <c r="H5" s="43" t="str">
        <f t="shared" ref="H5:H68" si="3">LEFT(E5,SEARCH(" ",E5,SEARCH(" ",E5)+1)-1)</f>
        <v>ARAYA ACOSTA</v>
      </c>
      <c r="I5" s="43" t="str">
        <f t="shared" ref="I5:I68" si="4">_xlfn.CONCAT(G5," ",H5)</f>
        <v>CRISTOPHER ARAYA ACOSTA</v>
      </c>
      <c r="J5" s="35" t="s">
        <v>2243</v>
      </c>
      <c r="K5" s="37">
        <v>7</v>
      </c>
      <c r="L5" s="37">
        <v>1</v>
      </c>
      <c r="M5" s="37" t="s">
        <v>1</v>
      </c>
    </row>
    <row r="6" spans="2:13" x14ac:dyDescent="0.25">
      <c r="B6" s="46">
        <v>3</v>
      </c>
      <c r="C6" s="41">
        <v>209610010</v>
      </c>
      <c r="D6" s="43" t="str">
        <f t="shared" si="0"/>
        <v>2-0961-0010</v>
      </c>
      <c r="E6" s="43" t="s">
        <v>2164</v>
      </c>
      <c r="F6" s="43" t="str">
        <f t="shared" si="1"/>
        <v>MEGAN</v>
      </c>
      <c r="G6" s="43" t="str">
        <f t="shared" si="2"/>
        <v>MEGAN</v>
      </c>
      <c r="H6" s="43" t="str">
        <f t="shared" si="3"/>
        <v>BENAVIDES MELENDEZ</v>
      </c>
      <c r="I6" s="43" t="str">
        <f t="shared" si="4"/>
        <v>MEGAN BENAVIDES MELENDEZ</v>
      </c>
      <c r="J6" s="35" t="s">
        <v>2243</v>
      </c>
      <c r="K6" s="37">
        <v>7</v>
      </c>
      <c r="L6" s="37">
        <v>1</v>
      </c>
      <c r="M6" s="37" t="s">
        <v>1</v>
      </c>
    </row>
    <row r="7" spans="2:13" x14ac:dyDescent="0.25">
      <c r="B7" s="48">
        <v>4</v>
      </c>
      <c r="C7" s="41">
        <v>209550492</v>
      </c>
      <c r="D7" s="43" t="str">
        <f t="shared" si="0"/>
        <v>2-0955-0492</v>
      </c>
      <c r="E7" s="43" t="s">
        <v>2165</v>
      </c>
      <c r="F7" s="43" t="str">
        <f t="shared" si="1"/>
        <v>BRIANNA</v>
      </c>
      <c r="G7" s="43" t="str">
        <f t="shared" si="2"/>
        <v>BRIANNA</v>
      </c>
      <c r="H7" s="43" t="str">
        <f t="shared" si="3"/>
        <v>CARMONA CHAVARRIA</v>
      </c>
      <c r="I7" s="43" t="str">
        <f t="shared" si="4"/>
        <v>BRIANNA CARMONA CHAVARRIA</v>
      </c>
      <c r="J7" s="35" t="s">
        <v>2243</v>
      </c>
      <c r="K7" s="37">
        <v>7</v>
      </c>
      <c r="L7" s="37">
        <v>1</v>
      </c>
      <c r="M7" s="37" t="s">
        <v>1</v>
      </c>
    </row>
    <row r="8" spans="2:13" x14ac:dyDescent="0.25">
      <c r="B8" s="48">
        <v>5</v>
      </c>
      <c r="C8" s="41">
        <v>209550279</v>
      </c>
      <c r="D8" s="43" t="str">
        <f t="shared" si="0"/>
        <v>2-0955-0279</v>
      </c>
      <c r="E8" s="43" t="s">
        <v>2352</v>
      </c>
      <c r="F8" s="43" t="str">
        <f t="shared" si="1"/>
        <v>HERSON</v>
      </c>
      <c r="G8" s="43" t="str">
        <f t="shared" si="2"/>
        <v>HERSON</v>
      </c>
      <c r="H8" s="43" t="str">
        <f t="shared" si="3"/>
        <v>CHAVERRI ACUÑA</v>
      </c>
      <c r="I8" s="43" t="str">
        <f t="shared" si="4"/>
        <v>HERSON CHAVERRI ACUÑA</v>
      </c>
      <c r="J8" s="35" t="s">
        <v>2243</v>
      </c>
      <c r="K8" s="37">
        <v>7</v>
      </c>
      <c r="L8" s="37">
        <v>1</v>
      </c>
      <c r="M8" s="37" t="s">
        <v>1</v>
      </c>
    </row>
    <row r="9" spans="2:13" x14ac:dyDescent="0.25">
      <c r="B9" s="46">
        <v>6</v>
      </c>
      <c r="C9" s="41">
        <v>703530923</v>
      </c>
      <c r="D9" s="43" t="str">
        <f t="shared" si="0"/>
        <v>7-0353-0923</v>
      </c>
      <c r="E9" s="43" t="s">
        <v>2353</v>
      </c>
      <c r="F9" s="43" t="str">
        <f t="shared" si="1"/>
        <v>FRANCINI</v>
      </c>
      <c r="G9" s="43" t="str">
        <f t="shared" si="2"/>
        <v>FRANCINI</v>
      </c>
      <c r="H9" s="43" t="str">
        <f t="shared" si="3"/>
        <v>ESPINOZA GUTIERREZ</v>
      </c>
      <c r="I9" s="43" t="str">
        <f t="shared" si="4"/>
        <v>FRANCINI ESPINOZA GUTIERREZ</v>
      </c>
      <c r="J9" s="35" t="s">
        <v>2243</v>
      </c>
      <c r="K9" s="37">
        <v>7</v>
      </c>
      <c r="L9" s="37">
        <v>1</v>
      </c>
      <c r="M9" s="37" t="s">
        <v>1</v>
      </c>
    </row>
    <row r="10" spans="2:13" x14ac:dyDescent="0.25">
      <c r="B10" s="48">
        <v>7</v>
      </c>
      <c r="C10" s="41">
        <v>209600349</v>
      </c>
      <c r="D10" s="43" t="str">
        <f t="shared" si="0"/>
        <v>2-0960-0349</v>
      </c>
      <c r="E10" s="43" t="s">
        <v>2166</v>
      </c>
      <c r="F10" s="43" t="str">
        <f t="shared" si="1"/>
        <v>ALONSO</v>
      </c>
      <c r="G10" s="43" t="str">
        <f t="shared" si="2"/>
        <v>ALONSO</v>
      </c>
      <c r="H10" s="43" t="str">
        <f t="shared" si="3"/>
        <v>GODINEZ ROJAS</v>
      </c>
      <c r="I10" s="43" t="str">
        <f t="shared" si="4"/>
        <v>ALONSO GODINEZ ROJAS</v>
      </c>
      <c r="J10" s="35" t="s">
        <v>2243</v>
      </c>
      <c r="K10" s="37">
        <v>7</v>
      </c>
      <c r="L10" s="37">
        <v>1</v>
      </c>
      <c r="M10" s="37" t="s">
        <v>1</v>
      </c>
    </row>
    <row r="11" spans="2:13" x14ac:dyDescent="0.25">
      <c r="B11" s="48">
        <v>8</v>
      </c>
      <c r="C11" s="41">
        <v>209570968</v>
      </c>
      <c r="D11" s="43" t="str">
        <f t="shared" si="0"/>
        <v>2-0957-0968</v>
      </c>
      <c r="E11" s="43" t="s">
        <v>2354</v>
      </c>
      <c r="F11" s="43" t="str">
        <f t="shared" si="1"/>
        <v>BREILY</v>
      </c>
      <c r="G11" s="43" t="str">
        <f t="shared" si="2"/>
        <v>BREILY</v>
      </c>
      <c r="H11" s="43" t="str">
        <f t="shared" si="3"/>
        <v>GUZMAN TREMINIO</v>
      </c>
      <c r="I11" s="43" t="str">
        <f t="shared" si="4"/>
        <v>BREILY GUZMAN TREMINIO</v>
      </c>
      <c r="J11" s="35" t="s">
        <v>2243</v>
      </c>
      <c r="K11" s="37">
        <v>7</v>
      </c>
      <c r="L11" s="37">
        <v>1</v>
      </c>
      <c r="M11" s="37" t="s">
        <v>1</v>
      </c>
    </row>
    <row r="12" spans="2:13" x14ac:dyDescent="0.25">
      <c r="B12" s="46">
        <v>9</v>
      </c>
      <c r="C12" s="41">
        <v>209560246</v>
      </c>
      <c r="D12" s="43" t="str">
        <f t="shared" si="0"/>
        <v>2-0956-0246</v>
      </c>
      <c r="E12" s="43" t="s">
        <v>2355</v>
      </c>
      <c r="F12" s="43" t="str">
        <f t="shared" si="1"/>
        <v>JULIAN</v>
      </c>
      <c r="G12" s="43" t="str">
        <f t="shared" si="2"/>
        <v>JULIAN</v>
      </c>
      <c r="H12" s="43" t="str">
        <f t="shared" si="3"/>
        <v>LOPEZ RAPALO</v>
      </c>
      <c r="I12" s="43" t="str">
        <f t="shared" si="4"/>
        <v>JULIAN LOPEZ RAPALO</v>
      </c>
      <c r="J12" s="35" t="s">
        <v>2243</v>
      </c>
      <c r="K12" s="37">
        <v>7</v>
      </c>
      <c r="L12" s="37">
        <v>1</v>
      </c>
      <c r="M12" s="37" t="s">
        <v>1</v>
      </c>
    </row>
    <row r="13" spans="2:13" x14ac:dyDescent="0.25">
      <c r="B13" s="48">
        <v>10</v>
      </c>
      <c r="C13" s="41">
        <v>209580707</v>
      </c>
      <c r="D13" s="43" t="str">
        <f t="shared" si="0"/>
        <v>2-0958-0707</v>
      </c>
      <c r="E13" s="43" t="s">
        <v>2356</v>
      </c>
      <c r="F13" s="43" t="str">
        <f t="shared" si="1"/>
        <v>CRISTIAN</v>
      </c>
      <c r="G13" s="43" t="str">
        <f t="shared" si="2"/>
        <v>CRISTIAN</v>
      </c>
      <c r="H13" s="43" t="str">
        <f t="shared" si="3"/>
        <v>MONTERO CHACON</v>
      </c>
      <c r="I13" s="43" t="str">
        <f t="shared" si="4"/>
        <v>CRISTIAN MONTERO CHACON</v>
      </c>
      <c r="J13" s="35" t="s">
        <v>2243</v>
      </c>
      <c r="K13" s="37">
        <v>7</v>
      </c>
      <c r="L13" s="37">
        <v>1</v>
      </c>
      <c r="M13" s="37" t="s">
        <v>1</v>
      </c>
    </row>
    <row r="14" spans="2:13" x14ac:dyDescent="0.25">
      <c r="B14" s="48">
        <v>11</v>
      </c>
      <c r="C14" s="41">
        <v>403000904</v>
      </c>
      <c r="D14" s="43" t="str">
        <f t="shared" si="0"/>
        <v>4-0300-0904</v>
      </c>
      <c r="E14" s="43" t="s">
        <v>2167</v>
      </c>
      <c r="F14" s="43" t="str">
        <f t="shared" si="1"/>
        <v>MATTHEW</v>
      </c>
      <c r="G14" s="43" t="str">
        <f t="shared" si="2"/>
        <v>MATTHEW</v>
      </c>
      <c r="H14" s="43" t="str">
        <f t="shared" si="3"/>
        <v>ORTIZ ARTAVIA</v>
      </c>
      <c r="I14" s="43" t="str">
        <f t="shared" si="4"/>
        <v>MATTHEW ORTIZ ARTAVIA</v>
      </c>
      <c r="J14" s="35" t="s">
        <v>2243</v>
      </c>
      <c r="K14" s="37">
        <v>7</v>
      </c>
      <c r="L14" s="37">
        <v>1</v>
      </c>
      <c r="M14" s="37" t="s">
        <v>1</v>
      </c>
    </row>
    <row r="15" spans="2:13" x14ac:dyDescent="0.25">
      <c r="B15" s="46">
        <v>12</v>
      </c>
      <c r="C15" s="44">
        <v>999990012</v>
      </c>
      <c r="D15" s="42" t="s">
        <v>2168</v>
      </c>
      <c r="E15" s="47" t="s">
        <v>2357</v>
      </c>
      <c r="F15" s="43" t="str">
        <f t="shared" si="1"/>
        <v xml:space="preserve">JOSTHIN </v>
      </c>
      <c r="G15" s="43" t="str">
        <f t="shared" si="2"/>
        <v>JOSTHIN</v>
      </c>
      <c r="H15" s="43" t="str">
        <f t="shared" si="3"/>
        <v>REYES CANO</v>
      </c>
      <c r="I15" s="43" t="str">
        <f t="shared" si="4"/>
        <v>JOSTHIN REYES CANO</v>
      </c>
      <c r="J15" s="35" t="s">
        <v>2243</v>
      </c>
      <c r="K15" s="37">
        <v>7</v>
      </c>
      <c r="L15" s="37">
        <v>1</v>
      </c>
      <c r="M15" s="37" t="s">
        <v>1</v>
      </c>
    </row>
    <row r="16" spans="2:13" x14ac:dyDescent="0.25">
      <c r="B16" s="48">
        <v>13</v>
      </c>
      <c r="C16" s="41">
        <v>121460453</v>
      </c>
      <c r="D16" s="43" t="str">
        <f t="shared" si="0"/>
        <v>1-2146-0453</v>
      </c>
      <c r="E16" s="43" t="s">
        <v>2358</v>
      </c>
      <c r="F16" s="43" t="str">
        <f t="shared" si="1"/>
        <v>YASSIR</v>
      </c>
      <c r="G16" s="43" t="str">
        <f t="shared" si="2"/>
        <v>YASSIR</v>
      </c>
      <c r="H16" s="43" t="str">
        <f t="shared" si="3"/>
        <v>ROJAS MONTERO</v>
      </c>
      <c r="I16" s="43" t="str">
        <f t="shared" si="4"/>
        <v>YASSIR ROJAS MONTERO</v>
      </c>
      <c r="J16" s="35" t="s">
        <v>2243</v>
      </c>
      <c r="K16" s="37">
        <v>7</v>
      </c>
      <c r="L16" s="37">
        <v>1</v>
      </c>
      <c r="M16" s="37" t="s">
        <v>1</v>
      </c>
    </row>
    <row r="17" spans="2:13" x14ac:dyDescent="0.25">
      <c r="B17" s="48">
        <v>14</v>
      </c>
      <c r="C17" s="41">
        <v>209640362</v>
      </c>
      <c r="D17" s="43" t="str">
        <f t="shared" si="0"/>
        <v>2-0964-0362</v>
      </c>
      <c r="E17" s="43" t="s">
        <v>2359</v>
      </c>
      <c r="F17" s="43" t="str">
        <f t="shared" si="1"/>
        <v>MATHIAS</v>
      </c>
      <c r="G17" s="43" t="str">
        <f t="shared" si="2"/>
        <v>MATHIAS</v>
      </c>
      <c r="H17" s="43" t="str">
        <f t="shared" si="3"/>
        <v>SAENZ GUILLEN</v>
      </c>
      <c r="I17" s="43" t="str">
        <f t="shared" si="4"/>
        <v>MATHIAS SAENZ GUILLEN</v>
      </c>
      <c r="J17" s="35" t="s">
        <v>2243</v>
      </c>
      <c r="K17" s="37">
        <v>7</v>
      </c>
      <c r="L17" s="37">
        <v>1</v>
      </c>
      <c r="M17" s="37" t="s">
        <v>1</v>
      </c>
    </row>
    <row r="18" spans="2:13" x14ac:dyDescent="0.25">
      <c r="B18" s="46">
        <v>15</v>
      </c>
      <c r="C18" s="33">
        <v>209120657</v>
      </c>
      <c r="D18" s="43" t="str">
        <f t="shared" si="0"/>
        <v>2-0912-0657</v>
      </c>
      <c r="E18" s="46" t="s">
        <v>2360</v>
      </c>
      <c r="F18" s="43" t="str">
        <f t="shared" si="1"/>
        <v>JOSUE</v>
      </c>
      <c r="G18" s="43" t="str">
        <f t="shared" si="2"/>
        <v>JOSUE</v>
      </c>
      <c r="H18" s="43" t="str">
        <f t="shared" si="3"/>
        <v>SALINAS ZELEDON</v>
      </c>
      <c r="I18" s="43" t="str">
        <f t="shared" si="4"/>
        <v>JOSUE SALINAS ZELEDON</v>
      </c>
      <c r="J18" s="35" t="s">
        <v>2243</v>
      </c>
      <c r="K18" s="37">
        <v>7</v>
      </c>
      <c r="L18" s="37">
        <v>1</v>
      </c>
      <c r="M18" s="37" t="s">
        <v>1</v>
      </c>
    </row>
    <row r="19" spans="2:13" x14ac:dyDescent="0.25">
      <c r="B19" s="48">
        <v>16</v>
      </c>
      <c r="C19" s="41">
        <v>209660786</v>
      </c>
      <c r="D19" s="43" t="str">
        <f t="shared" si="0"/>
        <v>2-0966-0786</v>
      </c>
      <c r="E19" s="43" t="s">
        <v>2169</v>
      </c>
      <c r="F19" s="43" t="str">
        <f t="shared" si="1"/>
        <v>BRITTANY MARIA</v>
      </c>
      <c r="G19" s="43" t="str">
        <f t="shared" si="2"/>
        <v>BRITTANY</v>
      </c>
      <c r="H19" s="43" t="str">
        <f t="shared" si="3"/>
        <v>SANDI ARGUELLO</v>
      </c>
      <c r="I19" s="43" t="str">
        <f t="shared" si="4"/>
        <v>BRITTANY SANDI ARGUELLO</v>
      </c>
      <c r="J19" s="35" t="s">
        <v>2243</v>
      </c>
      <c r="K19" s="37">
        <v>7</v>
      </c>
      <c r="L19" s="37">
        <v>1</v>
      </c>
      <c r="M19" s="37" t="s">
        <v>1</v>
      </c>
    </row>
    <row r="20" spans="2:13" x14ac:dyDescent="0.25">
      <c r="B20" s="48">
        <v>17</v>
      </c>
      <c r="C20" s="41">
        <v>209610433</v>
      </c>
      <c r="D20" s="43" t="str">
        <f t="shared" si="0"/>
        <v>2-0961-0433</v>
      </c>
      <c r="E20" s="43" t="s">
        <v>2349</v>
      </c>
      <c r="F20" s="43" t="str">
        <f t="shared" si="1"/>
        <v>JORGE</v>
      </c>
      <c r="G20" s="43" t="str">
        <f t="shared" si="2"/>
        <v>JORGE</v>
      </c>
      <c r="H20" s="43" t="str">
        <f t="shared" si="3"/>
        <v>VILLANUEVA VILLALOBOS</v>
      </c>
      <c r="I20" s="43" t="str">
        <f t="shared" si="4"/>
        <v>JORGE VILLANUEVA VILLALOBOS</v>
      </c>
      <c r="J20" s="35" t="s">
        <v>2243</v>
      </c>
      <c r="K20" s="37">
        <v>7</v>
      </c>
      <c r="L20" s="37">
        <v>1</v>
      </c>
      <c r="M20" s="37" t="s">
        <v>1</v>
      </c>
    </row>
    <row r="21" spans="2:13" x14ac:dyDescent="0.25">
      <c r="B21" s="46">
        <v>18</v>
      </c>
      <c r="C21" s="41">
        <v>209610434</v>
      </c>
      <c r="D21" s="43" t="str">
        <f t="shared" si="0"/>
        <v>2-0961-0434</v>
      </c>
      <c r="E21" s="43" t="s">
        <v>2350</v>
      </c>
      <c r="F21" s="43" t="str">
        <f t="shared" si="1"/>
        <v>LUISA</v>
      </c>
      <c r="G21" s="43" t="str">
        <f t="shared" si="2"/>
        <v>LUISA</v>
      </c>
      <c r="H21" s="43" t="str">
        <f t="shared" si="3"/>
        <v>VILLANUEVA VILLALOBOS</v>
      </c>
      <c r="I21" s="43" t="str">
        <f t="shared" si="4"/>
        <v>LUISA VILLANUEVA VILLALOBOS</v>
      </c>
      <c r="J21" s="35" t="s">
        <v>2243</v>
      </c>
      <c r="K21" s="37">
        <v>7</v>
      </c>
      <c r="L21" s="37">
        <v>1</v>
      </c>
      <c r="M21" s="37" t="s">
        <v>1</v>
      </c>
    </row>
    <row r="22" spans="2:13" x14ac:dyDescent="0.25">
      <c r="B22" s="48">
        <v>19</v>
      </c>
      <c r="C22" s="40">
        <v>504930868</v>
      </c>
      <c r="D22" s="43" t="str">
        <f t="shared" si="0"/>
        <v>5-0493-0868</v>
      </c>
      <c r="E22" s="43" t="s">
        <v>2170</v>
      </c>
      <c r="F22" s="43" t="str">
        <f t="shared" si="1"/>
        <v xml:space="preserve">MARIANA </v>
      </c>
      <c r="G22" s="43" t="str">
        <f t="shared" si="2"/>
        <v>MARIANA</v>
      </c>
      <c r="H22" s="43" t="str">
        <f t="shared" si="3"/>
        <v>ALVARADO ESPINOZA</v>
      </c>
      <c r="I22" s="43" t="str">
        <f t="shared" si="4"/>
        <v>MARIANA ALVARADO ESPINOZA</v>
      </c>
      <c r="J22" s="35" t="s">
        <v>2243</v>
      </c>
      <c r="K22" s="37">
        <v>7</v>
      </c>
      <c r="L22" s="37">
        <v>1</v>
      </c>
      <c r="M22" s="37" t="s">
        <v>0</v>
      </c>
    </row>
    <row r="23" spans="2:13" x14ac:dyDescent="0.25">
      <c r="B23" s="48">
        <v>20</v>
      </c>
      <c r="C23" s="41">
        <v>403000450</v>
      </c>
      <c r="D23" s="43" t="str">
        <f t="shared" si="0"/>
        <v>4-0300-0450</v>
      </c>
      <c r="E23" s="43" t="s">
        <v>2171</v>
      </c>
      <c r="F23" s="43" t="str">
        <f t="shared" si="1"/>
        <v>AYLIN</v>
      </c>
      <c r="G23" s="43" t="str">
        <f t="shared" si="2"/>
        <v>AYLIN</v>
      </c>
      <c r="H23" s="43" t="str">
        <f t="shared" si="3"/>
        <v>ARIAS SUAREZ</v>
      </c>
      <c r="I23" s="43" t="str">
        <f t="shared" si="4"/>
        <v>AYLIN ARIAS SUAREZ</v>
      </c>
      <c r="J23" s="35" t="s">
        <v>2243</v>
      </c>
      <c r="K23" s="37">
        <v>7</v>
      </c>
      <c r="L23" s="37">
        <v>1</v>
      </c>
      <c r="M23" s="37" t="s">
        <v>0</v>
      </c>
    </row>
    <row r="24" spans="2:13" x14ac:dyDescent="0.25">
      <c r="B24" s="46">
        <v>21</v>
      </c>
      <c r="C24" s="41">
        <v>209560133</v>
      </c>
      <c r="D24" s="43" t="str">
        <f t="shared" si="0"/>
        <v>2-0956-0133</v>
      </c>
      <c r="E24" s="43" t="s">
        <v>2172</v>
      </c>
      <c r="F24" s="43" t="str">
        <f t="shared" si="1"/>
        <v>SEBASTIAN</v>
      </c>
      <c r="G24" s="43" t="str">
        <f t="shared" si="2"/>
        <v>SEBASTIAN</v>
      </c>
      <c r="H24" s="43" t="str">
        <f t="shared" si="3"/>
        <v>CALVO ALVAREZ</v>
      </c>
      <c r="I24" s="43" t="str">
        <f t="shared" si="4"/>
        <v>SEBASTIAN CALVO ALVAREZ</v>
      </c>
      <c r="J24" s="35" t="s">
        <v>2243</v>
      </c>
      <c r="K24" s="37">
        <v>7</v>
      </c>
      <c r="L24" s="37">
        <v>1</v>
      </c>
      <c r="M24" s="37" t="s">
        <v>0</v>
      </c>
    </row>
    <row r="25" spans="2:13" x14ac:dyDescent="0.25">
      <c r="B25" s="48">
        <v>22</v>
      </c>
      <c r="C25" s="33">
        <v>402970815</v>
      </c>
      <c r="D25" s="43" t="str">
        <f t="shared" si="0"/>
        <v>4-0297-0815</v>
      </c>
      <c r="E25" s="33" t="s">
        <v>2219</v>
      </c>
      <c r="F25" s="43" t="str">
        <f t="shared" si="1"/>
        <v>KIMBERLY MARIA</v>
      </c>
      <c r="G25" s="43" t="str">
        <f t="shared" si="2"/>
        <v>KIMBERLY</v>
      </c>
      <c r="H25" s="43" t="str">
        <f t="shared" si="3"/>
        <v>CAMPOS PEREZ</v>
      </c>
      <c r="I25" s="43" t="str">
        <f t="shared" si="4"/>
        <v>KIMBERLY CAMPOS PEREZ</v>
      </c>
      <c r="J25" s="35" t="s">
        <v>2243</v>
      </c>
      <c r="K25" s="37">
        <v>7</v>
      </c>
      <c r="L25" s="37">
        <v>1</v>
      </c>
      <c r="M25" s="37" t="s">
        <v>0</v>
      </c>
    </row>
    <row r="26" spans="2:13" x14ac:dyDescent="0.25">
      <c r="B26" s="48">
        <v>23</v>
      </c>
      <c r="C26" s="41">
        <v>121490467</v>
      </c>
      <c r="D26" s="43" t="str">
        <f t="shared" si="0"/>
        <v>1-2149-0467</v>
      </c>
      <c r="E26" s="43" t="s">
        <v>2173</v>
      </c>
      <c r="F26" s="43" t="str">
        <f t="shared" si="1"/>
        <v>FRANCESCO</v>
      </c>
      <c r="G26" s="43" t="str">
        <f t="shared" si="2"/>
        <v>FRANCESCO</v>
      </c>
      <c r="H26" s="43" t="str">
        <f t="shared" si="3"/>
        <v>CASTRO ALVARADO</v>
      </c>
      <c r="I26" s="43" t="str">
        <f t="shared" si="4"/>
        <v>FRANCESCO CASTRO ALVARADO</v>
      </c>
      <c r="J26" s="35" t="s">
        <v>2243</v>
      </c>
      <c r="K26" s="37">
        <v>7</v>
      </c>
      <c r="L26" s="37">
        <v>1</v>
      </c>
      <c r="M26" s="37" t="s">
        <v>0</v>
      </c>
    </row>
    <row r="27" spans="2:13" x14ac:dyDescent="0.25">
      <c r="B27" s="46">
        <v>24</v>
      </c>
      <c r="C27" s="41">
        <v>209640358</v>
      </c>
      <c r="D27" s="43" t="str">
        <f t="shared" si="0"/>
        <v>2-0964-0358</v>
      </c>
      <c r="E27" s="43" t="s">
        <v>2174</v>
      </c>
      <c r="F27" s="43" t="str">
        <f t="shared" si="1"/>
        <v>JUAN FABRIZZIO</v>
      </c>
      <c r="G27" s="43" t="str">
        <f t="shared" si="2"/>
        <v>JUAN</v>
      </c>
      <c r="H27" s="43" t="str">
        <f t="shared" si="3"/>
        <v>CORELLA MONTERO</v>
      </c>
      <c r="I27" s="43" t="str">
        <f t="shared" si="4"/>
        <v>JUAN CORELLA MONTERO</v>
      </c>
      <c r="J27" s="35" t="s">
        <v>2243</v>
      </c>
      <c r="K27" s="37">
        <v>7</v>
      </c>
      <c r="L27" s="37">
        <v>1</v>
      </c>
      <c r="M27" s="37" t="s">
        <v>0</v>
      </c>
    </row>
    <row r="28" spans="2:13" x14ac:dyDescent="0.25">
      <c r="B28" s="48">
        <v>25</v>
      </c>
      <c r="C28" s="41">
        <v>209650493</v>
      </c>
      <c r="D28" s="43" t="str">
        <f t="shared" si="0"/>
        <v>2-0965-0493</v>
      </c>
      <c r="E28" s="43" t="s">
        <v>2175</v>
      </c>
      <c r="F28" s="43" t="str">
        <f t="shared" si="1"/>
        <v>CESAR CALEB</v>
      </c>
      <c r="G28" s="43" t="str">
        <f t="shared" si="2"/>
        <v>CESAR</v>
      </c>
      <c r="H28" s="43" t="str">
        <f t="shared" si="3"/>
        <v>FERNANDEZ SOLERA</v>
      </c>
      <c r="I28" s="43" t="str">
        <f t="shared" si="4"/>
        <v>CESAR FERNANDEZ SOLERA</v>
      </c>
      <c r="J28" s="35" t="s">
        <v>2243</v>
      </c>
      <c r="K28" s="37">
        <v>7</v>
      </c>
      <c r="L28" s="37">
        <v>1</v>
      </c>
      <c r="M28" s="37" t="s">
        <v>0</v>
      </c>
    </row>
    <row r="29" spans="2:13" x14ac:dyDescent="0.25">
      <c r="B29" s="48">
        <v>26</v>
      </c>
      <c r="C29" s="41">
        <v>209580344</v>
      </c>
      <c r="D29" s="43" t="str">
        <f t="shared" si="0"/>
        <v>2-0958-0344</v>
      </c>
      <c r="E29" s="43" t="s">
        <v>2176</v>
      </c>
      <c r="F29" s="43" t="str">
        <f t="shared" si="1"/>
        <v>GENESIS PAOLA</v>
      </c>
      <c r="G29" s="43" t="str">
        <f t="shared" si="2"/>
        <v>GENESIS</v>
      </c>
      <c r="H29" s="43" t="str">
        <f t="shared" si="3"/>
        <v>GONZALEZ PICADO</v>
      </c>
      <c r="I29" s="43" t="str">
        <f t="shared" si="4"/>
        <v>GENESIS GONZALEZ PICADO</v>
      </c>
      <c r="J29" s="35" t="s">
        <v>2243</v>
      </c>
      <c r="K29" s="37">
        <v>7</v>
      </c>
      <c r="L29" s="37">
        <v>1</v>
      </c>
      <c r="M29" s="37" t="s">
        <v>0</v>
      </c>
    </row>
    <row r="30" spans="2:13" x14ac:dyDescent="0.25">
      <c r="B30" s="46">
        <v>27</v>
      </c>
      <c r="C30" s="33">
        <v>121080989</v>
      </c>
      <c r="D30" s="43" t="str">
        <f t="shared" si="0"/>
        <v>1-2108-0989</v>
      </c>
      <c r="E30" s="46" t="s">
        <v>337</v>
      </c>
      <c r="F30" s="43" t="str">
        <f t="shared" si="1"/>
        <v>LUIS GERARDO</v>
      </c>
      <c r="G30" s="43" t="str">
        <f t="shared" si="2"/>
        <v>LUIS</v>
      </c>
      <c r="H30" s="43" t="str">
        <f t="shared" si="3"/>
        <v>HERRERA ROCHA</v>
      </c>
      <c r="I30" s="43" t="str">
        <f t="shared" si="4"/>
        <v>LUIS HERRERA ROCHA</v>
      </c>
      <c r="J30" s="35" t="s">
        <v>2243</v>
      </c>
      <c r="K30" s="37">
        <v>7</v>
      </c>
      <c r="L30" s="37">
        <v>1</v>
      </c>
      <c r="M30" s="37" t="s">
        <v>0</v>
      </c>
    </row>
    <row r="31" spans="2:13" x14ac:dyDescent="0.25">
      <c r="B31" s="48">
        <v>28</v>
      </c>
      <c r="C31" s="41">
        <v>209520139</v>
      </c>
      <c r="D31" s="43" t="str">
        <f t="shared" si="0"/>
        <v>2-0952-0139</v>
      </c>
      <c r="E31" s="43" t="s">
        <v>2177</v>
      </c>
      <c r="F31" s="43" t="str">
        <f t="shared" si="1"/>
        <v>DANA MIKAELA</v>
      </c>
      <c r="G31" s="43" t="str">
        <f t="shared" si="2"/>
        <v>DANA</v>
      </c>
      <c r="H31" s="43" t="str">
        <f t="shared" si="3"/>
        <v>JIMENEZ ZAMORA</v>
      </c>
      <c r="I31" s="43" t="str">
        <f t="shared" si="4"/>
        <v>DANA JIMENEZ ZAMORA</v>
      </c>
      <c r="J31" s="35" t="s">
        <v>2243</v>
      </c>
      <c r="K31" s="37">
        <v>7</v>
      </c>
      <c r="L31" s="37">
        <v>1</v>
      </c>
      <c r="M31" s="37" t="s">
        <v>0</v>
      </c>
    </row>
    <row r="32" spans="2:13" x14ac:dyDescent="0.25">
      <c r="B32" s="48">
        <v>29</v>
      </c>
      <c r="C32" s="41">
        <v>209500026</v>
      </c>
      <c r="D32" s="43" t="str">
        <f t="shared" si="0"/>
        <v>2-0950-0026</v>
      </c>
      <c r="E32" s="43" t="s">
        <v>2178</v>
      </c>
      <c r="F32" s="43" t="str">
        <f t="shared" si="1"/>
        <v>FABIAN ANTONIO</v>
      </c>
      <c r="G32" s="43" t="str">
        <f t="shared" si="2"/>
        <v>FABIAN</v>
      </c>
      <c r="H32" s="43" t="str">
        <f t="shared" si="3"/>
        <v>MARTINEZ SILVA</v>
      </c>
      <c r="I32" s="43" t="str">
        <f t="shared" si="4"/>
        <v>FABIAN MARTINEZ SILVA</v>
      </c>
      <c r="J32" s="35" t="s">
        <v>2243</v>
      </c>
      <c r="K32" s="37">
        <v>7</v>
      </c>
      <c r="L32" s="37">
        <v>1</v>
      </c>
      <c r="M32" s="37" t="s">
        <v>0</v>
      </c>
    </row>
    <row r="33" spans="2:13" x14ac:dyDescent="0.25">
      <c r="B33" s="46">
        <v>30</v>
      </c>
      <c r="C33" s="41">
        <v>209550707</v>
      </c>
      <c r="D33" s="43" t="str">
        <f t="shared" si="0"/>
        <v>2-0955-0707</v>
      </c>
      <c r="E33" s="43" t="s">
        <v>2179</v>
      </c>
      <c r="F33" s="43" t="str">
        <f t="shared" si="1"/>
        <v>EMMA</v>
      </c>
      <c r="G33" s="43" t="str">
        <f t="shared" si="2"/>
        <v>EMMA</v>
      </c>
      <c r="H33" s="43" t="str">
        <f t="shared" si="3"/>
        <v>MORALES PANIAGUA</v>
      </c>
      <c r="I33" s="43" t="str">
        <f t="shared" si="4"/>
        <v>EMMA MORALES PANIAGUA</v>
      </c>
      <c r="J33" s="35" t="s">
        <v>2243</v>
      </c>
      <c r="K33" s="37">
        <v>7</v>
      </c>
      <c r="L33" s="37">
        <v>1</v>
      </c>
      <c r="M33" s="37" t="s">
        <v>0</v>
      </c>
    </row>
    <row r="34" spans="2:13" x14ac:dyDescent="0.25">
      <c r="B34" s="48">
        <v>31</v>
      </c>
      <c r="C34" s="41">
        <v>402960774</v>
      </c>
      <c r="D34" s="43" t="str">
        <f t="shared" si="0"/>
        <v>4-0296-0774</v>
      </c>
      <c r="E34" s="43" t="s">
        <v>2180</v>
      </c>
      <c r="F34" s="43" t="str">
        <f t="shared" si="1"/>
        <v>KEISY MARIEL</v>
      </c>
      <c r="G34" s="43" t="str">
        <f t="shared" si="2"/>
        <v>KEISY</v>
      </c>
      <c r="H34" s="43" t="str">
        <f t="shared" si="3"/>
        <v>PICADO AGUILAR</v>
      </c>
      <c r="I34" s="43" t="str">
        <f t="shared" si="4"/>
        <v>KEISY PICADO AGUILAR</v>
      </c>
      <c r="J34" s="35" t="s">
        <v>2243</v>
      </c>
      <c r="K34" s="37">
        <v>7</v>
      </c>
      <c r="L34" s="37">
        <v>1</v>
      </c>
      <c r="M34" s="37" t="s">
        <v>0</v>
      </c>
    </row>
    <row r="35" spans="2:13" x14ac:dyDescent="0.25">
      <c r="B35" s="48">
        <v>32</v>
      </c>
      <c r="C35" s="41">
        <v>403000437</v>
      </c>
      <c r="D35" s="43" t="str">
        <f t="shared" si="0"/>
        <v>4-0300-0437</v>
      </c>
      <c r="E35" s="43" t="s">
        <v>2365</v>
      </c>
      <c r="F35" s="43" t="str">
        <f t="shared" si="1"/>
        <v>VALERY</v>
      </c>
      <c r="G35" s="43" t="str">
        <f t="shared" si="2"/>
        <v>VALERY</v>
      </c>
      <c r="H35" s="43" t="str">
        <f t="shared" si="3"/>
        <v>RODRIGUEZ CERDAS</v>
      </c>
      <c r="I35" s="43" t="str">
        <f t="shared" si="4"/>
        <v>VALERY RODRIGUEZ CERDAS</v>
      </c>
      <c r="J35" s="35" t="s">
        <v>2243</v>
      </c>
      <c r="K35" s="37">
        <v>7</v>
      </c>
      <c r="L35" s="37">
        <v>1</v>
      </c>
      <c r="M35" s="37" t="s">
        <v>0</v>
      </c>
    </row>
    <row r="36" spans="2:13" x14ac:dyDescent="0.25">
      <c r="B36" s="46">
        <v>33</v>
      </c>
      <c r="C36" s="41">
        <v>209620397</v>
      </c>
      <c r="D36" s="43" t="str">
        <f t="shared" si="0"/>
        <v>2-0962-0397</v>
      </c>
      <c r="E36" s="43" t="s">
        <v>2181</v>
      </c>
      <c r="F36" s="43" t="str">
        <f t="shared" si="1"/>
        <v>EMMA VALENTINA</v>
      </c>
      <c r="G36" s="43" t="str">
        <f t="shared" si="2"/>
        <v>EMMA</v>
      </c>
      <c r="H36" s="43" t="str">
        <f t="shared" si="3"/>
        <v>SOLERA VALERIN</v>
      </c>
      <c r="I36" s="43" t="str">
        <f t="shared" si="4"/>
        <v>EMMA SOLERA VALERIN</v>
      </c>
      <c r="J36" s="35" t="s">
        <v>2243</v>
      </c>
      <c r="K36" s="37">
        <v>7</v>
      </c>
      <c r="L36" s="37">
        <v>1</v>
      </c>
      <c r="M36" s="37" t="s">
        <v>0</v>
      </c>
    </row>
    <row r="37" spans="2:13" x14ac:dyDescent="0.25">
      <c r="B37" s="48">
        <v>34</v>
      </c>
      <c r="C37" s="41">
        <v>605400847</v>
      </c>
      <c r="D37" s="43" t="str">
        <f t="shared" si="0"/>
        <v>6-0540-0847</v>
      </c>
      <c r="E37" s="43" t="s">
        <v>2182</v>
      </c>
      <c r="F37" s="43" t="str">
        <f t="shared" si="1"/>
        <v>CARLOS MAURICIO</v>
      </c>
      <c r="G37" s="43" t="str">
        <f t="shared" si="2"/>
        <v>CARLOS</v>
      </c>
      <c r="H37" s="43" t="str">
        <f t="shared" si="3"/>
        <v>VASQUEZ RETANA</v>
      </c>
      <c r="I37" s="43" t="str">
        <f t="shared" si="4"/>
        <v>CARLOS VASQUEZ RETANA</v>
      </c>
      <c r="J37" s="35" t="s">
        <v>2243</v>
      </c>
      <c r="K37" s="37">
        <v>7</v>
      </c>
      <c r="L37" s="37">
        <v>1</v>
      </c>
      <c r="M37" s="37" t="s">
        <v>0</v>
      </c>
    </row>
    <row r="38" spans="2:13" x14ac:dyDescent="0.25">
      <c r="B38" s="48">
        <v>35</v>
      </c>
      <c r="C38" s="41">
        <v>402970123</v>
      </c>
      <c r="D38" s="43" t="str">
        <f t="shared" si="0"/>
        <v>4-0297-0123</v>
      </c>
      <c r="E38" s="43" t="s">
        <v>2183</v>
      </c>
      <c r="F38" s="43" t="str">
        <f t="shared" si="1"/>
        <v>ANDERSON AARON</v>
      </c>
      <c r="G38" s="43" t="str">
        <f t="shared" si="2"/>
        <v>ANDERSON</v>
      </c>
      <c r="H38" s="43" t="str">
        <f t="shared" si="3"/>
        <v>ZUÑIGA VALLE</v>
      </c>
      <c r="I38" s="43" t="str">
        <f t="shared" si="4"/>
        <v>ANDERSON ZUÑIGA VALLE</v>
      </c>
      <c r="J38" s="35" t="s">
        <v>2243</v>
      </c>
      <c r="K38" s="37">
        <v>7</v>
      </c>
      <c r="L38" s="37">
        <v>1</v>
      </c>
      <c r="M38" s="37" t="s">
        <v>0</v>
      </c>
    </row>
    <row r="39" spans="2:13" x14ac:dyDescent="0.25">
      <c r="B39" s="46">
        <v>36</v>
      </c>
      <c r="C39" s="33">
        <v>402990954</v>
      </c>
      <c r="D39" s="43" t="str">
        <f t="shared" si="0"/>
        <v>4-0299-0954</v>
      </c>
      <c r="E39" s="33" t="s">
        <v>46</v>
      </c>
      <c r="F39" s="43" t="str">
        <f t="shared" si="1"/>
        <v>AARON</v>
      </c>
      <c r="G39" s="43" t="str">
        <f t="shared" si="2"/>
        <v>AARON</v>
      </c>
      <c r="H39" s="43" t="str">
        <f t="shared" si="3"/>
        <v>AGUILAR ALFARO</v>
      </c>
      <c r="I39" s="43" t="str">
        <f t="shared" si="4"/>
        <v>AARON AGUILAR ALFARO</v>
      </c>
      <c r="J39" s="35" t="s">
        <v>2243</v>
      </c>
      <c r="K39" s="37">
        <v>7</v>
      </c>
      <c r="L39" s="37">
        <v>2</v>
      </c>
      <c r="M39" s="37" t="s">
        <v>1</v>
      </c>
    </row>
    <row r="40" spans="2:13" x14ac:dyDescent="0.25">
      <c r="B40" s="48">
        <v>37</v>
      </c>
      <c r="C40" s="33">
        <v>402920634</v>
      </c>
      <c r="D40" s="43" t="str">
        <f t="shared" si="0"/>
        <v>4-0292-0634</v>
      </c>
      <c r="E40" s="46" t="s">
        <v>182</v>
      </c>
      <c r="F40" s="43" t="str">
        <f t="shared" si="1"/>
        <v>EMANUEL</v>
      </c>
      <c r="G40" s="43" t="str">
        <f t="shared" si="2"/>
        <v>EMANUEL</v>
      </c>
      <c r="H40" s="43" t="str">
        <f t="shared" si="3"/>
        <v>ARAYA LEON</v>
      </c>
      <c r="I40" s="43" t="str">
        <f t="shared" si="4"/>
        <v>EMANUEL ARAYA LEON</v>
      </c>
      <c r="J40" s="35" t="s">
        <v>2243</v>
      </c>
      <c r="K40" s="37">
        <v>7</v>
      </c>
      <c r="L40" s="37">
        <v>2</v>
      </c>
      <c r="M40" s="37" t="s">
        <v>1</v>
      </c>
    </row>
    <row r="41" spans="2:13" x14ac:dyDescent="0.25">
      <c r="B41" s="48">
        <v>38</v>
      </c>
      <c r="C41" s="33">
        <v>402990595</v>
      </c>
      <c r="D41" s="43" t="str">
        <f t="shared" si="0"/>
        <v>4-0299-0595</v>
      </c>
      <c r="E41" s="33" t="s">
        <v>47</v>
      </c>
      <c r="F41" s="43" t="str">
        <f t="shared" si="1"/>
        <v>SEBASTIAN ALEJANDRO</v>
      </c>
      <c r="G41" s="43" t="str">
        <f t="shared" si="2"/>
        <v>SEBASTIAN</v>
      </c>
      <c r="H41" s="43" t="str">
        <f t="shared" si="3"/>
        <v>ARAYA SALAS</v>
      </c>
      <c r="I41" s="43" t="str">
        <f t="shared" si="4"/>
        <v>SEBASTIAN ARAYA SALAS</v>
      </c>
      <c r="J41" s="35" t="s">
        <v>2243</v>
      </c>
      <c r="K41" s="37">
        <v>7</v>
      </c>
      <c r="L41" s="37">
        <v>2</v>
      </c>
      <c r="M41" s="37" t="s">
        <v>1</v>
      </c>
    </row>
    <row r="42" spans="2:13" x14ac:dyDescent="0.25">
      <c r="B42" s="46">
        <v>39</v>
      </c>
      <c r="C42" s="33">
        <v>209590596</v>
      </c>
      <c r="D42" s="43" t="str">
        <f t="shared" si="0"/>
        <v>2-0959-0596</v>
      </c>
      <c r="E42" s="33" t="s">
        <v>48</v>
      </c>
      <c r="F42" s="43" t="str">
        <f t="shared" si="1"/>
        <v>DEIVID ALEXANDER</v>
      </c>
      <c r="G42" s="43" t="str">
        <f t="shared" si="2"/>
        <v>DEIVID</v>
      </c>
      <c r="H42" s="43" t="str">
        <f t="shared" si="3"/>
        <v>BETETA GONZALEZ</v>
      </c>
      <c r="I42" s="43" t="str">
        <f t="shared" si="4"/>
        <v>DEIVID BETETA GONZALEZ</v>
      </c>
      <c r="J42" s="35" t="s">
        <v>2243</v>
      </c>
      <c r="K42" s="37">
        <v>7</v>
      </c>
      <c r="L42" s="37">
        <v>2</v>
      </c>
      <c r="M42" s="37" t="s">
        <v>1</v>
      </c>
    </row>
    <row r="43" spans="2:13" x14ac:dyDescent="0.25">
      <c r="B43" s="48">
        <v>40</v>
      </c>
      <c r="C43" s="33">
        <v>402970029</v>
      </c>
      <c r="D43" s="43" t="str">
        <f t="shared" si="0"/>
        <v>4-0297-0029</v>
      </c>
      <c r="E43" s="33" t="s">
        <v>49</v>
      </c>
      <c r="F43" s="43" t="str">
        <f t="shared" si="1"/>
        <v>TRACY CAMILA</v>
      </c>
      <c r="G43" s="43" t="str">
        <f t="shared" si="2"/>
        <v>TRACY</v>
      </c>
      <c r="H43" s="43" t="str">
        <f t="shared" si="3"/>
        <v>CHAVES CHAVEZ</v>
      </c>
      <c r="I43" s="43" t="str">
        <f t="shared" si="4"/>
        <v>TRACY CHAVES CHAVEZ</v>
      </c>
      <c r="J43" s="35" t="s">
        <v>2243</v>
      </c>
      <c r="K43" s="37">
        <v>7</v>
      </c>
      <c r="L43" s="37">
        <v>2</v>
      </c>
      <c r="M43" s="37" t="s">
        <v>1</v>
      </c>
    </row>
    <row r="44" spans="2:13" x14ac:dyDescent="0.25">
      <c r="B44" s="48">
        <v>41</v>
      </c>
      <c r="C44" s="33">
        <v>121410096</v>
      </c>
      <c r="D44" s="43" t="str">
        <f t="shared" si="0"/>
        <v>1-2141-0096</v>
      </c>
      <c r="E44" s="33" t="s">
        <v>50</v>
      </c>
      <c r="F44" s="43" t="str">
        <f t="shared" si="1"/>
        <v>WENDY PAOLA</v>
      </c>
      <c r="G44" s="43" t="str">
        <f t="shared" si="2"/>
        <v>WENDY</v>
      </c>
      <c r="H44" s="43" t="str">
        <f t="shared" si="3"/>
        <v>ESPINOZA MORENO</v>
      </c>
      <c r="I44" s="43" t="str">
        <f t="shared" si="4"/>
        <v>WENDY ESPINOZA MORENO</v>
      </c>
      <c r="J44" s="35" t="s">
        <v>2243</v>
      </c>
      <c r="K44" s="37">
        <v>7</v>
      </c>
      <c r="L44" s="37">
        <v>2</v>
      </c>
      <c r="M44" s="37" t="s">
        <v>1</v>
      </c>
    </row>
    <row r="45" spans="2:13" x14ac:dyDescent="0.25">
      <c r="B45" s="46">
        <v>42</v>
      </c>
      <c r="C45" s="33">
        <v>402950257</v>
      </c>
      <c r="D45" s="43" t="str">
        <f t="shared" si="0"/>
        <v>4-0295-0257</v>
      </c>
      <c r="E45" s="33" t="s">
        <v>51</v>
      </c>
      <c r="F45" s="43" t="str">
        <f t="shared" si="1"/>
        <v>KRIASMED NAZARETH</v>
      </c>
      <c r="G45" s="43" t="str">
        <f t="shared" si="2"/>
        <v>KRIASMED</v>
      </c>
      <c r="H45" s="43" t="str">
        <f t="shared" si="3"/>
        <v>GOMEZ SANCHEZ</v>
      </c>
      <c r="I45" s="43" t="str">
        <f t="shared" si="4"/>
        <v>KRIASMED GOMEZ SANCHEZ</v>
      </c>
      <c r="J45" s="35" t="s">
        <v>2243</v>
      </c>
      <c r="K45" s="37">
        <v>7</v>
      </c>
      <c r="L45" s="37">
        <v>2</v>
      </c>
      <c r="M45" s="37" t="s">
        <v>1</v>
      </c>
    </row>
    <row r="46" spans="2:13" x14ac:dyDescent="0.25">
      <c r="B46" s="48">
        <v>43</v>
      </c>
      <c r="C46" s="33">
        <v>403000704</v>
      </c>
      <c r="D46" s="43" t="str">
        <f t="shared" si="0"/>
        <v>4-0300-0704</v>
      </c>
      <c r="E46" s="33" t="s">
        <v>52</v>
      </c>
      <c r="F46" s="43" t="str">
        <f t="shared" si="1"/>
        <v>KEISY SOFIA</v>
      </c>
      <c r="G46" s="43" t="str">
        <f t="shared" si="2"/>
        <v>KEISY</v>
      </c>
      <c r="H46" s="43" t="str">
        <f t="shared" si="3"/>
        <v>HERNANDEZ HERRERA</v>
      </c>
      <c r="I46" s="43" t="str">
        <f t="shared" si="4"/>
        <v>KEISY HERNANDEZ HERRERA</v>
      </c>
      <c r="J46" s="35" t="s">
        <v>2243</v>
      </c>
      <c r="K46" s="37">
        <v>7</v>
      </c>
      <c r="L46" s="37">
        <v>2</v>
      </c>
      <c r="M46" s="37" t="s">
        <v>1</v>
      </c>
    </row>
    <row r="47" spans="2:13" x14ac:dyDescent="0.25">
      <c r="B47" s="48">
        <v>44</v>
      </c>
      <c r="C47" s="33">
        <v>403000200</v>
      </c>
      <c r="D47" s="43" t="str">
        <f t="shared" si="0"/>
        <v>4-0300-0200</v>
      </c>
      <c r="E47" s="33" t="s">
        <v>53</v>
      </c>
      <c r="F47" s="43" t="str">
        <f t="shared" si="1"/>
        <v>ANGEL SEBASTIAN</v>
      </c>
      <c r="G47" s="43" t="str">
        <f t="shared" si="2"/>
        <v>ANGEL</v>
      </c>
      <c r="H47" s="43" t="str">
        <f t="shared" si="3"/>
        <v>LOPEZ ROJAS</v>
      </c>
      <c r="I47" s="43" t="str">
        <f t="shared" si="4"/>
        <v>ANGEL LOPEZ ROJAS</v>
      </c>
      <c r="J47" s="35" t="s">
        <v>2243</v>
      </c>
      <c r="K47" s="37">
        <v>7</v>
      </c>
      <c r="L47" s="37">
        <v>2</v>
      </c>
      <c r="M47" s="37" t="s">
        <v>1</v>
      </c>
    </row>
    <row r="48" spans="2:13" x14ac:dyDescent="0.25">
      <c r="B48" s="46">
        <v>45</v>
      </c>
      <c r="C48" s="33">
        <v>209570166</v>
      </c>
      <c r="D48" s="43" t="str">
        <f t="shared" si="0"/>
        <v>2-0957-0166</v>
      </c>
      <c r="E48" s="33" t="s">
        <v>54</v>
      </c>
      <c r="F48" s="43" t="str">
        <f t="shared" si="1"/>
        <v>EVELYN</v>
      </c>
      <c r="G48" s="43" t="str">
        <f t="shared" si="2"/>
        <v>EVELYN</v>
      </c>
      <c r="H48" s="43" t="str">
        <f t="shared" si="3"/>
        <v>MONTERO SOLANO</v>
      </c>
      <c r="I48" s="43" t="str">
        <f t="shared" si="4"/>
        <v>EVELYN MONTERO SOLANO</v>
      </c>
      <c r="J48" s="35" t="s">
        <v>2243</v>
      </c>
      <c r="K48" s="37">
        <v>7</v>
      </c>
      <c r="L48" s="37">
        <v>2</v>
      </c>
      <c r="M48" s="37" t="s">
        <v>1</v>
      </c>
    </row>
    <row r="49" spans="2:13" x14ac:dyDescent="0.25">
      <c r="B49" s="48">
        <v>46</v>
      </c>
      <c r="C49" s="33">
        <v>209660792</v>
      </c>
      <c r="D49" s="43" t="str">
        <f t="shared" si="0"/>
        <v>2-0966-0792</v>
      </c>
      <c r="E49" s="33" t="s">
        <v>2162</v>
      </c>
      <c r="F49" s="43" t="str">
        <f t="shared" si="1"/>
        <v>IAN GAEL</v>
      </c>
      <c r="G49" s="43" t="str">
        <f t="shared" si="2"/>
        <v>IAN</v>
      </c>
      <c r="H49" s="43" t="str">
        <f t="shared" si="3"/>
        <v>OTOYA MATUS</v>
      </c>
      <c r="I49" s="43" t="str">
        <f t="shared" si="4"/>
        <v>IAN OTOYA MATUS</v>
      </c>
      <c r="J49" s="35" t="s">
        <v>2243</v>
      </c>
      <c r="K49" s="37">
        <v>7</v>
      </c>
      <c r="L49" s="37">
        <v>2</v>
      </c>
      <c r="M49" s="37" t="s">
        <v>1</v>
      </c>
    </row>
    <row r="50" spans="2:13" x14ac:dyDescent="0.25">
      <c r="B50" s="48">
        <v>47</v>
      </c>
      <c r="C50" s="33">
        <v>209650815</v>
      </c>
      <c r="D50" s="43" t="str">
        <f t="shared" si="0"/>
        <v>2-0965-0815</v>
      </c>
      <c r="E50" s="33" t="s">
        <v>2218</v>
      </c>
      <c r="F50" s="43" t="str">
        <f t="shared" si="1"/>
        <v>MELANIE PAOLA</v>
      </c>
      <c r="G50" s="43" t="str">
        <f t="shared" si="2"/>
        <v>MELANIE</v>
      </c>
      <c r="H50" s="43" t="str">
        <f t="shared" si="3"/>
        <v>RAMIREZ CERDA</v>
      </c>
      <c r="I50" s="43" t="str">
        <f t="shared" si="4"/>
        <v>MELANIE RAMIREZ CERDA</v>
      </c>
      <c r="J50" s="35" t="s">
        <v>2243</v>
      </c>
      <c r="K50" s="37">
        <v>7</v>
      </c>
      <c r="L50" s="37">
        <v>2</v>
      </c>
      <c r="M50" s="37" t="s">
        <v>1</v>
      </c>
    </row>
    <row r="51" spans="2:13" x14ac:dyDescent="0.25">
      <c r="B51" s="46">
        <v>48</v>
      </c>
      <c r="C51" s="33">
        <v>901400050</v>
      </c>
      <c r="D51" s="43" t="str">
        <f t="shared" si="0"/>
        <v>9-0140-0050</v>
      </c>
      <c r="E51" s="33" t="s">
        <v>55</v>
      </c>
      <c r="F51" s="43" t="str">
        <f t="shared" si="1"/>
        <v>MATEO</v>
      </c>
      <c r="G51" s="43" t="str">
        <f t="shared" si="2"/>
        <v>MATEO</v>
      </c>
      <c r="H51" s="43" t="str">
        <f t="shared" si="3"/>
        <v>ROJAS OLIVEIRA</v>
      </c>
      <c r="I51" s="43" t="str">
        <f t="shared" si="4"/>
        <v>MATEO ROJAS OLIVEIRA</v>
      </c>
      <c r="J51" s="35" t="s">
        <v>2243</v>
      </c>
      <c r="K51" s="37">
        <v>7</v>
      </c>
      <c r="L51" s="37">
        <v>2</v>
      </c>
      <c r="M51" s="37" t="s">
        <v>1</v>
      </c>
    </row>
    <row r="52" spans="2:13" x14ac:dyDescent="0.25">
      <c r="B52" s="48">
        <v>49</v>
      </c>
      <c r="C52" s="33">
        <v>209530986</v>
      </c>
      <c r="D52" s="43" t="str">
        <f t="shared" si="0"/>
        <v>2-0953-0986</v>
      </c>
      <c r="E52" s="33" t="s">
        <v>56</v>
      </c>
      <c r="F52" s="43" t="str">
        <f t="shared" si="1"/>
        <v>MATTIAS</v>
      </c>
      <c r="G52" s="43" t="str">
        <f t="shared" si="2"/>
        <v>MATTIAS</v>
      </c>
      <c r="H52" s="43" t="str">
        <f t="shared" si="3"/>
        <v>SANDI VARGAS</v>
      </c>
      <c r="I52" s="43" t="str">
        <f t="shared" si="4"/>
        <v>MATTIAS SANDI VARGAS</v>
      </c>
      <c r="J52" s="35" t="s">
        <v>2243</v>
      </c>
      <c r="K52" s="37">
        <v>7</v>
      </c>
      <c r="L52" s="37">
        <v>2</v>
      </c>
      <c r="M52" s="37" t="s">
        <v>1</v>
      </c>
    </row>
    <row r="53" spans="2:13" x14ac:dyDescent="0.25">
      <c r="B53" s="48">
        <v>50</v>
      </c>
      <c r="C53" s="33">
        <v>209510677</v>
      </c>
      <c r="D53" s="43" t="str">
        <f t="shared" si="0"/>
        <v>2-0951-0677</v>
      </c>
      <c r="E53" s="33" t="s">
        <v>57</v>
      </c>
      <c r="F53" s="43" t="str">
        <f t="shared" si="1"/>
        <v>ISAAC YAMIL</v>
      </c>
      <c r="G53" s="43" t="str">
        <f t="shared" si="2"/>
        <v>ISAAC</v>
      </c>
      <c r="H53" s="43" t="str">
        <f t="shared" si="3"/>
        <v>SOTO HERNANDEZ</v>
      </c>
      <c r="I53" s="43" t="str">
        <f t="shared" si="4"/>
        <v>ISAAC SOTO HERNANDEZ</v>
      </c>
      <c r="J53" s="35" t="s">
        <v>2243</v>
      </c>
      <c r="K53" s="37">
        <v>7</v>
      </c>
      <c r="L53" s="37">
        <v>2</v>
      </c>
      <c r="M53" s="37" t="s">
        <v>1</v>
      </c>
    </row>
    <row r="54" spans="2:13" x14ac:dyDescent="0.25">
      <c r="B54" s="46">
        <v>51</v>
      </c>
      <c r="C54" s="33">
        <v>209530049</v>
      </c>
      <c r="D54" s="43" t="str">
        <f t="shared" si="0"/>
        <v>2-0953-0049</v>
      </c>
      <c r="E54" s="33" t="s">
        <v>58</v>
      </c>
      <c r="F54" s="43" t="str">
        <f t="shared" si="1"/>
        <v>SANTIAGO</v>
      </c>
      <c r="G54" s="43" t="str">
        <f t="shared" si="2"/>
        <v>SANTIAGO</v>
      </c>
      <c r="H54" s="43" t="str">
        <f t="shared" si="3"/>
        <v>UGARTE CARVAJAL</v>
      </c>
      <c r="I54" s="43" t="str">
        <f t="shared" si="4"/>
        <v>SANTIAGO UGARTE CARVAJAL</v>
      </c>
      <c r="J54" s="35" t="s">
        <v>2243</v>
      </c>
      <c r="K54" s="37">
        <v>7</v>
      </c>
      <c r="L54" s="37">
        <v>2</v>
      </c>
      <c r="M54" s="37" t="s">
        <v>1</v>
      </c>
    </row>
    <row r="55" spans="2:13" x14ac:dyDescent="0.25">
      <c r="B55" s="48">
        <v>52</v>
      </c>
      <c r="C55" s="43">
        <v>402990948</v>
      </c>
      <c r="D55" s="43" t="str">
        <f t="shared" si="0"/>
        <v>4-0299-0948</v>
      </c>
      <c r="E55" s="43" t="s">
        <v>59</v>
      </c>
      <c r="F55" s="43" t="str">
        <f t="shared" si="1"/>
        <v>SAMANTHA</v>
      </c>
      <c r="G55" s="43" t="str">
        <f t="shared" si="2"/>
        <v>SAMANTHA</v>
      </c>
      <c r="H55" s="43" t="str">
        <f t="shared" si="3"/>
        <v>ZUÑIGA VILLALOBOS</v>
      </c>
      <c r="I55" s="43" t="str">
        <f t="shared" si="4"/>
        <v>SAMANTHA ZUÑIGA VILLALOBOS</v>
      </c>
      <c r="J55" s="35" t="s">
        <v>2243</v>
      </c>
      <c r="K55" s="37">
        <v>7</v>
      </c>
      <c r="L55" s="37">
        <v>2</v>
      </c>
      <c r="M55" s="37" t="s">
        <v>1</v>
      </c>
    </row>
    <row r="56" spans="2:13" x14ac:dyDescent="0.25">
      <c r="B56" s="48">
        <v>53</v>
      </c>
      <c r="C56" s="43">
        <v>209680042</v>
      </c>
      <c r="D56" s="43" t="str">
        <f t="shared" si="0"/>
        <v>2-0968-0042</v>
      </c>
      <c r="E56" s="43" t="s">
        <v>60</v>
      </c>
      <c r="F56" s="43" t="str">
        <f t="shared" si="1"/>
        <v>ISAAC ANDRES</v>
      </c>
      <c r="G56" s="43" t="str">
        <f t="shared" si="2"/>
        <v>ISAAC</v>
      </c>
      <c r="H56" s="43" t="str">
        <f t="shared" si="3"/>
        <v>ALVARADO RAMIREZ</v>
      </c>
      <c r="I56" s="43" t="str">
        <f t="shared" si="4"/>
        <v>ISAAC ALVARADO RAMIREZ</v>
      </c>
      <c r="J56" s="35" t="s">
        <v>2243</v>
      </c>
      <c r="K56" s="37">
        <v>7</v>
      </c>
      <c r="L56" s="37">
        <v>2</v>
      </c>
      <c r="M56" s="37" t="s">
        <v>0</v>
      </c>
    </row>
    <row r="57" spans="2:13" x14ac:dyDescent="0.25">
      <c r="B57" s="46">
        <v>54</v>
      </c>
      <c r="C57" s="43">
        <v>209520143</v>
      </c>
      <c r="D57" s="43" t="str">
        <f t="shared" si="0"/>
        <v>2-0952-0143</v>
      </c>
      <c r="E57" s="43" t="s">
        <v>61</v>
      </c>
      <c r="F57" s="43" t="str">
        <f t="shared" si="1"/>
        <v>ELIAN YOSETH</v>
      </c>
      <c r="G57" s="43" t="str">
        <f t="shared" si="2"/>
        <v>ELIAN</v>
      </c>
      <c r="H57" s="43" t="str">
        <f t="shared" si="3"/>
        <v>ARLEY SEGURA</v>
      </c>
      <c r="I57" s="43" t="str">
        <f t="shared" si="4"/>
        <v>ELIAN ARLEY SEGURA</v>
      </c>
      <c r="J57" s="35" t="s">
        <v>2243</v>
      </c>
      <c r="K57" s="37">
        <v>7</v>
      </c>
      <c r="L57" s="37">
        <v>2</v>
      </c>
      <c r="M57" s="37" t="s">
        <v>0</v>
      </c>
    </row>
    <row r="58" spans="2:13" x14ac:dyDescent="0.25">
      <c r="B58" s="48">
        <v>55</v>
      </c>
      <c r="C58" s="33">
        <v>209520836</v>
      </c>
      <c r="D58" s="43" t="str">
        <f t="shared" si="0"/>
        <v>2-0952-0836</v>
      </c>
      <c r="E58" s="46" t="s">
        <v>258</v>
      </c>
      <c r="F58" s="43" t="str">
        <f t="shared" si="1"/>
        <v>JONATHAN DANIEL</v>
      </c>
      <c r="G58" s="43" t="str">
        <f t="shared" si="2"/>
        <v>JONATHAN</v>
      </c>
      <c r="H58" s="43" t="str">
        <f t="shared" si="3"/>
        <v>BERRIOS REYES</v>
      </c>
      <c r="I58" s="43" t="str">
        <f t="shared" si="4"/>
        <v>JONATHAN BERRIOS REYES</v>
      </c>
      <c r="J58" s="35" t="s">
        <v>2243</v>
      </c>
      <c r="K58" s="37">
        <v>7</v>
      </c>
      <c r="L58" s="37">
        <v>2</v>
      </c>
      <c r="M58" s="37" t="s">
        <v>0</v>
      </c>
    </row>
    <row r="59" spans="2:13" x14ac:dyDescent="0.25">
      <c r="B59" s="48">
        <v>56</v>
      </c>
      <c r="C59" s="43">
        <v>209540248</v>
      </c>
      <c r="D59" s="43" t="str">
        <f t="shared" si="0"/>
        <v>2-0954-0248</v>
      </c>
      <c r="E59" s="43" t="s">
        <v>62</v>
      </c>
      <c r="F59" s="43" t="str">
        <f t="shared" si="1"/>
        <v>DERECK SAMUEL</v>
      </c>
      <c r="G59" s="43" t="str">
        <f t="shared" si="2"/>
        <v>DERECK</v>
      </c>
      <c r="H59" s="43" t="str">
        <f t="shared" si="3"/>
        <v>CALVO CORDOBA</v>
      </c>
      <c r="I59" s="43" t="str">
        <f t="shared" si="4"/>
        <v>DERECK CALVO CORDOBA</v>
      </c>
      <c r="J59" s="35" t="s">
        <v>2243</v>
      </c>
      <c r="K59" s="37">
        <v>7</v>
      </c>
      <c r="L59" s="37">
        <v>2</v>
      </c>
      <c r="M59" s="37" t="s">
        <v>0</v>
      </c>
    </row>
    <row r="60" spans="2:13" x14ac:dyDescent="0.25">
      <c r="B60" s="46">
        <v>57</v>
      </c>
      <c r="C60" s="43">
        <v>209660301</v>
      </c>
      <c r="D60" s="43" t="str">
        <f t="shared" si="0"/>
        <v>2-0966-0301</v>
      </c>
      <c r="E60" s="43" t="s">
        <v>63</v>
      </c>
      <c r="F60" s="43" t="str">
        <f t="shared" si="1"/>
        <v>EBAN MATHEO</v>
      </c>
      <c r="G60" s="43" t="str">
        <f t="shared" si="2"/>
        <v>EBAN</v>
      </c>
      <c r="H60" s="43" t="str">
        <f t="shared" si="3"/>
        <v>CENTENO HERNÁNDEZ</v>
      </c>
      <c r="I60" s="43" t="str">
        <f t="shared" si="4"/>
        <v>EBAN CENTENO HERNÁNDEZ</v>
      </c>
      <c r="J60" s="35" t="s">
        <v>2243</v>
      </c>
      <c r="K60" s="37">
        <v>7</v>
      </c>
      <c r="L60" s="37">
        <v>2</v>
      </c>
      <c r="M60" s="37" t="s">
        <v>0</v>
      </c>
    </row>
    <row r="61" spans="2:13" x14ac:dyDescent="0.25">
      <c r="B61" s="48">
        <v>58</v>
      </c>
      <c r="C61" s="43">
        <v>209650915</v>
      </c>
      <c r="D61" s="43" t="str">
        <f t="shared" si="0"/>
        <v>2-0965-0915</v>
      </c>
      <c r="E61" s="43" t="s">
        <v>64</v>
      </c>
      <c r="F61" s="43" t="str">
        <f t="shared" si="1"/>
        <v>KRISBELL DAYANNA</v>
      </c>
      <c r="G61" s="43" t="str">
        <f t="shared" si="2"/>
        <v>KRISBELL</v>
      </c>
      <c r="H61" s="43" t="str">
        <f t="shared" si="3"/>
        <v>CORTEDANO ARGEÑAL</v>
      </c>
      <c r="I61" s="43" t="str">
        <f t="shared" si="4"/>
        <v>KRISBELL CORTEDANO ARGEÑAL</v>
      </c>
      <c r="J61" s="35" t="s">
        <v>2243</v>
      </c>
      <c r="K61" s="37">
        <v>7</v>
      </c>
      <c r="L61" s="37">
        <v>2</v>
      </c>
      <c r="M61" s="37" t="s">
        <v>0</v>
      </c>
    </row>
    <row r="62" spans="2:13" x14ac:dyDescent="0.25">
      <c r="B62" s="48">
        <v>59</v>
      </c>
      <c r="C62" s="43">
        <v>209560233</v>
      </c>
      <c r="D62" s="43" t="str">
        <f t="shared" si="0"/>
        <v>2-0956-0233</v>
      </c>
      <c r="E62" s="43" t="s">
        <v>65</v>
      </c>
      <c r="F62" s="43" t="str">
        <f t="shared" si="1"/>
        <v>ALONSO ESTEBAN</v>
      </c>
      <c r="G62" s="43" t="str">
        <f t="shared" si="2"/>
        <v>ALONSO</v>
      </c>
      <c r="H62" s="43" t="str">
        <f t="shared" si="3"/>
        <v>GAMEZ VEGA</v>
      </c>
      <c r="I62" s="43" t="str">
        <f t="shared" si="4"/>
        <v>ALONSO GAMEZ VEGA</v>
      </c>
      <c r="J62" s="35" t="s">
        <v>2243</v>
      </c>
      <c r="K62" s="37">
        <v>7</v>
      </c>
      <c r="L62" s="37">
        <v>2</v>
      </c>
      <c r="M62" s="37" t="s">
        <v>0</v>
      </c>
    </row>
    <row r="63" spans="2:13" x14ac:dyDescent="0.25">
      <c r="B63" s="46">
        <v>60</v>
      </c>
      <c r="C63" s="43">
        <v>209660867</v>
      </c>
      <c r="D63" s="43" t="str">
        <f t="shared" si="0"/>
        <v>2-0966-0867</v>
      </c>
      <c r="E63" s="43" t="s">
        <v>66</v>
      </c>
      <c r="F63" s="43" t="str">
        <f t="shared" si="1"/>
        <v>BRANDON STEVEN</v>
      </c>
      <c r="G63" s="43" t="str">
        <f t="shared" si="2"/>
        <v>BRANDON</v>
      </c>
      <c r="H63" s="43" t="str">
        <f t="shared" si="3"/>
        <v>GONZALEZ ROSALES</v>
      </c>
      <c r="I63" s="43" t="str">
        <f t="shared" si="4"/>
        <v>BRANDON GONZALEZ ROSALES</v>
      </c>
      <c r="J63" s="35" t="s">
        <v>2243</v>
      </c>
      <c r="K63" s="37">
        <v>7</v>
      </c>
      <c r="L63" s="37">
        <v>2</v>
      </c>
      <c r="M63" s="37" t="s">
        <v>0</v>
      </c>
    </row>
    <row r="64" spans="2:13" x14ac:dyDescent="0.25">
      <c r="B64" s="48">
        <v>61</v>
      </c>
      <c r="C64" s="44">
        <v>999990061</v>
      </c>
      <c r="D64" s="43" t="s">
        <v>67</v>
      </c>
      <c r="E64" s="43" t="s">
        <v>68</v>
      </c>
      <c r="F64" s="43" t="str">
        <f t="shared" si="1"/>
        <v>OSMANY YURIEL</v>
      </c>
      <c r="G64" s="43" t="str">
        <f t="shared" si="2"/>
        <v>OSMANY</v>
      </c>
      <c r="H64" s="43" t="str">
        <f t="shared" si="3"/>
        <v>LARIOS HENRIQUEZ</v>
      </c>
      <c r="I64" s="43" t="str">
        <f t="shared" si="4"/>
        <v>OSMANY LARIOS HENRIQUEZ</v>
      </c>
      <c r="J64" s="35" t="s">
        <v>2243</v>
      </c>
      <c r="K64" s="37">
        <v>7</v>
      </c>
      <c r="L64" s="37">
        <v>2</v>
      </c>
      <c r="M64" s="37" t="s">
        <v>0</v>
      </c>
    </row>
    <row r="65" spans="2:13" x14ac:dyDescent="0.25">
      <c r="B65" s="48">
        <v>62</v>
      </c>
      <c r="C65" s="43">
        <v>403000458</v>
      </c>
      <c r="D65" s="43" t="str">
        <f t="shared" si="0"/>
        <v>4-0300-0458</v>
      </c>
      <c r="E65" s="43" t="s">
        <v>69</v>
      </c>
      <c r="F65" s="43" t="str">
        <f t="shared" si="1"/>
        <v xml:space="preserve">VALENTINA </v>
      </c>
      <c r="G65" s="43" t="str">
        <f t="shared" si="2"/>
        <v>VALENTINA</v>
      </c>
      <c r="H65" s="43" t="str">
        <f t="shared" si="3"/>
        <v>MENA VALVERDE</v>
      </c>
      <c r="I65" s="43" t="str">
        <f t="shared" si="4"/>
        <v>VALENTINA MENA VALVERDE</v>
      </c>
      <c r="J65" s="35" t="s">
        <v>2243</v>
      </c>
      <c r="K65" s="37">
        <v>7</v>
      </c>
      <c r="L65" s="37">
        <v>2</v>
      </c>
      <c r="M65" s="37" t="s">
        <v>0</v>
      </c>
    </row>
    <row r="66" spans="2:13" x14ac:dyDescent="0.25">
      <c r="B66" s="46">
        <v>63</v>
      </c>
      <c r="C66" s="43">
        <v>209620896</v>
      </c>
      <c r="D66" s="43" t="str">
        <f t="shared" si="0"/>
        <v>2-0962-0896</v>
      </c>
      <c r="E66" s="43" t="s">
        <v>2217</v>
      </c>
      <c r="F66" s="43" t="str">
        <f t="shared" si="1"/>
        <v>HELLEN VALENTINA</v>
      </c>
      <c r="G66" s="43" t="str">
        <f t="shared" si="2"/>
        <v>HELLEN</v>
      </c>
      <c r="H66" s="43" t="str">
        <f t="shared" si="3"/>
        <v>MORALES RUIZ</v>
      </c>
      <c r="I66" s="43" t="str">
        <f t="shared" si="4"/>
        <v>HELLEN MORALES RUIZ</v>
      </c>
      <c r="J66" s="35" t="s">
        <v>2243</v>
      </c>
      <c r="K66" s="37">
        <v>7</v>
      </c>
      <c r="L66" s="37">
        <v>2</v>
      </c>
      <c r="M66" s="37" t="s">
        <v>0</v>
      </c>
    </row>
    <row r="67" spans="2:13" x14ac:dyDescent="0.25">
      <c r="B67" s="48">
        <v>64</v>
      </c>
      <c r="C67" s="43">
        <v>209550671</v>
      </c>
      <c r="D67" s="43" t="str">
        <f t="shared" si="0"/>
        <v>2-0955-0671</v>
      </c>
      <c r="E67" s="43" t="s">
        <v>70</v>
      </c>
      <c r="F67" s="43" t="str">
        <f t="shared" si="1"/>
        <v>NAHOMY JULIET</v>
      </c>
      <c r="G67" s="43" t="str">
        <f t="shared" si="2"/>
        <v>NAHOMY</v>
      </c>
      <c r="H67" s="43" t="str">
        <f t="shared" si="3"/>
        <v>PILARTE MARCIA</v>
      </c>
      <c r="I67" s="43" t="str">
        <f t="shared" si="4"/>
        <v>NAHOMY PILARTE MARCIA</v>
      </c>
      <c r="J67" s="35" t="s">
        <v>2243</v>
      </c>
      <c r="K67" s="37">
        <v>7</v>
      </c>
      <c r="L67" s="37">
        <v>2</v>
      </c>
      <c r="M67" s="37" t="s">
        <v>0</v>
      </c>
    </row>
    <row r="68" spans="2:13" x14ac:dyDescent="0.25">
      <c r="B68" s="48">
        <v>65</v>
      </c>
      <c r="C68" s="43">
        <v>402960490</v>
      </c>
      <c r="D68" s="43" t="str">
        <f t="shared" ref="D68:D131" si="5">IF(LEN(C68)=9,_xlfn.CONCAT(MID(C68,1,1),"-",MID(C68,2,4),"-",MID(C68,6,4)),TEXT(C68,"000000000000"))</f>
        <v>4-0296-0490</v>
      </c>
      <c r="E68" s="43" t="s">
        <v>2184</v>
      </c>
      <c r="F68" s="43" t="str">
        <f t="shared" si="1"/>
        <v>JOSELYNE VALERIA</v>
      </c>
      <c r="G68" s="43" t="str">
        <f t="shared" si="2"/>
        <v>JOSELYNE</v>
      </c>
      <c r="H68" s="43" t="str">
        <f t="shared" si="3"/>
        <v>RAMIREZ ROJAS</v>
      </c>
      <c r="I68" s="43" t="str">
        <f t="shared" si="4"/>
        <v>JOSELYNE RAMIREZ ROJAS</v>
      </c>
      <c r="J68" s="35" t="s">
        <v>2243</v>
      </c>
      <c r="K68" s="37">
        <v>7</v>
      </c>
      <c r="L68" s="37">
        <v>2</v>
      </c>
      <c r="M68" s="37" t="s">
        <v>0</v>
      </c>
    </row>
    <row r="69" spans="2:13" x14ac:dyDescent="0.25">
      <c r="B69" s="46">
        <v>66</v>
      </c>
      <c r="C69" s="43">
        <v>209590089</v>
      </c>
      <c r="D69" s="43" t="str">
        <f t="shared" si="5"/>
        <v>2-0959-0089</v>
      </c>
      <c r="E69" s="43" t="s">
        <v>71</v>
      </c>
      <c r="F69" s="43" t="str">
        <f t="shared" ref="F69:F132" si="6">RIGHT(E69,LEN(E69)-SEARCH(" ",E69,SEARCH(" ",E69)+1))</f>
        <v>MATHIAS</v>
      </c>
      <c r="G69" s="43" t="str">
        <f t="shared" ref="G69:G132" si="7">IFERROR(LEFT(F69,SEARCH(" ",F69,1)-1),F69)</f>
        <v>MATHIAS</v>
      </c>
      <c r="H69" s="43" t="str">
        <f t="shared" ref="H69:H132" si="8">LEFT(E69,SEARCH(" ",E69,SEARCH(" ",E69)+1)-1)</f>
        <v>RODRIGUEZ LUNA</v>
      </c>
      <c r="I69" s="43" t="str">
        <f t="shared" ref="I69:I132" si="9">_xlfn.CONCAT(G69," ",H69)</f>
        <v>MATHIAS RODRIGUEZ LUNA</v>
      </c>
      <c r="J69" s="35" t="s">
        <v>2243</v>
      </c>
      <c r="K69" s="37">
        <v>7</v>
      </c>
      <c r="L69" s="37">
        <v>2</v>
      </c>
      <c r="M69" s="37" t="s">
        <v>0</v>
      </c>
    </row>
    <row r="70" spans="2:13" x14ac:dyDescent="0.25">
      <c r="B70" s="48">
        <v>67</v>
      </c>
      <c r="C70" s="43">
        <v>402960937</v>
      </c>
      <c r="D70" s="43" t="str">
        <f t="shared" si="5"/>
        <v>4-0296-0937</v>
      </c>
      <c r="E70" s="43" t="s">
        <v>72</v>
      </c>
      <c r="F70" s="43" t="str">
        <f t="shared" si="6"/>
        <v>GABRIEL FABRICIO</v>
      </c>
      <c r="G70" s="43" t="str">
        <f t="shared" si="7"/>
        <v>GABRIEL</v>
      </c>
      <c r="H70" s="43" t="str">
        <f t="shared" si="8"/>
        <v>SALAS CARBALLO</v>
      </c>
      <c r="I70" s="43" t="str">
        <f t="shared" si="9"/>
        <v>GABRIEL SALAS CARBALLO</v>
      </c>
      <c r="J70" s="35" t="s">
        <v>2243</v>
      </c>
      <c r="K70" s="37">
        <v>7</v>
      </c>
      <c r="L70" s="37">
        <v>2</v>
      </c>
      <c r="M70" s="37" t="s">
        <v>0</v>
      </c>
    </row>
    <row r="71" spans="2:13" x14ac:dyDescent="0.25">
      <c r="B71" s="48">
        <v>68</v>
      </c>
      <c r="C71" s="43">
        <v>209640253</v>
      </c>
      <c r="D71" s="43" t="str">
        <f t="shared" si="5"/>
        <v>2-0964-0253</v>
      </c>
      <c r="E71" s="43" t="s">
        <v>2216</v>
      </c>
      <c r="F71" s="43" t="str">
        <f t="shared" si="6"/>
        <v>NOHEMI CELESTE</v>
      </c>
      <c r="G71" s="43" t="str">
        <f t="shared" si="7"/>
        <v>NOHEMI</v>
      </c>
      <c r="H71" s="43" t="str">
        <f t="shared" si="8"/>
        <v>SOLIS ESPINOZA</v>
      </c>
      <c r="I71" s="43" t="str">
        <f t="shared" si="9"/>
        <v>NOHEMI SOLIS ESPINOZA</v>
      </c>
      <c r="J71" s="35" t="s">
        <v>2243</v>
      </c>
      <c r="K71" s="37">
        <v>7</v>
      </c>
      <c r="L71" s="37">
        <v>2</v>
      </c>
      <c r="M71" s="37" t="s">
        <v>0</v>
      </c>
    </row>
    <row r="72" spans="2:13" x14ac:dyDescent="0.25">
      <c r="B72" s="46">
        <v>69</v>
      </c>
      <c r="C72" s="43">
        <v>209620502</v>
      </c>
      <c r="D72" s="43" t="str">
        <f t="shared" si="5"/>
        <v>2-0962-0502</v>
      </c>
      <c r="E72" s="43" t="s">
        <v>73</v>
      </c>
      <c r="F72" s="43" t="str">
        <f t="shared" si="6"/>
        <v>KEYLEB</v>
      </c>
      <c r="G72" s="43" t="str">
        <f t="shared" si="7"/>
        <v>KEYLEB</v>
      </c>
      <c r="H72" s="43" t="str">
        <f t="shared" si="8"/>
        <v>URBINA RODAS</v>
      </c>
      <c r="I72" s="43" t="str">
        <f t="shared" si="9"/>
        <v>KEYLEB URBINA RODAS</v>
      </c>
      <c r="J72" s="35" t="s">
        <v>2243</v>
      </c>
      <c r="K72" s="37">
        <v>7</v>
      </c>
      <c r="L72" s="37">
        <v>2</v>
      </c>
      <c r="M72" s="37" t="s">
        <v>0</v>
      </c>
    </row>
    <row r="73" spans="2:13" x14ac:dyDescent="0.25">
      <c r="B73" s="48">
        <v>70</v>
      </c>
      <c r="C73" s="33">
        <v>209530952</v>
      </c>
      <c r="D73" s="43" t="str">
        <f t="shared" si="5"/>
        <v>2-0953-0952</v>
      </c>
      <c r="E73" s="33" t="s">
        <v>74</v>
      </c>
      <c r="F73" s="43" t="str">
        <f t="shared" si="6"/>
        <v>CRISTOFER JESUS</v>
      </c>
      <c r="G73" s="43" t="str">
        <f t="shared" si="7"/>
        <v>CRISTOFER</v>
      </c>
      <c r="H73" s="43" t="str">
        <f t="shared" si="8"/>
        <v>AGUILAR MALESPIN</v>
      </c>
      <c r="I73" s="43" t="str">
        <f t="shared" si="9"/>
        <v>CRISTOFER AGUILAR MALESPIN</v>
      </c>
      <c r="J73" s="35" t="s">
        <v>2243</v>
      </c>
      <c r="K73" s="37">
        <v>7</v>
      </c>
      <c r="L73" s="37">
        <v>3</v>
      </c>
      <c r="M73" s="37" t="s">
        <v>1</v>
      </c>
    </row>
    <row r="74" spans="2:13" x14ac:dyDescent="0.25">
      <c r="B74" s="48">
        <v>71</v>
      </c>
      <c r="C74" s="33">
        <v>402990291</v>
      </c>
      <c r="D74" s="43" t="str">
        <f t="shared" si="5"/>
        <v>4-0299-0291</v>
      </c>
      <c r="E74" s="33" t="s">
        <v>75</v>
      </c>
      <c r="F74" s="43" t="str">
        <f t="shared" si="6"/>
        <v>IKER GABRIEL</v>
      </c>
      <c r="G74" s="43" t="str">
        <f t="shared" si="7"/>
        <v>IKER</v>
      </c>
      <c r="H74" s="43" t="str">
        <f t="shared" si="8"/>
        <v>ARAYA SANCHEZ</v>
      </c>
      <c r="I74" s="43" t="str">
        <f t="shared" si="9"/>
        <v>IKER ARAYA SANCHEZ</v>
      </c>
      <c r="J74" s="35" t="s">
        <v>2243</v>
      </c>
      <c r="K74" s="37">
        <v>7</v>
      </c>
      <c r="L74" s="37">
        <v>3</v>
      </c>
      <c r="M74" s="37" t="s">
        <v>1</v>
      </c>
    </row>
    <row r="75" spans="2:13" x14ac:dyDescent="0.25">
      <c r="B75" s="46">
        <v>72</v>
      </c>
      <c r="C75" s="33">
        <v>209520676</v>
      </c>
      <c r="D75" s="43" t="str">
        <f t="shared" si="5"/>
        <v>2-0952-0676</v>
      </c>
      <c r="E75" s="33" t="s">
        <v>76</v>
      </c>
      <c r="F75" s="43" t="str">
        <f t="shared" si="6"/>
        <v>BERNI STEVEN</v>
      </c>
      <c r="G75" s="43" t="str">
        <f t="shared" si="7"/>
        <v>BERNI</v>
      </c>
      <c r="H75" s="43" t="str">
        <f t="shared" si="8"/>
        <v>BLANDON REYES</v>
      </c>
      <c r="I75" s="43" t="str">
        <f t="shared" si="9"/>
        <v>BERNI BLANDON REYES</v>
      </c>
      <c r="J75" s="35" t="s">
        <v>2243</v>
      </c>
      <c r="K75" s="37">
        <v>7</v>
      </c>
      <c r="L75" s="37">
        <v>3</v>
      </c>
      <c r="M75" s="37" t="s">
        <v>1</v>
      </c>
    </row>
    <row r="76" spans="2:13" x14ac:dyDescent="0.25">
      <c r="B76" s="48">
        <v>73</v>
      </c>
      <c r="C76" s="33">
        <v>402970432</v>
      </c>
      <c r="D76" s="43" t="str">
        <f t="shared" si="5"/>
        <v>4-0297-0432</v>
      </c>
      <c r="E76" s="33" t="s">
        <v>77</v>
      </c>
      <c r="F76" s="43" t="str">
        <f t="shared" si="6"/>
        <v>GABRIEL</v>
      </c>
      <c r="G76" s="43" t="str">
        <f t="shared" si="7"/>
        <v>GABRIEL</v>
      </c>
      <c r="H76" s="43" t="str">
        <f t="shared" si="8"/>
        <v>CARVAJAL JIMENEZ</v>
      </c>
      <c r="I76" s="43" t="str">
        <f t="shared" si="9"/>
        <v>GABRIEL CARVAJAL JIMENEZ</v>
      </c>
      <c r="J76" s="35" t="s">
        <v>2243</v>
      </c>
      <c r="K76" s="37">
        <v>7</v>
      </c>
      <c r="L76" s="37">
        <v>3</v>
      </c>
      <c r="M76" s="37" t="s">
        <v>1</v>
      </c>
    </row>
    <row r="77" spans="2:13" x14ac:dyDescent="0.25">
      <c r="B77" s="48">
        <v>74</v>
      </c>
      <c r="C77" s="33">
        <v>121470586</v>
      </c>
      <c r="D77" s="43" t="str">
        <f t="shared" si="5"/>
        <v>1-2147-0586</v>
      </c>
      <c r="E77" s="33" t="s">
        <v>78</v>
      </c>
      <c r="F77" s="43" t="str">
        <f t="shared" si="6"/>
        <v>SANTIAGO</v>
      </c>
      <c r="G77" s="43" t="str">
        <f t="shared" si="7"/>
        <v>SANTIAGO</v>
      </c>
      <c r="H77" s="43" t="str">
        <f t="shared" si="8"/>
        <v>CHAVES ROJAS</v>
      </c>
      <c r="I77" s="43" t="str">
        <f t="shared" si="9"/>
        <v>SANTIAGO CHAVES ROJAS</v>
      </c>
      <c r="J77" s="35" t="s">
        <v>2243</v>
      </c>
      <c r="K77" s="37">
        <v>7</v>
      </c>
      <c r="L77" s="37">
        <v>3</v>
      </c>
      <c r="M77" s="37" t="s">
        <v>1</v>
      </c>
    </row>
    <row r="78" spans="2:13" x14ac:dyDescent="0.25">
      <c r="B78" s="46">
        <v>75</v>
      </c>
      <c r="C78" s="33">
        <v>209630272</v>
      </c>
      <c r="D78" s="43" t="str">
        <f t="shared" si="5"/>
        <v>2-0963-0272</v>
      </c>
      <c r="E78" s="33" t="s">
        <v>79</v>
      </c>
      <c r="F78" s="43" t="str">
        <f t="shared" si="6"/>
        <v>NAHOMY FRANCELA</v>
      </c>
      <c r="G78" s="43" t="str">
        <f t="shared" si="7"/>
        <v>NAHOMY</v>
      </c>
      <c r="H78" s="43" t="str">
        <f t="shared" si="8"/>
        <v>FALLAS RODRIGUEZ</v>
      </c>
      <c r="I78" s="43" t="str">
        <f t="shared" si="9"/>
        <v>NAHOMY FALLAS RODRIGUEZ</v>
      </c>
      <c r="J78" s="35" t="s">
        <v>2243</v>
      </c>
      <c r="K78" s="37">
        <v>7</v>
      </c>
      <c r="L78" s="37">
        <v>3</v>
      </c>
      <c r="M78" s="37" t="s">
        <v>1</v>
      </c>
    </row>
    <row r="79" spans="2:13" x14ac:dyDescent="0.25">
      <c r="B79" s="48">
        <v>76</v>
      </c>
      <c r="C79" s="33">
        <v>403000693</v>
      </c>
      <c r="D79" s="43" t="str">
        <f t="shared" si="5"/>
        <v>4-0300-0693</v>
      </c>
      <c r="E79" s="33" t="s">
        <v>80</v>
      </c>
      <c r="F79" s="43" t="str">
        <f t="shared" si="6"/>
        <v>YULIETH</v>
      </c>
      <c r="G79" s="43" t="str">
        <f t="shared" si="7"/>
        <v>YULIETH</v>
      </c>
      <c r="H79" s="43" t="str">
        <f t="shared" si="8"/>
        <v>HERNANDEZ RODRIGUEZ</v>
      </c>
      <c r="I79" s="43" t="str">
        <f t="shared" si="9"/>
        <v>YULIETH HERNANDEZ RODRIGUEZ</v>
      </c>
      <c r="J79" s="35" t="s">
        <v>2243</v>
      </c>
      <c r="K79" s="37">
        <v>7</v>
      </c>
      <c r="L79" s="37">
        <v>3</v>
      </c>
      <c r="M79" s="37" t="s">
        <v>1</v>
      </c>
    </row>
    <row r="80" spans="2:13" x14ac:dyDescent="0.25">
      <c r="B80" s="48">
        <v>77</v>
      </c>
      <c r="C80" s="33">
        <v>402990426</v>
      </c>
      <c r="D80" s="43" t="str">
        <f t="shared" si="5"/>
        <v>4-0299-0426</v>
      </c>
      <c r="E80" s="33" t="s">
        <v>81</v>
      </c>
      <c r="F80" s="43" t="str">
        <f t="shared" si="6"/>
        <v>DEREK SAMIR</v>
      </c>
      <c r="G80" s="43" t="str">
        <f t="shared" si="7"/>
        <v>DEREK</v>
      </c>
      <c r="H80" s="43" t="str">
        <f t="shared" si="8"/>
        <v>LORIA MORALES</v>
      </c>
      <c r="I80" s="43" t="str">
        <f t="shared" si="9"/>
        <v>DEREK LORIA MORALES</v>
      </c>
      <c r="J80" s="35" t="s">
        <v>2243</v>
      </c>
      <c r="K80" s="37">
        <v>7</v>
      </c>
      <c r="L80" s="37">
        <v>3</v>
      </c>
      <c r="M80" s="37" t="s">
        <v>1</v>
      </c>
    </row>
    <row r="81" spans="2:13" x14ac:dyDescent="0.25">
      <c r="B81" s="46">
        <v>78</v>
      </c>
      <c r="C81" s="33">
        <v>120810395</v>
      </c>
      <c r="D81" s="43" t="str">
        <f t="shared" si="5"/>
        <v>1-2081-0395</v>
      </c>
      <c r="E81" s="46" t="s">
        <v>246</v>
      </c>
      <c r="F81" s="43" t="str">
        <f t="shared" si="6"/>
        <v>JUSTIN</v>
      </c>
      <c r="G81" s="43" t="str">
        <f t="shared" si="7"/>
        <v>JUSTIN</v>
      </c>
      <c r="H81" s="43" t="str">
        <f t="shared" si="8"/>
        <v>MADRIGAL TORRES</v>
      </c>
      <c r="I81" s="43" t="str">
        <f t="shared" si="9"/>
        <v>JUSTIN MADRIGAL TORRES</v>
      </c>
      <c r="J81" s="35" t="s">
        <v>2243</v>
      </c>
      <c r="K81" s="37">
        <v>7</v>
      </c>
      <c r="L81" s="37">
        <v>3</v>
      </c>
      <c r="M81" s="37" t="s">
        <v>1</v>
      </c>
    </row>
    <row r="82" spans="2:13" x14ac:dyDescent="0.25">
      <c r="B82" s="48">
        <v>79</v>
      </c>
      <c r="C82" s="33">
        <v>402980061</v>
      </c>
      <c r="D82" s="43" t="str">
        <f t="shared" si="5"/>
        <v>4-0298-0061</v>
      </c>
      <c r="E82" s="33" t="s">
        <v>82</v>
      </c>
      <c r="F82" s="43" t="str">
        <f t="shared" si="6"/>
        <v>EMMA</v>
      </c>
      <c r="G82" s="43" t="str">
        <f t="shared" si="7"/>
        <v>EMMA</v>
      </c>
      <c r="H82" s="43" t="str">
        <f t="shared" si="8"/>
        <v>MORA ALFARO</v>
      </c>
      <c r="I82" s="43" t="str">
        <f t="shared" si="9"/>
        <v>EMMA MORA ALFARO</v>
      </c>
      <c r="J82" s="35" t="s">
        <v>2243</v>
      </c>
      <c r="K82" s="37">
        <v>7</v>
      </c>
      <c r="L82" s="37">
        <v>3</v>
      </c>
      <c r="M82" s="37" t="s">
        <v>1</v>
      </c>
    </row>
    <row r="83" spans="2:13" x14ac:dyDescent="0.25">
      <c r="B83" s="48">
        <v>80</v>
      </c>
      <c r="C83" s="33">
        <v>403000004</v>
      </c>
      <c r="D83" s="43" t="str">
        <f t="shared" si="5"/>
        <v>4-0300-0004</v>
      </c>
      <c r="E83" s="33" t="s">
        <v>2215</v>
      </c>
      <c r="F83" s="43" t="str">
        <f t="shared" si="6"/>
        <v>LUIS FERNANDO</v>
      </c>
      <c r="G83" s="43" t="str">
        <f t="shared" si="7"/>
        <v>LUIS</v>
      </c>
      <c r="H83" s="43" t="str">
        <f t="shared" si="8"/>
        <v>PAO AMADOR</v>
      </c>
      <c r="I83" s="43" t="str">
        <f t="shared" si="9"/>
        <v>LUIS PAO AMADOR</v>
      </c>
      <c r="J83" s="35" t="s">
        <v>2243</v>
      </c>
      <c r="K83" s="37">
        <v>7</v>
      </c>
      <c r="L83" s="37">
        <v>3</v>
      </c>
      <c r="M83" s="37" t="s">
        <v>1</v>
      </c>
    </row>
    <row r="84" spans="2:13" x14ac:dyDescent="0.25">
      <c r="B84" s="46">
        <v>81</v>
      </c>
      <c r="C84" s="33">
        <v>209570794</v>
      </c>
      <c r="D84" s="43" t="str">
        <f t="shared" si="5"/>
        <v>2-0957-0794</v>
      </c>
      <c r="E84" s="33" t="s">
        <v>83</v>
      </c>
      <c r="F84" s="43" t="str">
        <f t="shared" si="6"/>
        <v>ALVARO JOSUE</v>
      </c>
      <c r="G84" s="43" t="str">
        <f t="shared" si="7"/>
        <v>ALVARO</v>
      </c>
      <c r="H84" s="43" t="str">
        <f t="shared" si="8"/>
        <v>RIVERA BUSTAMANTE</v>
      </c>
      <c r="I84" s="43" t="str">
        <f t="shared" si="9"/>
        <v>ALVARO RIVERA BUSTAMANTE</v>
      </c>
      <c r="J84" s="35" t="s">
        <v>2243</v>
      </c>
      <c r="K84" s="37">
        <v>7</v>
      </c>
      <c r="L84" s="37">
        <v>3</v>
      </c>
      <c r="M84" s="37" t="s">
        <v>1</v>
      </c>
    </row>
    <row r="85" spans="2:13" x14ac:dyDescent="0.25">
      <c r="B85" s="48">
        <v>82</v>
      </c>
      <c r="C85" s="33">
        <v>209610064</v>
      </c>
      <c r="D85" s="43" t="str">
        <f t="shared" si="5"/>
        <v>2-0961-0064</v>
      </c>
      <c r="E85" s="33" t="s">
        <v>84</v>
      </c>
      <c r="F85" s="43" t="str">
        <f t="shared" si="6"/>
        <v>TOMAS ESTEBAN</v>
      </c>
      <c r="G85" s="43" t="str">
        <f t="shared" si="7"/>
        <v>TOMAS</v>
      </c>
      <c r="H85" s="43" t="str">
        <f t="shared" si="8"/>
        <v>ROJAS ROJAS</v>
      </c>
      <c r="I85" s="43" t="str">
        <f t="shared" si="9"/>
        <v>TOMAS ROJAS ROJAS</v>
      </c>
      <c r="J85" s="35" t="s">
        <v>2243</v>
      </c>
      <c r="K85" s="37">
        <v>7</v>
      </c>
      <c r="L85" s="37">
        <v>3</v>
      </c>
      <c r="M85" s="37" t="s">
        <v>1</v>
      </c>
    </row>
    <row r="86" spans="2:13" x14ac:dyDescent="0.25">
      <c r="B86" s="48">
        <v>83</v>
      </c>
      <c r="C86" s="33">
        <v>209510281</v>
      </c>
      <c r="D86" s="43" t="str">
        <f t="shared" si="5"/>
        <v>2-0951-0281</v>
      </c>
      <c r="E86" s="33" t="s">
        <v>2214</v>
      </c>
      <c r="F86" s="43" t="str">
        <f t="shared" si="6"/>
        <v>MARIA ALEXANDRA</v>
      </c>
      <c r="G86" s="43" t="str">
        <f t="shared" si="7"/>
        <v>MARIA</v>
      </c>
      <c r="H86" s="43" t="str">
        <f t="shared" si="8"/>
        <v>SEGURA ARCE</v>
      </c>
      <c r="I86" s="43" t="str">
        <f t="shared" si="9"/>
        <v>MARIA SEGURA ARCE</v>
      </c>
      <c r="J86" s="35" t="s">
        <v>2243</v>
      </c>
      <c r="K86" s="37">
        <v>7</v>
      </c>
      <c r="L86" s="37">
        <v>3</v>
      </c>
      <c r="M86" s="37" t="s">
        <v>1</v>
      </c>
    </row>
    <row r="87" spans="2:13" x14ac:dyDescent="0.25">
      <c r="B87" s="46">
        <v>84</v>
      </c>
      <c r="C87" s="33">
        <v>402970503</v>
      </c>
      <c r="D87" s="43" t="str">
        <f t="shared" si="5"/>
        <v>4-0297-0503</v>
      </c>
      <c r="E87" s="33" t="s">
        <v>85</v>
      </c>
      <c r="F87" s="43" t="str">
        <f t="shared" si="6"/>
        <v>LEONARDO</v>
      </c>
      <c r="G87" s="43" t="str">
        <f t="shared" si="7"/>
        <v>LEONARDO</v>
      </c>
      <c r="H87" s="43" t="str">
        <f t="shared" si="8"/>
        <v>VADO SALAZAR</v>
      </c>
      <c r="I87" s="43" t="str">
        <f t="shared" si="9"/>
        <v>LEONARDO VADO SALAZAR</v>
      </c>
      <c r="J87" s="35" t="s">
        <v>2243</v>
      </c>
      <c r="K87" s="37">
        <v>7</v>
      </c>
      <c r="L87" s="37">
        <v>3</v>
      </c>
      <c r="M87" s="37" t="s">
        <v>1</v>
      </c>
    </row>
    <row r="88" spans="2:13" x14ac:dyDescent="0.25">
      <c r="B88" s="48">
        <v>85</v>
      </c>
      <c r="C88" s="33">
        <v>209670282</v>
      </c>
      <c r="D88" s="43" t="str">
        <f t="shared" si="5"/>
        <v>2-0967-0282</v>
      </c>
      <c r="E88" s="33" t="s">
        <v>86</v>
      </c>
      <c r="F88" s="43" t="str">
        <f t="shared" si="6"/>
        <v>FACUNDO</v>
      </c>
      <c r="G88" s="43" t="str">
        <f t="shared" si="7"/>
        <v>FACUNDO</v>
      </c>
      <c r="H88" s="43" t="str">
        <f t="shared" si="8"/>
        <v>VILLEGAS MONTERO</v>
      </c>
      <c r="I88" s="43" t="str">
        <f t="shared" si="9"/>
        <v>FACUNDO VILLEGAS MONTERO</v>
      </c>
      <c r="J88" s="35" t="s">
        <v>2243</v>
      </c>
      <c r="K88" s="37">
        <v>7</v>
      </c>
      <c r="L88" s="37">
        <v>3</v>
      </c>
      <c r="M88" s="37" t="s">
        <v>1</v>
      </c>
    </row>
    <row r="89" spans="2:13" x14ac:dyDescent="0.25">
      <c r="B89" s="48">
        <v>86</v>
      </c>
      <c r="C89" s="33">
        <v>402880117</v>
      </c>
      <c r="D89" s="43" t="str">
        <f t="shared" si="5"/>
        <v>4-0288-0117</v>
      </c>
      <c r="E89" s="46" t="s">
        <v>208</v>
      </c>
      <c r="F89" s="43" t="str">
        <f t="shared" si="6"/>
        <v>DRAKE YABETH</v>
      </c>
      <c r="G89" s="43" t="str">
        <f t="shared" si="7"/>
        <v>DRAKE</v>
      </c>
      <c r="H89" s="43" t="str">
        <f t="shared" si="8"/>
        <v>ZUÑIGA UGALDE</v>
      </c>
      <c r="I89" s="43" t="str">
        <f t="shared" si="9"/>
        <v>DRAKE ZUÑIGA UGALDE</v>
      </c>
      <c r="J89" s="35" t="s">
        <v>2243</v>
      </c>
      <c r="K89" s="37">
        <v>7</v>
      </c>
      <c r="L89" s="37">
        <v>3</v>
      </c>
      <c r="M89" s="37" t="s">
        <v>1</v>
      </c>
    </row>
    <row r="90" spans="2:13" x14ac:dyDescent="0.25">
      <c r="B90" s="46">
        <v>87</v>
      </c>
      <c r="C90" s="33">
        <v>121140209</v>
      </c>
      <c r="D90" s="43" t="str">
        <f t="shared" si="5"/>
        <v>1-2114-0209</v>
      </c>
      <c r="E90" s="33" t="s">
        <v>2220</v>
      </c>
      <c r="F90" s="43" t="str">
        <f t="shared" si="6"/>
        <v>AMANDA DAYANA</v>
      </c>
      <c r="G90" s="43" t="str">
        <f t="shared" si="7"/>
        <v>AMANDA</v>
      </c>
      <c r="H90" s="43" t="str">
        <f t="shared" si="8"/>
        <v>ALARCON GONZALEZ</v>
      </c>
      <c r="I90" s="43" t="str">
        <f t="shared" si="9"/>
        <v>AMANDA ALARCON GONZALEZ</v>
      </c>
      <c r="J90" s="35" t="s">
        <v>2243</v>
      </c>
      <c r="K90" s="37">
        <v>7</v>
      </c>
      <c r="L90" s="37">
        <v>3</v>
      </c>
      <c r="M90" s="37" t="s">
        <v>0</v>
      </c>
    </row>
    <row r="91" spans="2:13" x14ac:dyDescent="0.25">
      <c r="B91" s="48">
        <v>88</v>
      </c>
      <c r="C91" s="33">
        <v>209580215</v>
      </c>
      <c r="D91" s="43" t="str">
        <f t="shared" si="5"/>
        <v>2-0958-0215</v>
      </c>
      <c r="E91" s="33" t="s">
        <v>87</v>
      </c>
      <c r="F91" s="43" t="str">
        <f t="shared" si="6"/>
        <v>SEBASTIAN ANDRES</v>
      </c>
      <c r="G91" s="43" t="str">
        <f t="shared" si="7"/>
        <v>SEBASTIAN</v>
      </c>
      <c r="H91" s="43" t="str">
        <f t="shared" si="8"/>
        <v>AVILA CARBALLO</v>
      </c>
      <c r="I91" s="43" t="str">
        <f t="shared" si="9"/>
        <v>SEBASTIAN AVILA CARBALLO</v>
      </c>
      <c r="J91" s="35" t="s">
        <v>2243</v>
      </c>
      <c r="K91" s="37">
        <v>7</v>
      </c>
      <c r="L91" s="37">
        <v>3</v>
      </c>
      <c r="M91" s="37" t="s">
        <v>0</v>
      </c>
    </row>
    <row r="92" spans="2:13" x14ac:dyDescent="0.25">
      <c r="B92" s="48">
        <v>89</v>
      </c>
      <c r="C92" s="33">
        <v>209490595</v>
      </c>
      <c r="D92" s="43" t="str">
        <f t="shared" si="5"/>
        <v>2-0949-0595</v>
      </c>
      <c r="E92" s="33" t="s">
        <v>88</v>
      </c>
      <c r="F92" s="43" t="str">
        <f t="shared" si="6"/>
        <v>CAMILA</v>
      </c>
      <c r="G92" s="43" t="str">
        <f t="shared" si="7"/>
        <v>CAMILA</v>
      </c>
      <c r="H92" s="43" t="str">
        <f t="shared" si="8"/>
        <v>CALVO URBINA</v>
      </c>
      <c r="I92" s="43" t="str">
        <f t="shared" si="9"/>
        <v>CAMILA CALVO URBINA</v>
      </c>
      <c r="J92" s="35" t="s">
        <v>2243</v>
      </c>
      <c r="K92" s="37">
        <v>7</v>
      </c>
      <c r="L92" s="37">
        <v>3</v>
      </c>
      <c r="M92" s="37" t="s">
        <v>0</v>
      </c>
    </row>
    <row r="93" spans="2:13" x14ac:dyDescent="0.25">
      <c r="B93" s="46">
        <v>90</v>
      </c>
      <c r="C93" s="33">
        <v>209630955</v>
      </c>
      <c r="D93" s="43" t="str">
        <f t="shared" si="5"/>
        <v>2-0963-0955</v>
      </c>
      <c r="E93" s="33" t="s">
        <v>2213</v>
      </c>
      <c r="F93" s="43" t="str">
        <f t="shared" si="6"/>
        <v>JESSICA NICOLE</v>
      </c>
      <c r="G93" s="43" t="str">
        <f t="shared" si="7"/>
        <v>JESSICA</v>
      </c>
      <c r="H93" s="43" t="str">
        <f t="shared" si="8"/>
        <v>CESPEDES ESQUIVEL</v>
      </c>
      <c r="I93" s="43" t="str">
        <f t="shared" si="9"/>
        <v>JESSICA CESPEDES ESQUIVEL</v>
      </c>
      <c r="J93" s="35" t="s">
        <v>2243</v>
      </c>
      <c r="K93" s="37">
        <v>7</v>
      </c>
      <c r="L93" s="37">
        <v>3</v>
      </c>
      <c r="M93" s="37" t="s">
        <v>0</v>
      </c>
    </row>
    <row r="94" spans="2:13" x14ac:dyDescent="0.25">
      <c r="B94" s="48">
        <v>91</v>
      </c>
      <c r="C94" s="44">
        <v>999990091</v>
      </c>
      <c r="D94" s="40" t="s">
        <v>89</v>
      </c>
      <c r="E94" s="33" t="s">
        <v>90</v>
      </c>
      <c r="F94" s="43" t="str">
        <f t="shared" si="6"/>
        <v>ARIADNA GEORGINA</v>
      </c>
      <c r="G94" s="43" t="str">
        <f t="shared" si="7"/>
        <v>ARIADNA</v>
      </c>
      <c r="H94" s="43" t="str">
        <f t="shared" si="8"/>
        <v>CRUZ LOPEZ</v>
      </c>
      <c r="I94" s="43" t="str">
        <f t="shared" si="9"/>
        <v>ARIADNA CRUZ LOPEZ</v>
      </c>
      <c r="J94" s="35" t="s">
        <v>2243</v>
      </c>
      <c r="K94" s="37">
        <v>7</v>
      </c>
      <c r="L94" s="37">
        <v>3</v>
      </c>
      <c r="M94" s="37" t="s">
        <v>0</v>
      </c>
    </row>
    <row r="95" spans="2:13" x14ac:dyDescent="0.25">
      <c r="B95" s="48">
        <v>92</v>
      </c>
      <c r="C95" s="40">
        <v>209680098</v>
      </c>
      <c r="D95" s="43" t="str">
        <f t="shared" si="5"/>
        <v>2-0968-0098</v>
      </c>
      <c r="E95" s="41" t="s">
        <v>91</v>
      </c>
      <c r="F95" s="43" t="str">
        <f t="shared" si="6"/>
        <v>ASHLEY</v>
      </c>
      <c r="G95" s="43" t="str">
        <f t="shared" si="7"/>
        <v>ASHLEY</v>
      </c>
      <c r="H95" s="43" t="str">
        <f t="shared" si="8"/>
        <v>FONSECA CORDOBA</v>
      </c>
      <c r="I95" s="43" t="str">
        <f t="shared" si="9"/>
        <v>ASHLEY FONSECA CORDOBA</v>
      </c>
      <c r="J95" s="35" t="s">
        <v>2243</v>
      </c>
      <c r="K95" s="37">
        <v>7</v>
      </c>
      <c r="L95" s="37">
        <v>3</v>
      </c>
      <c r="M95" s="37" t="s">
        <v>0</v>
      </c>
    </row>
    <row r="96" spans="2:13" x14ac:dyDescent="0.25">
      <c r="B96" s="46">
        <v>93</v>
      </c>
      <c r="C96" s="33">
        <v>209630732</v>
      </c>
      <c r="D96" s="43" t="str">
        <f t="shared" si="5"/>
        <v>2-0963-0732</v>
      </c>
      <c r="E96" s="33" t="s">
        <v>92</v>
      </c>
      <c r="F96" s="43" t="str">
        <f t="shared" si="6"/>
        <v>BRYANNA</v>
      </c>
      <c r="G96" s="43" t="str">
        <f t="shared" si="7"/>
        <v>BRYANNA</v>
      </c>
      <c r="H96" s="43" t="str">
        <f t="shared" si="8"/>
        <v>GARCIA JIMENEZ</v>
      </c>
      <c r="I96" s="43" t="str">
        <f t="shared" si="9"/>
        <v>BRYANNA GARCIA JIMENEZ</v>
      </c>
      <c r="J96" s="35" t="s">
        <v>2243</v>
      </c>
      <c r="K96" s="37">
        <v>7</v>
      </c>
      <c r="L96" s="37">
        <v>3</v>
      </c>
      <c r="M96" s="37" t="s">
        <v>0</v>
      </c>
    </row>
    <row r="97" spans="2:13" x14ac:dyDescent="0.25">
      <c r="B97" s="48">
        <v>94</v>
      </c>
      <c r="C97" s="33">
        <v>209550143</v>
      </c>
      <c r="D97" s="43" t="str">
        <f t="shared" si="5"/>
        <v>2-0955-0143</v>
      </c>
      <c r="E97" s="33" t="s">
        <v>93</v>
      </c>
      <c r="F97" s="43" t="str">
        <f t="shared" si="6"/>
        <v>BRIANNA CAMILA</v>
      </c>
      <c r="G97" s="43" t="str">
        <f t="shared" si="7"/>
        <v>BRIANNA</v>
      </c>
      <c r="H97" s="43" t="str">
        <f t="shared" si="8"/>
        <v>GONZALEZ SOLANO</v>
      </c>
      <c r="I97" s="43" t="str">
        <f t="shared" si="9"/>
        <v>BRIANNA GONZALEZ SOLANO</v>
      </c>
      <c r="J97" s="35" t="s">
        <v>2243</v>
      </c>
      <c r="K97" s="37">
        <v>7</v>
      </c>
      <c r="L97" s="37">
        <v>3</v>
      </c>
      <c r="M97" s="37" t="s">
        <v>0</v>
      </c>
    </row>
    <row r="98" spans="2:13" x14ac:dyDescent="0.25">
      <c r="B98" s="48">
        <v>95</v>
      </c>
      <c r="C98" s="33">
        <v>121410844</v>
      </c>
      <c r="D98" s="43" t="str">
        <f t="shared" si="5"/>
        <v>1-2141-0844</v>
      </c>
      <c r="E98" s="33" t="s">
        <v>94</v>
      </c>
      <c r="F98" s="43" t="str">
        <f t="shared" si="6"/>
        <v>CARMONA JOSIAS GUILLERMO</v>
      </c>
      <c r="G98" s="43" t="str">
        <f t="shared" si="7"/>
        <v>CARMONA</v>
      </c>
      <c r="H98" s="43" t="str">
        <f t="shared" si="8"/>
        <v>LE MAITRE</v>
      </c>
      <c r="I98" s="43" t="str">
        <f t="shared" si="9"/>
        <v>CARMONA LE MAITRE</v>
      </c>
      <c r="J98" s="35" t="s">
        <v>2243</v>
      </c>
      <c r="K98" s="37">
        <v>7</v>
      </c>
      <c r="L98" s="37">
        <v>3</v>
      </c>
      <c r="M98" s="37" t="s">
        <v>0</v>
      </c>
    </row>
    <row r="99" spans="2:13" x14ac:dyDescent="0.25">
      <c r="B99" s="46">
        <v>96</v>
      </c>
      <c r="C99" s="33">
        <v>209550525</v>
      </c>
      <c r="D99" s="43" t="str">
        <f t="shared" si="5"/>
        <v>2-0955-0525</v>
      </c>
      <c r="E99" s="33" t="s">
        <v>95</v>
      </c>
      <c r="F99" s="43" t="str">
        <f t="shared" si="6"/>
        <v>ANGELITH JUDITH</v>
      </c>
      <c r="G99" s="43" t="str">
        <f t="shared" si="7"/>
        <v>ANGELITH</v>
      </c>
      <c r="H99" s="43" t="str">
        <f t="shared" si="8"/>
        <v>MENDOZA JIMENEZ</v>
      </c>
      <c r="I99" s="43" t="str">
        <f t="shared" si="9"/>
        <v>ANGELITH MENDOZA JIMENEZ</v>
      </c>
      <c r="J99" s="35" t="s">
        <v>2243</v>
      </c>
      <c r="K99" s="37">
        <v>7</v>
      </c>
      <c r="L99" s="37">
        <v>3</v>
      </c>
      <c r="M99" s="37" t="s">
        <v>0</v>
      </c>
    </row>
    <row r="100" spans="2:13" x14ac:dyDescent="0.25">
      <c r="B100" s="48">
        <v>97</v>
      </c>
      <c r="C100" s="33">
        <v>209570237</v>
      </c>
      <c r="D100" s="43" t="str">
        <f t="shared" si="5"/>
        <v>2-0957-0237</v>
      </c>
      <c r="E100" s="33" t="s">
        <v>96</v>
      </c>
      <c r="F100" s="43" t="str">
        <f t="shared" si="6"/>
        <v>EDWIN SANTIAGO</v>
      </c>
      <c r="G100" s="43" t="str">
        <f t="shared" si="7"/>
        <v>EDWIN</v>
      </c>
      <c r="H100" s="43" t="str">
        <f t="shared" si="8"/>
        <v>RAMIREZ BLANDON</v>
      </c>
      <c r="I100" s="43" t="str">
        <f t="shared" si="9"/>
        <v>EDWIN RAMIREZ BLANDON</v>
      </c>
      <c r="J100" s="35" t="s">
        <v>2243</v>
      </c>
      <c r="K100" s="37">
        <v>7</v>
      </c>
      <c r="L100" s="37">
        <v>3</v>
      </c>
      <c r="M100" s="37" t="s">
        <v>0</v>
      </c>
    </row>
    <row r="101" spans="2:13" x14ac:dyDescent="0.25">
      <c r="B101" s="48">
        <v>98</v>
      </c>
      <c r="C101" s="33">
        <v>209510023</v>
      </c>
      <c r="D101" s="43" t="str">
        <f t="shared" si="5"/>
        <v>2-0951-0023</v>
      </c>
      <c r="E101" s="33" t="s">
        <v>97</v>
      </c>
      <c r="F101" s="43" t="str">
        <f t="shared" si="6"/>
        <v>TIFANNY</v>
      </c>
      <c r="G101" s="43" t="str">
        <f t="shared" si="7"/>
        <v>TIFANNY</v>
      </c>
      <c r="H101" s="43" t="str">
        <f t="shared" si="8"/>
        <v>SEGURA CAMBRONERO</v>
      </c>
      <c r="I101" s="43" t="str">
        <f t="shared" si="9"/>
        <v>TIFANNY SEGURA CAMBRONERO</v>
      </c>
      <c r="J101" s="35" t="s">
        <v>2243</v>
      </c>
      <c r="K101" s="37">
        <v>7</v>
      </c>
      <c r="L101" s="37">
        <v>3</v>
      </c>
      <c r="M101" s="37" t="s">
        <v>0</v>
      </c>
    </row>
    <row r="102" spans="2:13" x14ac:dyDescent="0.25">
      <c r="B102" s="46">
        <v>99</v>
      </c>
      <c r="C102" s="33">
        <v>209440597</v>
      </c>
      <c r="D102" s="43" t="str">
        <f t="shared" si="5"/>
        <v>2-0944-0597</v>
      </c>
      <c r="E102" s="46" t="s">
        <v>195</v>
      </c>
      <c r="F102" s="43" t="str">
        <f t="shared" si="6"/>
        <v>SAMUEL LEONARDO</v>
      </c>
      <c r="G102" s="43" t="str">
        <f t="shared" si="7"/>
        <v>SAMUEL</v>
      </c>
      <c r="H102" s="43" t="str">
        <f t="shared" si="8"/>
        <v>SOTO GALLEGOS</v>
      </c>
      <c r="I102" s="43" t="str">
        <f t="shared" si="9"/>
        <v>SAMUEL SOTO GALLEGOS</v>
      </c>
      <c r="J102" s="35" t="s">
        <v>2243</v>
      </c>
      <c r="K102" s="37">
        <v>7</v>
      </c>
      <c r="L102" s="37">
        <v>3</v>
      </c>
      <c r="M102" s="37" t="s">
        <v>0</v>
      </c>
    </row>
    <row r="103" spans="2:13" x14ac:dyDescent="0.25">
      <c r="B103" s="48">
        <v>100</v>
      </c>
      <c r="C103" s="38">
        <v>505100810</v>
      </c>
      <c r="D103" s="43" t="str">
        <f t="shared" si="5"/>
        <v>5-0510-0810</v>
      </c>
      <c r="E103" s="33" t="s">
        <v>98</v>
      </c>
      <c r="F103" s="43" t="str">
        <f t="shared" si="6"/>
        <v>SOFIA</v>
      </c>
      <c r="G103" s="43" t="str">
        <f t="shared" si="7"/>
        <v>SOFIA</v>
      </c>
      <c r="H103" s="43" t="str">
        <f t="shared" si="8"/>
        <v>VALVERDE SANCHEZ</v>
      </c>
      <c r="I103" s="43" t="str">
        <f t="shared" si="9"/>
        <v>SOFIA VALVERDE SANCHEZ</v>
      </c>
      <c r="J103" s="35" t="s">
        <v>2243</v>
      </c>
      <c r="K103" s="37">
        <v>7</v>
      </c>
      <c r="L103" s="37">
        <v>3</v>
      </c>
      <c r="M103" s="37" t="s">
        <v>0</v>
      </c>
    </row>
    <row r="104" spans="2:13" x14ac:dyDescent="0.25">
      <c r="B104" s="48">
        <v>101</v>
      </c>
      <c r="C104" s="33">
        <v>402910687</v>
      </c>
      <c r="D104" s="43" t="str">
        <f t="shared" si="5"/>
        <v>4-0291-0687</v>
      </c>
      <c r="E104" s="46" t="s">
        <v>315</v>
      </c>
      <c r="F104" s="43" t="str">
        <f t="shared" si="6"/>
        <v>EMANUEL JOSE</v>
      </c>
      <c r="G104" s="43" t="str">
        <f t="shared" si="7"/>
        <v>EMANUEL</v>
      </c>
      <c r="H104" s="43" t="str">
        <f t="shared" si="8"/>
        <v>VARGAS RAMOS</v>
      </c>
      <c r="I104" s="43" t="str">
        <f t="shared" si="9"/>
        <v>EMANUEL VARGAS RAMOS</v>
      </c>
      <c r="J104" s="35" t="s">
        <v>2243</v>
      </c>
      <c r="K104" s="37">
        <v>7</v>
      </c>
      <c r="L104" s="37">
        <v>3</v>
      </c>
      <c r="M104" s="37" t="s">
        <v>0</v>
      </c>
    </row>
    <row r="105" spans="2:13" x14ac:dyDescent="0.25">
      <c r="B105" s="46">
        <v>102</v>
      </c>
      <c r="C105" s="33">
        <v>209580600</v>
      </c>
      <c r="D105" s="43" t="str">
        <f t="shared" si="5"/>
        <v>2-0958-0600</v>
      </c>
      <c r="E105" s="33" t="s">
        <v>99</v>
      </c>
      <c r="F105" s="43" t="str">
        <f t="shared" si="6"/>
        <v>MAITE PAOLA</v>
      </c>
      <c r="G105" s="43" t="str">
        <f t="shared" si="7"/>
        <v>MAITE</v>
      </c>
      <c r="H105" s="43" t="str">
        <f t="shared" si="8"/>
        <v>VENEGAS QUIROS</v>
      </c>
      <c r="I105" s="43" t="str">
        <f t="shared" si="9"/>
        <v>MAITE VENEGAS QUIROS</v>
      </c>
      <c r="J105" s="35" t="s">
        <v>2243</v>
      </c>
      <c r="K105" s="37">
        <v>7</v>
      </c>
      <c r="L105" s="37">
        <v>3</v>
      </c>
      <c r="M105" s="37" t="s">
        <v>0</v>
      </c>
    </row>
    <row r="106" spans="2:13" x14ac:dyDescent="0.25">
      <c r="B106" s="48">
        <v>103</v>
      </c>
      <c r="C106" s="33">
        <v>402980692</v>
      </c>
      <c r="D106" s="43" t="str">
        <f t="shared" si="5"/>
        <v>4-0298-0692</v>
      </c>
      <c r="E106" s="33" t="s">
        <v>100</v>
      </c>
      <c r="F106" s="43" t="str">
        <f t="shared" si="6"/>
        <v>MARIANA</v>
      </c>
      <c r="G106" s="43" t="str">
        <f t="shared" si="7"/>
        <v>MARIANA</v>
      </c>
      <c r="H106" s="43" t="str">
        <f t="shared" si="8"/>
        <v>VINDAS ARIAS</v>
      </c>
      <c r="I106" s="43" t="str">
        <f t="shared" si="9"/>
        <v>MARIANA VINDAS ARIAS</v>
      </c>
      <c r="J106" s="35" t="s">
        <v>2243</v>
      </c>
      <c r="K106" s="37">
        <v>7</v>
      </c>
      <c r="L106" s="37">
        <v>3</v>
      </c>
      <c r="M106" s="37" t="s">
        <v>0</v>
      </c>
    </row>
    <row r="107" spans="2:13" x14ac:dyDescent="0.25">
      <c r="B107" s="48">
        <v>104</v>
      </c>
      <c r="C107" s="33">
        <v>209560667</v>
      </c>
      <c r="D107" s="43" t="str">
        <f t="shared" si="5"/>
        <v>2-0956-0667</v>
      </c>
      <c r="E107" s="33" t="s">
        <v>101</v>
      </c>
      <c r="F107" s="43" t="str">
        <f t="shared" si="6"/>
        <v>ABIGAIL</v>
      </c>
      <c r="G107" s="43" t="str">
        <f t="shared" si="7"/>
        <v>ABIGAIL</v>
      </c>
      <c r="H107" s="43" t="str">
        <f t="shared" si="8"/>
        <v>ARGUEDAS RODRIGUEZ</v>
      </c>
      <c r="I107" s="43" t="str">
        <f t="shared" si="9"/>
        <v>ABIGAIL ARGUEDAS RODRIGUEZ</v>
      </c>
      <c r="J107" s="35" t="s">
        <v>2243</v>
      </c>
      <c r="K107" s="37">
        <v>7</v>
      </c>
      <c r="L107" s="37">
        <v>4</v>
      </c>
      <c r="M107" s="37" t="s">
        <v>1</v>
      </c>
    </row>
    <row r="108" spans="2:13" x14ac:dyDescent="0.25">
      <c r="B108" s="46">
        <v>105</v>
      </c>
      <c r="C108" s="33">
        <v>209470783</v>
      </c>
      <c r="D108" s="43" t="str">
        <f t="shared" si="5"/>
        <v>2-0947-0783</v>
      </c>
      <c r="E108" s="46" t="s">
        <v>363</v>
      </c>
      <c r="F108" s="43" t="str">
        <f t="shared" si="6"/>
        <v>NOEMI</v>
      </c>
      <c r="G108" s="43" t="str">
        <f t="shared" si="7"/>
        <v>NOEMI</v>
      </c>
      <c r="H108" s="43" t="str">
        <f t="shared" si="8"/>
        <v>ARIAS CESPEDES</v>
      </c>
      <c r="I108" s="43" t="str">
        <f t="shared" si="9"/>
        <v>NOEMI ARIAS CESPEDES</v>
      </c>
      <c r="J108" s="35" t="s">
        <v>2243</v>
      </c>
      <c r="K108" s="37">
        <v>7</v>
      </c>
      <c r="L108" s="37">
        <v>4</v>
      </c>
      <c r="M108" s="37" t="s">
        <v>1</v>
      </c>
    </row>
    <row r="109" spans="2:13" x14ac:dyDescent="0.25">
      <c r="B109" s="48">
        <v>106</v>
      </c>
      <c r="C109" s="33">
        <v>121420761</v>
      </c>
      <c r="D109" s="43" t="str">
        <f t="shared" si="5"/>
        <v>1-2142-0761</v>
      </c>
      <c r="E109" s="33" t="s">
        <v>102</v>
      </c>
      <c r="F109" s="43" t="str">
        <f t="shared" si="6"/>
        <v xml:space="preserve">MATIAS </v>
      </c>
      <c r="G109" s="43" t="str">
        <f t="shared" si="7"/>
        <v>MATIAS</v>
      </c>
      <c r="H109" s="43" t="str">
        <f t="shared" si="8"/>
        <v>BUSTOS PORRAS</v>
      </c>
      <c r="I109" s="43" t="str">
        <f t="shared" si="9"/>
        <v>MATIAS BUSTOS PORRAS</v>
      </c>
      <c r="J109" s="35" t="s">
        <v>2243</v>
      </c>
      <c r="K109" s="37">
        <v>7</v>
      </c>
      <c r="L109" s="37">
        <v>4</v>
      </c>
      <c r="M109" s="37" t="s">
        <v>1</v>
      </c>
    </row>
    <row r="110" spans="2:13" x14ac:dyDescent="0.25">
      <c r="B110" s="48">
        <v>107</v>
      </c>
      <c r="C110" s="33">
        <v>209510300</v>
      </c>
      <c r="D110" s="43" t="str">
        <f t="shared" si="5"/>
        <v>2-0951-0300</v>
      </c>
      <c r="E110" s="33" t="s">
        <v>2212</v>
      </c>
      <c r="F110" s="43" t="str">
        <f t="shared" si="6"/>
        <v>ANGEL MATEO</v>
      </c>
      <c r="G110" s="43" t="str">
        <f t="shared" si="7"/>
        <v>ANGEL</v>
      </c>
      <c r="H110" s="43" t="str">
        <f t="shared" si="8"/>
        <v>CARVAJAL SOLIS</v>
      </c>
      <c r="I110" s="43" t="str">
        <f t="shared" si="9"/>
        <v>ANGEL CARVAJAL SOLIS</v>
      </c>
      <c r="J110" s="35" t="s">
        <v>2243</v>
      </c>
      <c r="K110" s="37">
        <v>7</v>
      </c>
      <c r="L110" s="37">
        <v>4</v>
      </c>
      <c r="M110" s="37" t="s">
        <v>1</v>
      </c>
    </row>
    <row r="111" spans="2:13" x14ac:dyDescent="0.25">
      <c r="B111" s="46">
        <v>108</v>
      </c>
      <c r="C111" s="33">
        <v>209600712</v>
      </c>
      <c r="D111" s="43" t="str">
        <f t="shared" si="5"/>
        <v>2-0960-0712</v>
      </c>
      <c r="E111" s="33" t="s">
        <v>103</v>
      </c>
      <c r="F111" s="43" t="str">
        <f t="shared" si="6"/>
        <v>ESTEBAN SANTIAGO</v>
      </c>
      <c r="G111" s="43" t="str">
        <f t="shared" si="7"/>
        <v>ESTEBAN</v>
      </c>
      <c r="H111" s="43" t="str">
        <f t="shared" si="8"/>
        <v>CHAVES SOLERA</v>
      </c>
      <c r="I111" s="43" t="str">
        <f t="shared" si="9"/>
        <v>ESTEBAN CHAVES SOLERA</v>
      </c>
      <c r="J111" s="35" t="s">
        <v>2243</v>
      </c>
      <c r="K111" s="37">
        <v>7</v>
      </c>
      <c r="L111" s="37">
        <v>4</v>
      </c>
      <c r="M111" s="37" t="s">
        <v>1</v>
      </c>
    </row>
    <row r="112" spans="2:13" x14ac:dyDescent="0.25">
      <c r="B112" s="48">
        <v>109</v>
      </c>
      <c r="C112" s="33">
        <v>209520604</v>
      </c>
      <c r="D112" s="43" t="str">
        <f t="shared" si="5"/>
        <v>2-0952-0604</v>
      </c>
      <c r="E112" s="33" t="s">
        <v>104</v>
      </c>
      <c r="F112" s="43" t="str">
        <f t="shared" si="6"/>
        <v>BRIANNA</v>
      </c>
      <c r="G112" s="43" t="str">
        <f t="shared" si="7"/>
        <v>BRIANNA</v>
      </c>
      <c r="H112" s="43" t="str">
        <f t="shared" si="8"/>
        <v>FALLAS ROSALES</v>
      </c>
      <c r="I112" s="43" t="str">
        <f t="shared" si="9"/>
        <v>BRIANNA FALLAS ROSALES</v>
      </c>
      <c r="J112" s="35" t="s">
        <v>2243</v>
      </c>
      <c r="K112" s="37">
        <v>7</v>
      </c>
      <c r="L112" s="37">
        <v>4</v>
      </c>
      <c r="M112" s="37" t="s">
        <v>1</v>
      </c>
    </row>
    <row r="113" spans="2:13" x14ac:dyDescent="0.25">
      <c r="B113" s="48">
        <v>110</v>
      </c>
      <c r="C113" s="33">
        <v>209580263</v>
      </c>
      <c r="D113" s="43" t="str">
        <f t="shared" si="5"/>
        <v>2-0958-0263</v>
      </c>
      <c r="E113" s="33" t="s">
        <v>105</v>
      </c>
      <c r="F113" s="43" t="str">
        <f t="shared" si="6"/>
        <v>GENESIS JULIETH</v>
      </c>
      <c r="G113" s="43" t="str">
        <f t="shared" si="7"/>
        <v>GENESIS</v>
      </c>
      <c r="H113" s="43" t="str">
        <f t="shared" si="8"/>
        <v>GONZALEZ BORGE</v>
      </c>
      <c r="I113" s="43" t="str">
        <f t="shared" si="9"/>
        <v>GENESIS GONZALEZ BORGE</v>
      </c>
      <c r="J113" s="35" t="s">
        <v>2243</v>
      </c>
      <c r="K113" s="37">
        <v>7</v>
      </c>
      <c r="L113" s="37">
        <v>4</v>
      </c>
      <c r="M113" s="37" t="s">
        <v>1</v>
      </c>
    </row>
    <row r="114" spans="2:13" x14ac:dyDescent="0.25">
      <c r="B114" s="46">
        <v>111</v>
      </c>
      <c r="C114" s="33">
        <v>209630597</v>
      </c>
      <c r="D114" s="43" t="str">
        <f t="shared" si="5"/>
        <v>2-0963-0597</v>
      </c>
      <c r="E114" s="33" t="s">
        <v>106</v>
      </c>
      <c r="F114" s="43" t="str">
        <f t="shared" si="6"/>
        <v>MARLON JESUS</v>
      </c>
      <c r="G114" s="43" t="str">
        <f t="shared" si="7"/>
        <v>MARLON</v>
      </c>
      <c r="H114" s="43" t="str">
        <f t="shared" si="8"/>
        <v>HERRERA CUBERO</v>
      </c>
      <c r="I114" s="43" t="str">
        <f t="shared" si="9"/>
        <v>MARLON HERRERA CUBERO</v>
      </c>
      <c r="J114" s="35" t="s">
        <v>2243</v>
      </c>
      <c r="K114" s="37">
        <v>7</v>
      </c>
      <c r="L114" s="37">
        <v>4</v>
      </c>
      <c r="M114" s="37" t="s">
        <v>1</v>
      </c>
    </row>
    <row r="115" spans="2:13" x14ac:dyDescent="0.25">
      <c r="B115" s="48">
        <v>112</v>
      </c>
      <c r="C115" s="33">
        <v>209400869</v>
      </c>
      <c r="D115" s="43" t="str">
        <f t="shared" si="5"/>
        <v>2-0940-0869</v>
      </c>
      <c r="E115" s="46" t="s">
        <v>352</v>
      </c>
      <c r="F115" s="43" t="str">
        <f t="shared" si="6"/>
        <v>AARON MATHIAS</v>
      </c>
      <c r="G115" s="43" t="str">
        <f t="shared" si="7"/>
        <v>AARON</v>
      </c>
      <c r="H115" s="43" t="str">
        <f t="shared" si="8"/>
        <v>LOPEZ PICADO</v>
      </c>
      <c r="I115" s="43" t="str">
        <f t="shared" si="9"/>
        <v>AARON LOPEZ PICADO</v>
      </c>
      <c r="J115" s="35" t="s">
        <v>2243</v>
      </c>
      <c r="K115" s="37">
        <v>7</v>
      </c>
      <c r="L115" s="37">
        <v>4</v>
      </c>
      <c r="M115" s="37" t="s">
        <v>1</v>
      </c>
    </row>
    <row r="116" spans="2:13" x14ac:dyDescent="0.25">
      <c r="B116" s="48">
        <v>113</v>
      </c>
      <c r="C116" s="33">
        <v>402980534</v>
      </c>
      <c r="D116" s="43" t="str">
        <f t="shared" si="5"/>
        <v>4-0298-0534</v>
      </c>
      <c r="E116" s="33" t="s">
        <v>107</v>
      </c>
      <c r="F116" s="43" t="str">
        <f t="shared" si="6"/>
        <v>CATALINA</v>
      </c>
      <c r="G116" s="43" t="str">
        <f t="shared" si="7"/>
        <v>CATALINA</v>
      </c>
      <c r="H116" s="43" t="str">
        <f t="shared" si="8"/>
        <v>MARTINEZ ALFARO</v>
      </c>
      <c r="I116" s="43" t="str">
        <f t="shared" si="9"/>
        <v>CATALINA MARTINEZ ALFARO</v>
      </c>
      <c r="J116" s="35" t="s">
        <v>2243</v>
      </c>
      <c r="K116" s="37">
        <v>7</v>
      </c>
      <c r="L116" s="37">
        <v>4</v>
      </c>
      <c r="M116" s="37" t="s">
        <v>1</v>
      </c>
    </row>
    <row r="117" spans="2:13" x14ac:dyDescent="0.25">
      <c r="B117" s="46">
        <v>114</v>
      </c>
      <c r="C117" s="33">
        <v>402960926</v>
      </c>
      <c r="D117" s="43" t="str">
        <f t="shared" si="5"/>
        <v>4-0296-0926</v>
      </c>
      <c r="E117" s="33" t="s">
        <v>2185</v>
      </c>
      <c r="F117" s="43" t="str">
        <f t="shared" si="6"/>
        <v>EVER ARLY</v>
      </c>
      <c r="G117" s="43" t="str">
        <f t="shared" si="7"/>
        <v>EVER</v>
      </c>
      <c r="H117" s="43" t="str">
        <f t="shared" si="8"/>
        <v>MARTINEZ MARTINEZ</v>
      </c>
      <c r="I117" s="43" t="str">
        <f t="shared" si="9"/>
        <v>EVER MARTINEZ MARTINEZ</v>
      </c>
      <c r="J117" s="35" t="s">
        <v>2243</v>
      </c>
      <c r="K117" s="37">
        <v>7</v>
      </c>
      <c r="L117" s="37">
        <v>4</v>
      </c>
      <c r="M117" s="37" t="s">
        <v>1</v>
      </c>
    </row>
    <row r="118" spans="2:13" x14ac:dyDescent="0.25">
      <c r="B118" s="48">
        <v>115</v>
      </c>
      <c r="C118" s="33">
        <v>209650330</v>
      </c>
      <c r="D118" s="43" t="str">
        <f t="shared" si="5"/>
        <v>2-0965-0330</v>
      </c>
      <c r="E118" s="33" t="s">
        <v>108</v>
      </c>
      <c r="F118" s="43" t="str">
        <f t="shared" si="6"/>
        <v>ESTEBAN SAMUEL</v>
      </c>
      <c r="G118" s="43" t="str">
        <f t="shared" si="7"/>
        <v>ESTEBAN</v>
      </c>
      <c r="H118" s="43" t="str">
        <f t="shared" si="8"/>
        <v>PEREZ CHAVES</v>
      </c>
      <c r="I118" s="43" t="str">
        <f t="shared" si="9"/>
        <v>ESTEBAN PEREZ CHAVES</v>
      </c>
      <c r="J118" s="35" t="s">
        <v>2243</v>
      </c>
      <c r="K118" s="37">
        <v>7</v>
      </c>
      <c r="L118" s="37">
        <v>4</v>
      </c>
      <c r="M118" s="37" t="s">
        <v>1</v>
      </c>
    </row>
    <row r="119" spans="2:13" x14ac:dyDescent="0.25">
      <c r="B119" s="48">
        <v>116</v>
      </c>
      <c r="C119" s="33">
        <v>209600185</v>
      </c>
      <c r="D119" s="43" t="str">
        <f t="shared" si="5"/>
        <v>2-0960-0185</v>
      </c>
      <c r="E119" s="33" t="s">
        <v>109</v>
      </c>
      <c r="F119" s="43" t="str">
        <f t="shared" si="6"/>
        <v>MIA YURELIA</v>
      </c>
      <c r="G119" s="43" t="str">
        <f t="shared" si="7"/>
        <v>MIA</v>
      </c>
      <c r="H119" s="43" t="str">
        <f t="shared" si="8"/>
        <v>RODRIGUEZ ALVARADO</v>
      </c>
      <c r="I119" s="43" t="str">
        <f t="shared" si="9"/>
        <v>MIA RODRIGUEZ ALVARADO</v>
      </c>
      <c r="J119" s="35" t="s">
        <v>2243</v>
      </c>
      <c r="K119" s="37">
        <v>7</v>
      </c>
      <c r="L119" s="37">
        <v>4</v>
      </c>
      <c r="M119" s="37" t="s">
        <v>1</v>
      </c>
    </row>
    <row r="120" spans="2:13" x14ac:dyDescent="0.25">
      <c r="B120" s="46">
        <v>117</v>
      </c>
      <c r="C120" s="33">
        <v>121380510</v>
      </c>
      <c r="D120" s="43" t="str">
        <f t="shared" si="5"/>
        <v>1-2138-0510</v>
      </c>
      <c r="E120" s="33" t="s">
        <v>2221</v>
      </c>
      <c r="F120" s="43" t="str">
        <f t="shared" si="6"/>
        <v>TOMAS ESTEBAN</v>
      </c>
      <c r="G120" s="43" t="str">
        <f t="shared" si="7"/>
        <v>TOMAS</v>
      </c>
      <c r="H120" s="43" t="str">
        <f t="shared" si="8"/>
        <v>RODRIGUEZ MEJIAS</v>
      </c>
      <c r="I120" s="43" t="str">
        <f t="shared" si="9"/>
        <v>TOMAS RODRIGUEZ MEJIAS</v>
      </c>
      <c r="J120" s="35" t="s">
        <v>2243</v>
      </c>
      <c r="K120" s="37">
        <v>7</v>
      </c>
      <c r="L120" s="37">
        <v>4</v>
      </c>
      <c r="M120" s="37" t="s">
        <v>1</v>
      </c>
    </row>
    <row r="121" spans="2:13" x14ac:dyDescent="0.25">
      <c r="B121" s="48">
        <v>118</v>
      </c>
      <c r="C121" s="33">
        <v>209610405</v>
      </c>
      <c r="D121" s="43" t="str">
        <f t="shared" si="5"/>
        <v>2-0961-0405</v>
      </c>
      <c r="E121" s="33" t="s">
        <v>110</v>
      </c>
      <c r="F121" s="43" t="str">
        <f t="shared" si="6"/>
        <v>JOSE GERARDO</v>
      </c>
      <c r="G121" s="43" t="str">
        <f t="shared" si="7"/>
        <v>JOSE</v>
      </c>
      <c r="H121" s="43" t="str">
        <f t="shared" si="8"/>
        <v>ROSALES ROJAS</v>
      </c>
      <c r="I121" s="43" t="str">
        <f t="shared" si="9"/>
        <v>JOSE ROSALES ROJAS</v>
      </c>
      <c r="J121" s="35" t="s">
        <v>2243</v>
      </c>
      <c r="K121" s="37">
        <v>7</v>
      </c>
      <c r="L121" s="37">
        <v>4</v>
      </c>
      <c r="M121" s="37" t="s">
        <v>1</v>
      </c>
    </row>
    <row r="122" spans="2:13" x14ac:dyDescent="0.25">
      <c r="B122" s="48">
        <v>119</v>
      </c>
      <c r="C122" s="33">
        <v>402960319</v>
      </c>
      <c r="D122" s="43" t="str">
        <f t="shared" si="5"/>
        <v>4-0296-0319</v>
      </c>
      <c r="E122" s="33" t="s">
        <v>111</v>
      </c>
      <c r="F122" s="43" t="str">
        <f t="shared" si="6"/>
        <v>LEONEL FRANCISCO</v>
      </c>
      <c r="G122" s="43" t="str">
        <f t="shared" si="7"/>
        <v>LEONEL</v>
      </c>
      <c r="H122" s="43" t="str">
        <f t="shared" si="8"/>
        <v>SALAS RODRIGUEZ</v>
      </c>
      <c r="I122" s="43" t="str">
        <f t="shared" si="9"/>
        <v>LEONEL SALAS RODRIGUEZ</v>
      </c>
      <c r="J122" s="35" t="s">
        <v>2243</v>
      </c>
      <c r="K122" s="37">
        <v>7</v>
      </c>
      <c r="L122" s="37">
        <v>4</v>
      </c>
      <c r="M122" s="37" t="s">
        <v>1</v>
      </c>
    </row>
    <row r="123" spans="2:13" x14ac:dyDescent="0.25">
      <c r="B123" s="46">
        <v>120</v>
      </c>
      <c r="C123" s="33">
        <v>209640073</v>
      </c>
      <c r="D123" s="43" t="str">
        <f t="shared" si="5"/>
        <v>2-0964-0073</v>
      </c>
      <c r="E123" s="33" t="s">
        <v>112</v>
      </c>
      <c r="F123" s="43" t="str">
        <f t="shared" si="6"/>
        <v>JEREMY JOEL</v>
      </c>
      <c r="G123" s="43" t="str">
        <f t="shared" si="7"/>
        <v>JEREMY</v>
      </c>
      <c r="H123" s="43" t="str">
        <f t="shared" si="8"/>
        <v>SOLIS MUÑOZ</v>
      </c>
      <c r="I123" s="43" t="str">
        <f t="shared" si="9"/>
        <v>JEREMY SOLIS MUÑOZ</v>
      </c>
      <c r="J123" s="35" t="s">
        <v>2243</v>
      </c>
      <c r="K123" s="37">
        <v>7</v>
      </c>
      <c r="L123" s="37">
        <v>4</v>
      </c>
      <c r="M123" s="37" t="s">
        <v>1</v>
      </c>
    </row>
    <row r="124" spans="2:13" x14ac:dyDescent="0.25">
      <c r="B124" s="48">
        <v>121</v>
      </c>
      <c r="C124" s="33">
        <v>121550882</v>
      </c>
      <c r="D124" s="43" t="str">
        <f t="shared" si="5"/>
        <v>1-2155-0882</v>
      </c>
      <c r="E124" s="33" t="s">
        <v>113</v>
      </c>
      <c r="F124" s="43" t="str">
        <f t="shared" si="6"/>
        <v>ITZEL NASHELLE</v>
      </c>
      <c r="G124" s="43" t="str">
        <f t="shared" si="7"/>
        <v>ITZEL</v>
      </c>
      <c r="H124" s="43" t="str">
        <f t="shared" si="8"/>
        <v>ALVARADO ZUÑIGA</v>
      </c>
      <c r="I124" s="43" t="str">
        <f t="shared" si="9"/>
        <v>ITZEL ALVARADO ZUÑIGA</v>
      </c>
      <c r="J124" s="35" t="s">
        <v>2243</v>
      </c>
      <c r="K124" s="37">
        <v>7</v>
      </c>
      <c r="L124" s="37">
        <v>4</v>
      </c>
      <c r="M124" s="37" t="s">
        <v>0</v>
      </c>
    </row>
    <row r="125" spans="2:13" x14ac:dyDescent="0.25">
      <c r="B125" s="48">
        <v>122</v>
      </c>
      <c r="C125" s="33">
        <v>209670456</v>
      </c>
      <c r="D125" s="43" t="str">
        <f t="shared" si="5"/>
        <v>2-0967-0456</v>
      </c>
      <c r="E125" s="33" t="s">
        <v>114</v>
      </c>
      <c r="F125" s="43" t="str">
        <f t="shared" si="6"/>
        <v>KENDAL ESTIVEN</v>
      </c>
      <c r="G125" s="43" t="str">
        <f t="shared" si="7"/>
        <v>KENDAL</v>
      </c>
      <c r="H125" s="43" t="str">
        <f t="shared" si="8"/>
        <v>AVILES ESPINOSA</v>
      </c>
      <c r="I125" s="43" t="str">
        <f t="shared" si="9"/>
        <v>KENDAL AVILES ESPINOSA</v>
      </c>
      <c r="J125" s="35" t="s">
        <v>2243</v>
      </c>
      <c r="K125" s="37">
        <v>7</v>
      </c>
      <c r="L125" s="37">
        <v>4</v>
      </c>
      <c r="M125" s="37" t="s">
        <v>0</v>
      </c>
    </row>
    <row r="126" spans="2:13" x14ac:dyDescent="0.25">
      <c r="B126" s="46">
        <v>123</v>
      </c>
      <c r="C126" s="33">
        <v>209500685</v>
      </c>
      <c r="D126" s="43" t="str">
        <f t="shared" si="5"/>
        <v>2-0950-0685</v>
      </c>
      <c r="E126" s="33" t="s">
        <v>115</v>
      </c>
      <c r="F126" s="43" t="str">
        <f t="shared" si="6"/>
        <v xml:space="preserve">VALHESKA </v>
      </c>
      <c r="G126" s="43" t="str">
        <f t="shared" si="7"/>
        <v>VALHESKA</v>
      </c>
      <c r="H126" s="43" t="str">
        <f t="shared" si="8"/>
        <v>CAMBRONERO MURILLO</v>
      </c>
      <c r="I126" s="43" t="str">
        <f t="shared" si="9"/>
        <v>VALHESKA CAMBRONERO MURILLO</v>
      </c>
      <c r="J126" s="35" t="s">
        <v>2243</v>
      </c>
      <c r="K126" s="37">
        <v>7</v>
      </c>
      <c r="L126" s="37">
        <v>4</v>
      </c>
      <c r="M126" s="37" t="s">
        <v>0</v>
      </c>
    </row>
    <row r="127" spans="2:13" x14ac:dyDescent="0.25">
      <c r="B127" s="48">
        <v>124</v>
      </c>
      <c r="C127" s="33">
        <v>121390204</v>
      </c>
      <c r="D127" s="43" t="str">
        <f t="shared" si="5"/>
        <v>1-2139-0204</v>
      </c>
      <c r="E127" s="33" t="s">
        <v>116</v>
      </c>
      <c r="F127" s="43" t="str">
        <f t="shared" si="6"/>
        <v>ESTEFANY PAOLA</v>
      </c>
      <c r="G127" s="43" t="str">
        <f t="shared" si="7"/>
        <v>ESTEFANY</v>
      </c>
      <c r="H127" s="43" t="str">
        <f t="shared" si="8"/>
        <v>CAMBRONERO NUÑEZ</v>
      </c>
      <c r="I127" s="43" t="str">
        <f t="shared" si="9"/>
        <v>ESTEFANY CAMBRONERO NUÑEZ</v>
      </c>
      <c r="J127" s="35" t="s">
        <v>2243</v>
      </c>
      <c r="K127" s="37">
        <v>7</v>
      </c>
      <c r="L127" s="37">
        <v>4</v>
      </c>
      <c r="M127" s="37" t="s">
        <v>0</v>
      </c>
    </row>
    <row r="128" spans="2:13" x14ac:dyDescent="0.25">
      <c r="B128" s="48">
        <v>125</v>
      </c>
      <c r="C128" s="33">
        <v>209540540</v>
      </c>
      <c r="D128" s="43" t="str">
        <f t="shared" si="5"/>
        <v>2-0954-0540</v>
      </c>
      <c r="E128" s="33" t="s">
        <v>117</v>
      </c>
      <c r="F128" s="43" t="str">
        <f t="shared" si="6"/>
        <v>SAMUEL JESUS</v>
      </c>
      <c r="G128" s="43" t="str">
        <f t="shared" si="7"/>
        <v>SAMUEL</v>
      </c>
      <c r="H128" s="43" t="str">
        <f t="shared" si="8"/>
        <v>CESPEDES PEÑARANDA</v>
      </c>
      <c r="I128" s="43" t="str">
        <f t="shared" si="9"/>
        <v>SAMUEL CESPEDES PEÑARANDA</v>
      </c>
      <c r="J128" s="35" t="s">
        <v>2243</v>
      </c>
      <c r="K128" s="37">
        <v>7</v>
      </c>
      <c r="L128" s="37">
        <v>4</v>
      </c>
      <c r="M128" s="37" t="s">
        <v>0</v>
      </c>
    </row>
    <row r="129" spans="2:13" x14ac:dyDescent="0.25">
      <c r="B129" s="46">
        <v>126</v>
      </c>
      <c r="C129" s="33">
        <v>121380719</v>
      </c>
      <c r="D129" s="43" t="str">
        <f t="shared" si="5"/>
        <v>1-2138-0719</v>
      </c>
      <c r="E129" s="33" t="s">
        <v>118</v>
      </c>
      <c r="F129" s="43" t="str">
        <f t="shared" si="6"/>
        <v>HERRERA PATRICK</v>
      </c>
      <c r="G129" s="43" t="str">
        <f t="shared" si="7"/>
        <v>HERRERA</v>
      </c>
      <c r="H129" s="43" t="str">
        <f t="shared" si="8"/>
        <v>DE WATRINGANT</v>
      </c>
      <c r="I129" s="43" t="str">
        <f t="shared" si="9"/>
        <v>HERRERA DE WATRINGANT</v>
      </c>
      <c r="J129" s="35" t="s">
        <v>2243</v>
      </c>
      <c r="K129" s="37">
        <v>7</v>
      </c>
      <c r="L129" s="37">
        <v>4</v>
      </c>
      <c r="M129" s="37" t="s">
        <v>0</v>
      </c>
    </row>
    <row r="130" spans="2:13" x14ac:dyDescent="0.25">
      <c r="B130" s="48">
        <v>127</v>
      </c>
      <c r="C130" s="33">
        <v>403000544</v>
      </c>
      <c r="D130" s="43" t="str">
        <f t="shared" si="5"/>
        <v>4-0300-0544</v>
      </c>
      <c r="E130" s="33" t="s">
        <v>119</v>
      </c>
      <c r="F130" s="43" t="str">
        <f t="shared" si="6"/>
        <v>KEYTHEL FABIANA</v>
      </c>
      <c r="G130" s="43" t="str">
        <f t="shared" si="7"/>
        <v>KEYTHEL</v>
      </c>
      <c r="H130" s="43" t="str">
        <f t="shared" si="8"/>
        <v>GARCIA MIRANDA</v>
      </c>
      <c r="I130" s="43" t="str">
        <f t="shared" si="9"/>
        <v>KEYTHEL GARCIA MIRANDA</v>
      </c>
      <c r="J130" s="35" t="s">
        <v>2243</v>
      </c>
      <c r="K130" s="37">
        <v>7</v>
      </c>
      <c r="L130" s="37">
        <v>4</v>
      </c>
      <c r="M130" s="37" t="s">
        <v>0</v>
      </c>
    </row>
    <row r="131" spans="2:13" x14ac:dyDescent="0.25">
      <c r="B131" s="48">
        <v>128</v>
      </c>
      <c r="C131" s="33">
        <v>209510683</v>
      </c>
      <c r="D131" s="43" t="str">
        <f t="shared" si="5"/>
        <v>2-0951-0683</v>
      </c>
      <c r="E131" s="33" t="s">
        <v>2211</v>
      </c>
      <c r="F131" s="43" t="str">
        <f t="shared" si="6"/>
        <v>DARWIN JAVIER</v>
      </c>
      <c r="G131" s="43" t="str">
        <f t="shared" si="7"/>
        <v>DARWIN</v>
      </c>
      <c r="H131" s="43" t="str">
        <f t="shared" si="8"/>
        <v>GONZALEZ SOLIS</v>
      </c>
      <c r="I131" s="43" t="str">
        <f t="shared" si="9"/>
        <v>DARWIN GONZALEZ SOLIS</v>
      </c>
      <c r="J131" s="35" t="s">
        <v>2243</v>
      </c>
      <c r="K131" s="37">
        <v>7</v>
      </c>
      <c r="L131" s="37">
        <v>4</v>
      </c>
      <c r="M131" s="37" t="s">
        <v>0</v>
      </c>
    </row>
    <row r="132" spans="2:13" x14ac:dyDescent="0.25">
      <c r="B132" s="46">
        <v>129</v>
      </c>
      <c r="C132" s="33">
        <v>402990708</v>
      </c>
      <c r="D132" s="43" t="str">
        <f t="shared" ref="D132:D195" si="10">IF(LEN(C132)=9,_xlfn.CONCAT(MID(C132,1,1),"-",MID(C132,2,4),"-",MID(C132,6,4)),TEXT(C132,"000000000000"))</f>
        <v>4-0299-0708</v>
      </c>
      <c r="E132" s="33" t="s">
        <v>2210</v>
      </c>
      <c r="F132" s="43" t="str">
        <f t="shared" si="6"/>
        <v>DAYANA SOFIA</v>
      </c>
      <c r="G132" s="43" t="str">
        <f t="shared" si="7"/>
        <v>DAYANA</v>
      </c>
      <c r="H132" s="43" t="str">
        <f t="shared" si="8"/>
        <v>LINARES VARGAS</v>
      </c>
      <c r="I132" s="43" t="str">
        <f t="shared" si="9"/>
        <v>DAYANA LINARES VARGAS</v>
      </c>
      <c r="J132" s="35" t="s">
        <v>2243</v>
      </c>
      <c r="K132" s="37">
        <v>7</v>
      </c>
      <c r="L132" s="37">
        <v>4</v>
      </c>
      <c r="M132" s="37" t="s">
        <v>0</v>
      </c>
    </row>
    <row r="133" spans="2:13" x14ac:dyDescent="0.25">
      <c r="B133" s="48">
        <v>130</v>
      </c>
      <c r="C133" s="33">
        <v>403010065</v>
      </c>
      <c r="D133" s="43" t="str">
        <f t="shared" si="10"/>
        <v>4-0301-0065</v>
      </c>
      <c r="E133" s="33" t="s">
        <v>2186</v>
      </c>
      <c r="F133" s="43" t="str">
        <f t="shared" ref="F133:F196" si="11">RIGHT(E133,LEN(E133)-SEARCH(" ",E133,SEARCH(" ",E133)+1))</f>
        <v>GENESIS LENALINNE</v>
      </c>
      <c r="G133" s="43" t="str">
        <f t="shared" ref="G133:G196" si="12">IFERROR(LEFT(F133,SEARCH(" ",F133,1)-1),F133)</f>
        <v>GENESIS</v>
      </c>
      <c r="H133" s="43" t="str">
        <f t="shared" ref="H133:H196" si="13">LEFT(E133,SEARCH(" ",E133,SEARCH(" ",E133)+1)-1)</f>
        <v>LOPEZ MENDEZ</v>
      </c>
      <c r="I133" s="43" t="str">
        <f t="shared" ref="I133:I196" si="14">_xlfn.CONCAT(G133," ",H133)</f>
        <v>GENESIS LOPEZ MENDEZ</v>
      </c>
      <c r="J133" s="35" t="s">
        <v>2243</v>
      </c>
      <c r="K133" s="37">
        <v>7</v>
      </c>
      <c r="L133" s="37">
        <v>4</v>
      </c>
      <c r="M133" s="37" t="s">
        <v>0</v>
      </c>
    </row>
    <row r="134" spans="2:13" x14ac:dyDescent="0.25">
      <c r="B134" s="48">
        <v>131</v>
      </c>
      <c r="C134" s="33">
        <v>121610769</v>
      </c>
      <c r="D134" s="43" t="str">
        <f t="shared" si="10"/>
        <v>1-2161-0769</v>
      </c>
      <c r="E134" s="33" t="s">
        <v>120</v>
      </c>
      <c r="F134" s="43" t="str">
        <f t="shared" si="11"/>
        <v>VALENTINA</v>
      </c>
      <c r="G134" s="43" t="str">
        <f t="shared" si="12"/>
        <v>VALENTINA</v>
      </c>
      <c r="H134" s="43" t="str">
        <f t="shared" si="13"/>
        <v>MIRANDA SALAS</v>
      </c>
      <c r="I134" s="43" t="str">
        <f t="shared" si="14"/>
        <v>VALENTINA MIRANDA SALAS</v>
      </c>
      <c r="J134" s="35" t="s">
        <v>2243</v>
      </c>
      <c r="K134" s="37">
        <v>7</v>
      </c>
      <c r="L134" s="37">
        <v>4</v>
      </c>
      <c r="M134" s="37" t="s">
        <v>0</v>
      </c>
    </row>
    <row r="135" spans="2:13" x14ac:dyDescent="0.25">
      <c r="B135" s="46">
        <v>132</v>
      </c>
      <c r="C135" s="33">
        <v>402930793</v>
      </c>
      <c r="D135" s="43" t="str">
        <f t="shared" si="10"/>
        <v>4-0293-0793</v>
      </c>
      <c r="E135" s="46" t="s">
        <v>338</v>
      </c>
      <c r="F135" s="43" t="str">
        <f t="shared" si="11"/>
        <v>YOSEF</v>
      </c>
      <c r="G135" s="43" t="str">
        <f t="shared" si="12"/>
        <v>YOSEF</v>
      </c>
      <c r="H135" s="43" t="str">
        <f t="shared" si="13"/>
        <v>MONTIEL MENA</v>
      </c>
      <c r="I135" s="43" t="str">
        <f t="shared" si="14"/>
        <v>YOSEF MONTIEL MENA</v>
      </c>
      <c r="J135" s="35" t="s">
        <v>2243</v>
      </c>
      <c r="K135" s="37">
        <v>7</v>
      </c>
      <c r="L135" s="37">
        <v>4</v>
      </c>
      <c r="M135" s="37" t="s">
        <v>0</v>
      </c>
    </row>
    <row r="136" spans="2:13" x14ac:dyDescent="0.25">
      <c r="B136" s="48">
        <v>133</v>
      </c>
      <c r="C136" s="33">
        <v>209660016</v>
      </c>
      <c r="D136" s="43" t="str">
        <f t="shared" si="10"/>
        <v>2-0966-0016</v>
      </c>
      <c r="E136" s="33" t="s">
        <v>121</v>
      </c>
      <c r="F136" s="43" t="str">
        <f t="shared" si="11"/>
        <v>JIMENA</v>
      </c>
      <c r="G136" s="43" t="str">
        <f t="shared" si="12"/>
        <v>JIMENA</v>
      </c>
      <c r="H136" s="43" t="str">
        <f t="shared" si="13"/>
        <v>NARANJO MONTOYA</v>
      </c>
      <c r="I136" s="43" t="str">
        <f t="shared" si="14"/>
        <v>JIMENA NARANJO MONTOYA</v>
      </c>
      <c r="J136" s="35" t="s">
        <v>2243</v>
      </c>
      <c r="K136" s="37">
        <v>7</v>
      </c>
      <c r="L136" s="37">
        <v>4</v>
      </c>
      <c r="M136" s="37" t="s">
        <v>0</v>
      </c>
    </row>
    <row r="137" spans="2:13" x14ac:dyDescent="0.25">
      <c r="B137" s="48">
        <v>134</v>
      </c>
      <c r="C137" s="40">
        <v>402970394</v>
      </c>
      <c r="D137" s="43" t="str">
        <f t="shared" si="10"/>
        <v>4-0297-0394</v>
      </c>
      <c r="E137" s="33" t="s">
        <v>2187</v>
      </c>
      <c r="F137" s="43" t="str">
        <f t="shared" si="11"/>
        <v>MARIANGEL</v>
      </c>
      <c r="G137" s="43" t="str">
        <f t="shared" si="12"/>
        <v>MARIANGEL</v>
      </c>
      <c r="H137" s="43" t="str">
        <f t="shared" si="13"/>
        <v>RAMIREZ ORTEGA</v>
      </c>
      <c r="I137" s="43" t="str">
        <f t="shared" si="14"/>
        <v>MARIANGEL RAMIREZ ORTEGA</v>
      </c>
      <c r="J137" s="35" t="s">
        <v>2243</v>
      </c>
      <c r="K137" s="37">
        <v>7</v>
      </c>
      <c r="L137" s="37">
        <v>4</v>
      </c>
      <c r="M137" s="37" t="s">
        <v>0</v>
      </c>
    </row>
    <row r="138" spans="2:13" x14ac:dyDescent="0.25">
      <c r="B138" s="46">
        <v>135</v>
      </c>
      <c r="C138" s="33">
        <v>209670281</v>
      </c>
      <c r="D138" s="43" t="str">
        <f t="shared" si="10"/>
        <v>2-0967-0281</v>
      </c>
      <c r="E138" s="33" t="s">
        <v>122</v>
      </c>
      <c r="F138" s="43" t="str">
        <f t="shared" si="11"/>
        <v>KRISTEN ARIANA</v>
      </c>
      <c r="G138" s="43" t="str">
        <f t="shared" si="12"/>
        <v>KRISTEN</v>
      </c>
      <c r="H138" s="43" t="str">
        <f t="shared" si="13"/>
        <v>RODRIGUEZ MURILLO</v>
      </c>
      <c r="I138" s="43" t="str">
        <f t="shared" si="14"/>
        <v>KRISTEN RODRIGUEZ MURILLO</v>
      </c>
      <c r="J138" s="35" t="s">
        <v>2243</v>
      </c>
      <c r="K138" s="37">
        <v>7</v>
      </c>
      <c r="L138" s="37">
        <v>4</v>
      </c>
      <c r="M138" s="37" t="s">
        <v>0</v>
      </c>
    </row>
    <row r="139" spans="2:13" x14ac:dyDescent="0.25">
      <c r="B139" s="48">
        <v>136</v>
      </c>
      <c r="C139" s="33">
        <v>209520928</v>
      </c>
      <c r="D139" s="43" t="str">
        <f t="shared" si="10"/>
        <v>2-0952-0928</v>
      </c>
      <c r="E139" s="33" t="s">
        <v>123</v>
      </c>
      <c r="F139" s="43" t="str">
        <f t="shared" si="11"/>
        <v>SANTIAGO</v>
      </c>
      <c r="G139" s="43" t="str">
        <f t="shared" si="12"/>
        <v>SANTIAGO</v>
      </c>
      <c r="H139" s="43" t="str">
        <f t="shared" si="13"/>
        <v>SALAZAR CHINCHILLA</v>
      </c>
      <c r="I139" s="43" t="str">
        <f t="shared" si="14"/>
        <v>SANTIAGO SALAZAR CHINCHILLA</v>
      </c>
      <c r="J139" s="35" t="s">
        <v>2243</v>
      </c>
      <c r="K139" s="37">
        <v>7</v>
      </c>
      <c r="L139" s="37">
        <v>4</v>
      </c>
      <c r="M139" s="37" t="s">
        <v>0</v>
      </c>
    </row>
    <row r="140" spans="2:13" x14ac:dyDescent="0.25">
      <c r="B140" s="48">
        <v>137</v>
      </c>
      <c r="C140" s="33">
        <v>209650275</v>
      </c>
      <c r="D140" s="43" t="str">
        <f t="shared" si="10"/>
        <v>2-0965-0275</v>
      </c>
      <c r="E140" s="33" t="s">
        <v>124</v>
      </c>
      <c r="F140" s="43" t="str">
        <f t="shared" si="11"/>
        <v>BRIANA PAOLA</v>
      </c>
      <c r="G140" s="43" t="str">
        <f t="shared" si="12"/>
        <v>BRIANA</v>
      </c>
      <c r="H140" s="43" t="str">
        <f t="shared" si="13"/>
        <v>VEGA CALVO</v>
      </c>
      <c r="I140" s="43" t="str">
        <f t="shared" si="14"/>
        <v>BRIANA VEGA CALVO</v>
      </c>
      <c r="J140" s="35" t="s">
        <v>2243</v>
      </c>
      <c r="K140" s="37">
        <v>7</v>
      </c>
      <c r="L140" s="37">
        <v>4</v>
      </c>
      <c r="M140" s="37" t="s">
        <v>0</v>
      </c>
    </row>
    <row r="141" spans="2:13" x14ac:dyDescent="0.25">
      <c r="B141" s="46">
        <v>138</v>
      </c>
      <c r="C141" s="33">
        <v>209640574</v>
      </c>
      <c r="D141" s="43" t="str">
        <f t="shared" si="10"/>
        <v>2-0964-0574</v>
      </c>
      <c r="E141" s="33" t="s">
        <v>125</v>
      </c>
      <c r="F141" s="43" t="str">
        <f t="shared" si="11"/>
        <v>GABRIEL</v>
      </c>
      <c r="G141" s="43" t="str">
        <f t="shared" si="12"/>
        <v>GABRIEL</v>
      </c>
      <c r="H141" s="43" t="str">
        <f t="shared" si="13"/>
        <v>VENEGAS SOLANO</v>
      </c>
      <c r="I141" s="43" t="str">
        <f t="shared" si="14"/>
        <v>GABRIEL VENEGAS SOLANO</v>
      </c>
      <c r="J141" s="35" t="s">
        <v>2243</v>
      </c>
      <c r="K141" s="37">
        <v>7</v>
      </c>
      <c r="L141" s="37">
        <v>4</v>
      </c>
      <c r="M141" s="37" t="s">
        <v>0</v>
      </c>
    </row>
    <row r="142" spans="2:13" x14ac:dyDescent="0.25">
      <c r="B142" s="48">
        <v>139</v>
      </c>
      <c r="C142" s="33">
        <v>121440641</v>
      </c>
      <c r="D142" s="43" t="str">
        <f t="shared" si="10"/>
        <v>1-2144-0641</v>
      </c>
      <c r="E142" s="33" t="s">
        <v>126</v>
      </c>
      <c r="F142" s="43" t="str">
        <f t="shared" si="11"/>
        <v>IAN JOEL</v>
      </c>
      <c r="G142" s="43" t="str">
        <f t="shared" si="12"/>
        <v>IAN</v>
      </c>
      <c r="H142" s="43" t="str">
        <f t="shared" si="13"/>
        <v>ALFARO CARRION</v>
      </c>
      <c r="I142" s="43" t="str">
        <f t="shared" si="14"/>
        <v>IAN ALFARO CARRION</v>
      </c>
      <c r="J142" s="35" t="s">
        <v>2243</v>
      </c>
      <c r="K142" s="37">
        <v>7</v>
      </c>
      <c r="L142" s="37">
        <v>5</v>
      </c>
      <c r="M142" s="37" t="s">
        <v>1</v>
      </c>
    </row>
    <row r="143" spans="2:13" x14ac:dyDescent="0.25">
      <c r="B143" s="48">
        <v>140</v>
      </c>
      <c r="C143" s="33">
        <v>403000520</v>
      </c>
      <c r="D143" s="43" t="str">
        <f t="shared" si="10"/>
        <v>4-0300-0520</v>
      </c>
      <c r="E143" s="33" t="s">
        <v>127</v>
      </c>
      <c r="F143" s="43" t="str">
        <f t="shared" si="11"/>
        <v>KENDALL ANDRES</v>
      </c>
      <c r="G143" s="43" t="str">
        <f t="shared" si="12"/>
        <v>KENDALL</v>
      </c>
      <c r="H143" s="43" t="str">
        <f t="shared" si="13"/>
        <v>ARIAS ARIAS</v>
      </c>
      <c r="I143" s="43" t="str">
        <f t="shared" si="14"/>
        <v>KENDALL ARIAS ARIAS</v>
      </c>
      <c r="J143" s="35" t="s">
        <v>2243</v>
      </c>
      <c r="K143" s="37">
        <v>7</v>
      </c>
      <c r="L143" s="37">
        <v>5</v>
      </c>
      <c r="M143" s="37" t="s">
        <v>1</v>
      </c>
    </row>
    <row r="144" spans="2:13" x14ac:dyDescent="0.25">
      <c r="B144" s="46">
        <v>141</v>
      </c>
      <c r="C144" s="33">
        <v>209610754</v>
      </c>
      <c r="D144" s="43" t="str">
        <f t="shared" si="10"/>
        <v>2-0961-0754</v>
      </c>
      <c r="E144" s="33" t="s">
        <v>128</v>
      </c>
      <c r="F144" s="43" t="str">
        <f t="shared" si="11"/>
        <v>VALENTINA</v>
      </c>
      <c r="G144" s="43" t="str">
        <f t="shared" si="12"/>
        <v>VALENTINA</v>
      </c>
      <c r="H144" s="43" t="str">
        <f t="shared" si="13"/>
        <v>CALDERON ZUMBADO</v>
      </c>
      <c r="I144" s="43" t="str">
        <f t="shared" si="14"/>
        <v>VALENTINA CALDERON ZUMBADO</v>
      </c>
      <c r="J144" s="35" t="s">
        <v>2243</v>
      </c>
      <c r="K144" s="37">
        <v>7</v>
      </c>
      <c r="L144" s="37">
        <v>5</v>
      </c>
      <c r="M144" s="37" t="s">
        <v>1</v>
      </c>
    </row>
    <row r="145" spans="2:13" x14ac:dyDescent="0.25">
      <c r="B145" s="48">
        <v>142</v>
      </c>
      <c r="C145" s="33">
        <v>209620465</v>
      </c>
      <c r="D145" s="43" t="str">
        <f t="shared" si="10"/>
        <v>2-0962-0465</v>
      </c>
      <c r="E145" s="33" t="s">
        <v>2209</v>
      </c>
      <c r="F145" s="43" t="str">
        <f t="shared" si="11"/>
        <v>IAN SAUL</v>
      </c>
      <c r="G145" s="43" t="str">
        <f t="shared" si="12"/>
        <v>IAN</v>
      </c>
      <c r="H145" s="43" t="str">
        <f t="shared" si="13"/>
        <v>CASCANTE MORALES</v>
      </c>
      <c r="I145" s="43" t="str">
        <f t="shared" si="14"/>
        <v>IAN CASCANTE MORALES</v>
      </c>
      <c r="J145" s="35" t="s">
        <v>2243</v>
      </c>
      <c r="K145" s="37">
        <v>7</v>
      </c>
      <c r="L145" s="37">
        <v>5</v>
      </c>
      <c r="M145" s="37" t="s">
        <v>1</v>
      </c>
    </row>
    <row r="146" spans="2:13" x14ac:dyDescent="0.25">
      <c r="B146" s="48">
        <v>143</v>
      </c>
      <c r="C146" s="33">
        <v>209530214</v>
      </c>
      <c r="D146" s="43" t="str">
        <f t="shared" si="10"/>
        <v>2-0953-0214</v>
      </c>
      <c r="E146" s="33" t="s">
        <v>129</v>
      </c>
      <c r="F146" s="43" t="str">
        <f t="shared" si="11"/>
        <v>CEDRIX ANDREY</v>
      </c>
      <c r="G146" s="43" t="str">
        <f t="shared" si="12"/>
        <v>CEDRIX</v>
      </c>
      <c r="H146" s="43" t="str">
        <f t="shared" si="13"/>
        <v>COLOMER REYES</v>
      </c>
      <c r="I146" s="43" t="str">
        <f t="shared" si="14"/>
        <v>CEDRIX COLOMER REYES</v>
      </c>
      <c r="J146" s="35" t="s">
        <v>2243</v>
      </c>
      <c r="K146" s="37">
        <v>7</v>
      </c>
      <c r="L146" s="37">
        <v>5</v>
      </c>
      <c r="M146" s="37" t="s">
        <v>1</v>
      </c>
    </row>
    <row r="147" spans="2:13" x14ac:dyDescent="0.25">
      <c r="B147" s="46">
        <v>144</v>
      </c>
      <c r="C147" s="33">
        <v>209660668</v>
      </c>
      <c r="D147" s="43" t="str">
        <f t="shared" si="10"/>
        <v>2-0966-0668</v>
      </c>
      <c r="E147" s="33" t="s">
        <v>2208</v>
      </c>
      <c r="F147" s="43" t="str">
        <f t="shared" si="11"/>
        <v>MARIANGEL</v>
      </c>
      <c r="G147" s="43" t="str">
        <f t="shared" si="12"/>
        <v>MARIANGEL</v>
      </c>
      <c r="H147" s="43" t="str">
        <f t="shared" si="13"/>
        <v>FERNANDEZ ALVAREZ</v>
      </c>
      <c r="I147" s="43" t="str">
        <f t="shared" si="14"/>
        <v>MARIANGEL FERNANDEZ ALVAREZ</v>
      </c>
      <c r="J147" s="35" t="s">
        <v>2243</v>
      </c>
      <c r="K147" s="37">
        <v>7</v>
      </c>
      <c r="L147" s="37">
        <v>5</v>
      </c>
      <c r="M147" s="37" t="s">
        <v>1</v>
      </c>
    </row>
    <row r="148" spans="2:13" x14ac:dyDescent="0.25">
      <c r="B148" s="48">
        <v>145</v>
      </c>
      <c r="C148" s="44">
        <v>999990145</v>
      </c>
      <c r="D148" s="33" t="s">
        <v>2188</v>
      </c>
      <c r="E148" s="33" t="s">
        <v>2189</v>
      </c>
      <c r="F148" s="43" t="str">
        <f t="shared" si="11"/>
        <v>JARLEYDI ISAMARA</v>
      </c>
      <c r="G148" s="43" t="str">
        <f t="shared" si="12"/>
        <v>JARLEYDI</v>
      </c>
      <c r="H148" s="43" t="str">
        <f t="shared" si="13"/>
        <v>GOMEZ HERNANDEZ</v>
      </c>
      <c r="I148" s="43" t="str">
        <f t="shared" si="14"/>
        <v>JARLEYDI GOMEZ HERNANDEZ</v>
      </c>
      <c r="J148" s="35" t="s">
        <v>2243</v>
      </c>
      <c r="K148" s="37">
        <v>7</v>
      </c>
      <c r="L148" s="37">
        <v>5</v>
      </c>
      <c r="M148" s="37" t="s">
        <v>1</v>
      </c>
    </row>
    <row r="149" spans="2:13" x14ac:dyDescent="0.25">
      <c r="B149" s="48">
        <v>146</v>
      </c>
      <c r="C149" s="33">
        <v>209610410</v>
      </c>
      <c r="D149" s="43" t="str">
        <f t="shared" si="10"/>
        <v>2-0961-0410</v>
      </c>
      <c r="E149" s="33" t="s">
        <v>130</v>
      </c>
      <c r="F149" s="43" t="str">
        <f t="shared" si="11"/>
        <v>ALANYS</v>
      </c>
      <c r="G149" s="43" t="str">
        <f t="shared" si="12"/>
        <v>ALANYS</v>
      </c>
      <c r="H149" s="43" t="str">
        <f t="shared" si="13"/>
        <v>GONZALEZ CAMPOS</v>
      </c>
      <c r="I149" s="43" t="str">
        <f t="shared" si="14"/>
        <v>ALANYS GONZALEZ CAMPOS</v>
      </c>
      <c r="J149" s="35" t="s">
        <v>2243</v>
      </c>
      <c r="K149" s="37">
        <v>7</v>
      </c>
      <c r="L149" s="37">
        <v>5</v>
      </c>
      <c r="M149" s="37" t="s">
        <v>1</v>
      </c>
    </row>
    <row r="150" spans="2:13" x14ac:dyDescent="0.25">
      <c r="B150" s="46">
        <v>147</v>
      </c>
      <c r="C150" s="33">
        <v>402980454</v>
      </c>
      <c r="D150" s="43" t="str">
        <f t="shared" si="10"/>
        <v>4-0298-0454</v>
      </c>
      <c r="E150" s="33" t="s">
        <v>131</v>
      </c>
      <c r="F150" s="43" t="str">
        <f t="shared" si="11"/>
        <v>ELISEO</v>
      </c>
      <c r="G150" s="43" t="str">
        <f t="shared" si="12"/>
        <v>ELISEO</v>
      </c>
      <c r="H150" s="43" t="str">
        <f t="shared" si="13"/>
        <v>HERRERA ZUÑIGA</v>
      </c>
      <c r="I150" s="43" t="str">
        <f t="shared" si="14"/>
        <v>ELISEO HERRERA ZUÑIGA</v>
      </c>
      <c r="J150" s="35" t="s">
        <v>2243</v>
      </c>
      <c r="K150" s="37">
        <v>7</v>
      </c>
      <c r="L150" s="37">
        <v>5</v>
      </c>
      <c r="M150" s="37" t="s">
        <v>1</v>
      </c>
    </row>
    <row r="151" spans="2:13" x14ac:dyDescent="0.25">
      <c r="B151" s="48">
        <v>148</v>
      </c>
      <c r="C151" s="33">
        <v>209530082</v>
      </c>
      <c r="D151" s="43" t="str">
        <f t="shared" si="10"/>
        <v>2-0953-0082</v>
      </c>
      <c r="E151" s="33" t="s">
        <v>132</v>
      </c>
      <c r="F151" s="43" t="str">
        <f t="shared" si="11"/>
        <v>NEIMAR EDUARDO</v>
      </c>
      <c r="G151" s="43" t="str">
        <f t="shared" si="12"/>
        <v>NEIMAR</v>
      </c>
      <c r="H151" s="43" t="str">
        <f t="shared" si="13"/>
        <v>MARTINEZ ORDEÑANA</v>
      </c>
      <c r="I151" s="43" t="str">
        <f t="shared" si="14"/>
        <v>NEIMAR MARTINEZ ORDEÑANA</v>
      </c>
      <c r="J151" s="35" t="s">
        <v>2243</v>
      </c>
      <c r="K151" s="37">
        <v>7</v>
      </c>
      <c r="L151" s="37">
        <v>5</v>
      </c>
      <c r="M151" s="37" t="s">
        <v>1</v>
      </c>
    </row>
    <row r="152" spans="2:13" x14ac:dyDescent="0.25">
      <c r="B152" s="48">
        <v>149</v>
      </c>
      <c r="C152" s="33">
        <v>209570207</v>
      </c>
      <c r="D152" s="43" t="str">
        <f t="shared" si="10"/>
        <v>2-0957-0207</v>
      </c>
      <c r="E152" s="33" t="s">
        <v>133</v>
      </c>
      <c r="F152" s="43" t="str">
        <f t="shared" si="11"/>
        <v>FABRICIO</v>
      </c>
      <c r="G152" s="43" t="str">
        <f t="shared" si="12"/>
        <v>FABRICIO</v>
      </c>
      <c r="H152" s="43" t="str">
        <f t="shared" si="13"/>
        <v>MORA MORA</v>
      </c>
      <c r="I152" s="43" t="str">
        <f t="shared" si="14"/>
        <v>FABRICIO MORA MORA</v>
      </c>
      <c r="J152" s="35" t="s">
        <v>2243</v>
      </c>
      <c r="K152" s="37">
        <v>7</v>
      </c>
      <c r="L152" s="37">
        <v>5</v>
      </c>
      <c r="M152" s="37" t="s">
        <v>1</v>
      </c>
    </row>
    <row r="153" spans="2:13" x14ac:dyDescent="0.25">
      <c r="B153" s="46">
        <v>150</v>
      </c>
      <c r="C153" s="33">
        <v>402980505</v>
      </c>
      <c r="D153" s="43" t="str">
        <f t="shared" si="10"/>
        <v>4-0298-0505</v>
      </c>
      <c r="E153" s="33" t="s">
        <v>134</v>
      </c>
      <c r="F153" s="43" t="str">
        <f t="shared" si="11"/>
        <v>OBADYAH</v>
      </c>
      <c r="G153" s="43" t="str">
        <f t="shared" si="12"/>
        <v>OBADYAH</v>
      </c>
      <c r="H153" s="43" t="str">
        <f t="shared" si="13"/>
        <v>PEREZ MONTIEL</v>
      </c>
      <c r="I153" s="43" t="str">
        <f t="shared" si="14"/>
        <v>OBADYAH PEREZ MONTIEL</v>
      </c>
      <c r="J153" s="35" t="s">
        <v>2243</v>
      </c>
      <c r="K153" s="37">
        <v>7</v>
      </c>
      <c r="L153" s="37">
        <v>5</v>
      </c>
      <c r="M153" s="37" t="s">
        <v>1</v>
      </c>
    </row>
    <row r="154" spans="2:13" x14ac:dyDescent="0.25">
      <c r="B154" s="48">
        <v>151</v>
      </c>
      <c r="C154" s="33">
        <v>121580629</v>
      </c>
      <c r="D154" s="43" t="str">
        <f t="shared" si="10"/>
        <v>1-2158-0629</v>
      </c>
      <c r="E154" s="33" t="s">
        <v>135</v>
      </c>
      <c r="F154" s="43" t="str">
        <f t="shared" si="11"/>
        <v>MATEO</v>
      </c>
      <c r="G154" s="43" t="str">
        <f t="shared" si="12"/>
        <v>MATEO</v>
      </c>
      <c r="H154" s="43" t="str">
        <f t="shared" si="13"/>
        <v>RODRIGUEZ CAMACHO</v>
      </c>
      <c r="I154" s="43" t="str">
        <f t="shared" si="14"/>
        <v>MATEO RODRIGUEZ CAMACHO</v>
      </c>
      <c r="J154" s="35" t="s">
        <v>2243</v>
      </c>
      <c r="K154" s="37">
        <v>7</v>
      </c>
      <c r="L154" s="37">
        <v>5</v>
      </c>
      <c r="M154" s="37" t="s">
        <v>1</v>
      </c>
    </row>
    <row r="155" spans="2:13" x14ac:dyDescent="0.25">
      <c r="B155" s="48">
        <v>152</v>
      </c>
      <c r="C155" s="33">
        <v>209630950</v>
      </c>
      <c r="D155" s="43" t="str">
        <f t="shared" si="10"/>
        <v>2-0963-0950</v>
      </c>
      <c r="E155" s="33" t="s">
        <v>136</v>
      </c>
      <c r="F155" s="43" t="str">
        <f t="shared" si="11"/>
        <v>LUCAS</v>
      </c>
      <c r="G155" s="43" t="str">
        <f t="shared" si="12"/>
        <v>LUCAS</v>
      </c>
      <c r="H155" s="43" t="str">
        <f t="shared" si="13"/>
        <v>RUIZ ALVARADO</v>
      </c>
      <c r="I155" s="43" t="str">
        <f t="shared" si="14"/>
        <v>LUCAS RUIZ ALVARADO</v>
      </c>
      <c r="J155" s="35" t="s">
        <v>2243</v>
      </c>
      <c r="K155" s="37">
        <v>7</v>
      </c>
      <c r="L155" s="37">
        <v>5</v>
      </c>
      <c r="M155" s="37" t="s">
        <v>1</v>
      </c>
    </row>
    <row r="156" spans="2:13" x14ac:dyDescent="0.25">
      <c r="B156" s="46">
        <v>153</v>
      </c>
      <c r="C156" s="33">
        <v>121630788</v>
      </c>
      <c r="D156" s="43" t="str">
        <f t="shared" si="10"/>
        <v>1-2163-0788</v>
      </c>
      <c r="E156" s="33" t="s">
        <v>137</v>
      </c>
      <c r="F156" s="43" t="str">
        <f t="shared" si="11"/>
        <v>EYFRANK AARON</v>
      </c>
      <c r="G156" s="43" t="str">
        <f t="shared" si="12"/>
        <v>EYFRANK</v>
      </c>
      <c r="H156" s="43" t="str">
        <f t="shared" si="13"/>
        <v>SEGURA SUAREZ</v>
      </c>
      <c r="I156" s="43" t="str">
        <f t="shared" si="14"/>
        <v>EYFRANK SEGURA SUAREZ</v>
      </c>
      <c r="J156" s="35" t="s">
        <v>2243</v>
      </c>
      <c r="K156" s="37">
        <v>7</v>
      </c>
      <c r="L156" s="37">
        <v>5</v>
      </c>
      <c r="M156" s="37" t="s">
        <v>1</v>
      </c>
    </row>
    <row r="157" spans="2:13" x14ac:dyDescent="0.25">
      <c r="B157" s="48">
        <v>154</v>
      </c>
      <c r="C157" s="33">
        <v>209620816</v>
      </c>
      <c r="D157" s="43" t="str">
        <f t="shared" si="10"/>
        <v>2-0962-0816</v>
      </c>
      <c r="E157" s="33" t="s">
        <v>2207</v>
      </c>
      <c r="F157" s="43" t="str">
        <f t="shared" si="11"/>
        <v>ALANA SOFIA</v>
      </c>
      <c r="G157" s="43" t="str">
        <f t="shared" si="12"/>
        <v>ALANA</v>
      </c>
      <c r="H157" s="43" t="str">
        <f t="shared" si="13"/>
        <v>VARGAS GONZALEZ</v>
      </c>
      <c r="I157" s="43" t="str">
        <f t="shared" si="14"/>
        <v>ALANA VARGAS GONZALEZ</v>
      </c>
      <c r="J157" s="35" t="s">
        <v>2243</v>
      </c>
      <c r="K157" s="37">
        <v>7</v>
      </c>
      <c r="L157" s="37">
        <v>5</v>
      </c>
      <c r="M157" s="37" t="s">
        <v>1</v>
      </c>
    </row>
    <row r="158" spans="2:13" x14ac:dyDescent="0.25">
      <c r="B158" s="48">
        <v>155</v>
      </c>
      <c r="C158" s="33">
        <v>209510785</v>
      </c>
      <c r="D158" s="43" t="str">
        <f t="shared" si="10"/>
        <v>2-0951-0785</v>
      </c>
      <c r="E158" s="33" t="s">
        <v>138</v>
      </c>
      <c r="F158" s="43" t="str">
        <f t="shared" si="11"/>
        <v>YUNIELKA LUCIA</v>
      </c>
      <c r="G158" s="43" t="str">
        <f t="shared" si="12"/>
        <v>YUNIELKA</v>
      </c>
      <c r="H158" s="43" t="str">
        <f t="shared" si="13"/>
        <v>ZAMORAN GARCIA</v>
      </c>
      <c r="I158" s="43" t="str">
        <f t="shared" si="14"/>
        <v>YUNIELKA ZAMORAN GARCIA</v>
      </c>
      <c r="J158" s="35" t="s">
        <v>2243</v>
      </c>
      <c r="K158" s="37">
        <v>7</v>
      </c>
      <c r="L158" s="37">
        <v>5</v>
      </c>
      <c r="M158" s="37" t="s">
        <v>1</v>
      </c>
    </row>
    <row r="159" spans="2:13" x14ac:dyDescent="0.25">
      <c r="B159" s="46">
        <v>156</v>
      </c>
      <c r="C159" s="33">
        <v>209520108</v>
      </c>
      <c r="D159" s="43" t="str">
        <f t="shared" si="10"/>
        <v>2-0952-0108</v>
      </c>
      <c r="E159" s="33" t="s">
        <v>139</v>
      </c>
      <c r="F159" s="43" t="str">
        <f t="shared" si="11"/>
        <v>AARON</v>
      </c>
      <c r="G159" s="43" t="str">
        <f t="shared" si="12"/>
        <v>AARON</v>
      </c>
      <c r="H159" s="43" t="str">
        <f t="shared" si="13"/>
        <v>ALVAREZ DURAN</v>
      </c>
      <c r="I159" s="43" t="str">
        <f t="shared" si="14"/>
        <v>AARON ALVAREZ DURAN</v>
      </c>
      <c r="J159" s="35" t="s">
        <v>2243</v>
      </c>
      <c r="K159" s="37">
        <v>7</v>
      </c>
      <c r="L159" s="37">
        <v>5</v>
      </c>
      <c r="M159" s="37" t="s">
        <v>0</v>
      </c>
    </row>
    <row r="160" spans="2:13" x14ac:dyDescent="0.25">
      <c r="B160" s="48">
        <v>157</v>
      </c>
      <c r="C160" s="33">
        <v>209620656</v>
      </c>
      <c r="D160" s="43" t="str">
        <f t="shared" si="10"/>
        <v>2-0962-0656</v>
      </c>
      <c r="E160" s="33" t="s">
        <v>2222</v>
      </c>
      <c r="F160" s="43" t="str">
        <f t="shared" si="11"/>
        <v>THIAGO MATHIAS</v>
      </c>
      <c r="G160" s="43" t="str">
        <f t="shared" si="12"/>
        <v>THIAGO</v>
      </c>
      <c r="H160" s="43" t="str">
        <f t="shared" si="13"/>
        <v>BADILLA CARRILLO</v>
      </c>
      <c r="I160" s="43" t="str">
        <f t="shared" si="14"/>
        <v>THIAGO BADILLA CARRILLO</v>
      </c>
      <c r="J160" s="35" t="s">
        <v>2243</v>
      </c>
      <c r="K160" s="37">
        <v>7</v>
      </c>
      <c r="L160" s="37">
        <v>5</v>
      </c>
      <c r="M160" s="37" t="s">
        <v>0</v>
      </c>
    </row>
    <row r="161" spans="2:13" x14ac:dyDescent="0.25">
      <c r="B161" s="48">
        <v>158</v>
      </c>
      <c r="C161" s="33">
        <v>209630822</v>
      </c>
      <c r="D161" s="43" t="str">
        <f t="shared" si="10"/>
        <v>2-0963-0822</v>
      </c>
      <c r="E161" s="33" t="s">
        <v>140</v>
      </c>
      <c r="F161" s="43" t="str">
        <f t="shared" si="11"/>
        <v>ALISSON NAHIARA</v>
      </c>
      <c r="G161" s="43" t="str">
        <f t="shared" si="12"/>
        <v>ALISSON</v>
      </c>
      <c r="H161" s="43" t="str">
        <f t="shared" si="13"/>
        <v>CHACON LOBO</v>
      </c>
      <c r="I161" s="43" t="str">
        <f t="shared" si="14"/>
        <v>ALISSON CHACON LOBO</v>
      </c>
      <c r="J161" s="35" t="s">
        <v>2243</v>
      </c>
      <c r="K161" s="37">
        <v>7</v>
      </c>
      <c r="L161" s="37">
        <v>5</v>
      </c>
      <c r="M161" s="37" t="s">
        <v>0</v>
      </c>
    </row>
    <row r="162" spans="2:13" x14ac:dyDescent="0.25">
      <c r="B162" s="46">
        <v>159</v>
      </c>
      <c r="C162" s="33">
        <v>209640025</v>
      </c>
      <c r="D162" s="43" t="str">
        <f t="shared" si="10"/>
        <v>2-0964-0025</v>
      </c>
      <c r="E162" s="46" t="s">
        <v>2190</v>
      </c>
      <c r="F162" s="43" t="str">
        <f t="shared" si="11"/>
        <v>JUSTIN</v>
      </c>
      <c r="G162" s="43" t="str">
        <f t="shared" si="12"/>
        <v>JUSTIN</v>
      </c>
      <c r="H162" s="43" t="str">
        <f t="shared" si="13"/>
        <v>CORELLA ALVARADO</v>
      </c>
      <c r="I162" s="43" t="str">
        <f t="shared" si="14"/>
        <v>JUSTIN CORELLA ALVARADO</v>
      </c>
      <c r="J162" s="35" t="s">
        <v>2243</v>
      </c>
      <c r="K162" s="37">
        <v>7</v>
      </c>
      <c r="L162" s="37">
        <v>5</v>
      </c>
      <c r="M162" s="37" t="s">
        <v>0</v>
      </c>
    </row>
    <row r="163" spans="2:13" x14ac:dyDescent="0.25">
      <c r="B163" s="48">
        <v>160</v>
      </c>
      <c r="C163" s="33">
        <v>209590627</v>
      </c>
      <c r="D163" s="43" t="str">
        <f t="shared" si="10"/>
        <v>2-0959-0627</v>
      </c>
      <c r="E163" s="33" t="s">
        <v>141</v>
      </c>
      <c r="F163" s="43" t="str">
        <f t="shared" si="11"/>
        <v>MARIPAZ</v>
      </c>
      <c r="G163" s="43" t="str">
        <f t="shared" si="12"/>
        <v>MARIPAZ</v>
      </c>
      <c r="H163" s="43" t="str">
        <f t="shared" si="13"/>
        <v>DELGADO GONZALEZ</v>
      </c>
      <c r="I163" s="43" t="str">
        <f t="shared" si="14"/>
        <v>MARIPAZ DELGADO GONZALEZ</v>
      </c>
      <c r="J163" s="35" t="s">
        <v>2243</v>
      </c>
      <c r="K163" s="37">
        <v>7</v>
      </c>
      <c r="L163" s="37">
        <v>5</v>
      </c>
      <c r="M163" s="37" t="s">
        <v>0</v>
      </c>
    </row>
    <row r="164" spans="2:13" x14ac:dyDescent="0.25">
      <c r="B164" s="48">
        <v>161</v>
      </c>
      <c r="C164" s="33">
        <v>209670813</v>
      </c>
      <c r="D164" s="43" t="str">
        <f t="shared" si="10"/>
        <v>2-0967-0813</v>
      </c>
      <c r="E164" s="33" t="s">
        <v>142</v>
      </c>
      <c r="F164" s="43" t="str">
        <f t="shared" si="11"/>
        <v>SHEYLIN MARISOL</v>
      </c>
      <c r="G164" s="43" t="str">
        <f t="shared" si="12"/>
        <v>SHEYLIN</v>
      </c>
      <c r="H164" s="43" t="str">
        <f t="shared" si="13"/>
        <v>GARCIA SEVILLA</v>
      </c>
      <c r="I164" s="43" t="str">
        <f t="shared" si="14"/>
        <v>SHEYLIN GARCIA SEVILLA</v>
      </c>
      <c r="J164" s="35" t="s">
        <v>2243</v>
      </c>
      <c r="K164" s="37">
        <v>7</v>
      </c>
      <c r="L164" s="37">
        <v>5</v>
      </c>
      <c r="M164" s="37" t="s">
        <v>0</v>
      </c>
    </row>
    <row r="165" spans="2:13" x14ac:dyDescent="0.25">
      <c r="B165" s="46">
        <v>162</v>
      </c>
      <c r="C165" s="33">
        <v>209570566</v>
      </c>
      <c r="D165" s="43" t="str">
        <f t="shared" si="10"/>
        <v>2-0957-0566</v>
      </c>
      <c r="E165" s="33" t="s">
        <v>143</v>
      </c>
      <c r="F165" s="43" t="str">
        <f t="shared" si="11"/>
        <v>CAMILA</v>
      </c>
      <c r="G165" s="43" t="str">
        <f t="shared" si="12"/>
        <v>CAMILA</v>
      </c>
      <c r="H165" s="43" t="str">
        <f t="shared" si="13"/>
        <v>GUERRERO GUADAMUZ</v>
      </c>
      <c r="I165" s="43" t="str">
        <f t="shared" si="14"/>
        <v>CAMILA GUERRERO GUADAMUZ</v>
      </c>
      <c r="J165" s="35" t="s">
        <v>2243</v>
      </c>
      <c r="K165" s="37">
        <v>7</v>
      </c>
      <c r="L165" s="37">
        <v>5</v>
      </c>
      <c r="M165" s="37" t="s">
        <v>0</v>
      </c>
    </row>
    <row r="166" spans="2:13" x14ac:dyDescent="0.25">
      <c r="B166" s="48">
        <v>163</v>
      </c>
      <c r="C166" s="33">
        <v>209600872</v>
      </c>
      <c r="D166" s="43" t="str">
        <f t="shared" si="10"/>
        <v>2-0960-0872</v>
      </c>
      <c r="E166" s="33" t="s">
        <v>144</v>
      </c>
      <c r="F166" s="43" t="str">
        <f t="shared" si="11"/>
        <v>GENESIS SAMANTHA</v>
      </c>
      <c r="G166" s="43" t="str">
        <f t="shared" si="12"/>
        <v>GENESIS</v>
      </c>
      <c r="H166" s="43" t="str">
        <f t="shared" si="13"/>
        <v>LOPEZ BRAVO</v>
      </c>
      <c r="I166" s="43" t="str">
        <f t="shared" si="14"/>
        <v>GENESIS LOPEZ BRAVO</v>
      </c>
      <c r="J166" s="35" t="s">
        <v>2243</v>
      </c>
      <c r="K166" s="37">
        <v>7</v>
      </c>
      <c r="L166" s="37">
        <v>5</v>
      </c>
      <c r="M166" s="37" t="s">
        <v>0</v>
      </c>
    </row>
    <row r="167" spans="2:13" x14ac:dyDescent="0.25">
      <c r="B167" s="48">
        <v>164</v>
      </c>
      <c r="C167" s="33">
        <v>209620548</v>
      </c>
      <c r="D167" s="43" t="str">
        <f t="shared" si="10"/>
        <v>2-0962-0548</v>
      </c>
      <c r="E167" s="33" t="s">
        <v>145</v>
      </c>
      <c r="F167" s="43" t="str">
        <f t="shared" si="11"/>
        <v>MARYPAZ</v>
      </c>
      <c r="G167" s="43" t="str">
        <f t="shared" si="12"/>
        <v>MARYPAZ</v>
      </c>
      <c r="H167" s="43" t="str">
        <f t="shared" si="13"/>
        <v>MOLINA SEQUEIRA</v>
      </c>
      <c r="I167" s="43" t="str">
        <f t="shared" si="14"/>
        <v>MARYPAZ MOLINA SEQUEIRA</v>
      </c>
      <c r="J167" s="35" t="s">
        <v>2243</v>
      </c>
      <c r="K167" s="37">
        <v>7</v>
      </c>
      <c r="L167" s="37">
        <v>5</v>
      </c>
      <c r="M167" s="37" t="s">
        <v>0</v>
      </c>
    </row>
    <row r="168" spans="2:13" x14ac:dyDescent="0.25">
      <c r="B168" s="46">
        <v>165</v>
      </c>
      <c r="C168" s="33">
        <v>209550512</v>
      </c>
      <c r="D168" s="43" t="str">
        <f t="shared" si="10"/>
        <v>2-0955-0512</v>
      </c>
      <c r="E168" s="33" t="s">
        <v>146</v>
      </c>
      <c r="F168" s="43" t="str">
        <f t="shared" si="11"/>
        <v>MATIAS</v>
      </c>
      <c r="G168" s="43" t="str">
        <f t="shared" si="12"/>
        <v>MATIAS</v>
      </c>
      <c r="H168" s="43" t="str">
        <f t="shared" si="13"/>
        <v>OCAMPO DELGADO</v>
      </c>
      <c r="I168" s="43" t="str">
        <f t="shared" si="14"/>
        <v>MATIAS OCAMPO DELGADO</v>
      </c>
      <c r="J168" s="35" t="s">
        <v>2243</v>
      </c>
      <c r="K168" s="37">
        <v>7</v>
      </c>
      <c r="L168" s="37">
        <v>5</v>
      </c>
      <c r="M168" s="37" t="s">
        <v>0</v>
      </c>
    </row>
    <row r="169" spans="2:13" x14ac:dyDescent="0.25">
      <c r="B169" s="48">
        <v>166</v>
      </c>
      <c r="C169" s="33">
        <v>209520624</v>
      </c>
      <c r="D169" s="43" t="str">
        <f t="shared" si="10"/>
        <v>2-0952-0624</v>
      </c>
      <c r="E169" s="33" t="s">
        <v>147</v>
      </c>
      <c r="F169" s="43" t="str">
        <f t="shared" si="11"/>
        <v>LUCAS</v>
      </c>
      <c r="G169" s="43" t="str">
        <f t="shared" si="12"/>
        <v>LUCAS</v>
      </c>
      <c r="H169" s="43" t="str">
        <f t="shared" si="13"/>
        <v>RAMOS ARTAVIA</v>
      </c>
      <c r="I169" s="43" t="str">
        <f t="shared" si="14"/>
        <v>LUCAS RAMOS ARTAVIA</v>
      </c>
      <c r="J169" s="35" t="s">
        <v>2243</v>
      </c>
      <c r="K169" s="37">
        <v>7</v>
      </c>
      <c r="L169" s="37">
        <v>5</v>
      </c>
      <c r="M169" s="37" t="s">
        <v>0</v>
      </c>
    </row>
    <row r="170" spans="2:13" x14ac:dyDescent="0.25">
      <c r="B170" s="48">
        <v>167</v>
      </c>
      <c r="C170" s="33">
        <v>209680532</v>
      </c>
      <c r="D170" s="43" t="str">
        <f t="shared" si="10"/>
        <v>2-0968-0532</v>
      </c>
      <c r="E170" s="33" t="s">
        <v>2206</v>
      </c>
      <c r="F170" s="43" t="str">
        <f t="shared" si="11"/>
        <v>ASHLEY IRIED</v>
      </c>
      <c r="G170" s="43" t="str">
        <f t="shared" si="12"/>
        <v>ASHLEY</v>
      </c>
      <c r="H170" s="43" t="str">
        <f t="shared" si="13"/>
        <v>REYES SABALLOS</v>
      </c>
      <c r="I170" s="43" t="str">
        <f t="shared" si="14"/>
        <v>ASHLEY REYES SABALLOS</v>
      </c>
      <c r="J170" s="35" t="s">
        <v>2243</v>
      </c>
      <c r="K170" s="37">
        <v>7</v>
      </c>
      <c r="L170" s="37">
        <v>5</v>
      </c>
      <c r="M170" s="37" t="s">
        <v>0</v>
      </c>
    </row>
    <row r="171" spans="2:13" x14ac:dyDescent="0.25">
      <c r="B171" s="46">
        <v>168</v>
      </c>
      <c r="C171" s="33">
        <v>209680909</v>
      </c>
      <c r="D171" s="43" t="str">
        <f t="shared" si="10"/>
        <v>2-0968-0909</v>
      </c>
      <c r="E171" s="33" t="s">
        <v>148</v>
      </c>
      <c r="F171" s="43" t="str">
        <f t="shared" si="11"/>
        <v>KEYLER SAMIR</v>
      </c>
      <c r="G171" s="43" t="str">
        <f t="shared" si="12"/>
        <v>KEYLER</v>
      </c>
      <c r="H171" s="43" t="str">
        <f t="shared" si="13"/>
        <v>RODRIGUEZ PEREZ</v>
      </c>
      <c r="I171" s="43" t="str">
        <f t="shared" si="14"/>
        <v>KEYLER RODRIGUEZ PEREZ</v>
      </c>
      <c r="J171" s="35" t="s">
        <v>2243</v>
      </c>
      <c r="K171" s="37">
        <v>7</v>
      </c>
      <c r="L171" s="37">
        <v>5</v>
      </c>
      <c r="M171" s="37" t="s">
        <v>0</v>
      </c>
    </row>
    <row r="172" spans="2:13" x14ac:dyDescent="0.25">
      <c r="B172" s="48">
        <v>169</v>
      </c>
      <c r="C172" s="33">
        <v>403010218</v>
      </c>
      <c r="D172" s="43" t="str">
        <f t="shared" si="10"/>
        <v>4-0301-0218</v>
      </c>
      <c r="E172" s="33" t="s">
        <v>149</v>
      </c>
      <c r="F172" s="43" t="str">
        <f t="shared" si="11"/>
        <v>NAOMY</v>
      </c>
      <c r="G172" s="43" t="str">
        <f t="shared" si="12"/>
        <v>NAOMY</v>
      </c>
      <c r="H172" s="43" t="str">
        <f t="shared" si="13"/>
        <v>SALAZAR MUÑOZ</v>
      </c>
      <c r="I172" s="43" t="str">
        <f t="shared" si="14"/>
        <v>NAOMY SALAZAR MUÑOZ</v>
      </c>
      <c r="J172" s="35" t="s">
        <v>2243</v>
      </c>
      <c r="K172" s="37">
        <v>7</v>
      </c>
      <c r="L172" s="37">
        <v>5</v>
      </c>
      <c r="M172" s="37" t="s">
        <v>0</v>
      </c>
    </row>
    <row r="173" spans="2:13" x14ac:dyDescent="0.25">
      <c r="B173" s="48">
        <v>170</v>
      </c>
      <c r="C173" s="33">
        <v>209530445</v>
      </c>
      <c r="D173" s="43" t="str">
        <f t="shared" si="10"/>
        <v>2-0953-0445</v>
      </c>
      <c r="E173" s="33" t="s">
        <v>31</v>
      </c>
      <c r="F173" s="43" t="str">
        <f t="shared" si="11"/>
        <v>ALISON YACXIRA</v>
      </c>
      <c r="G173" s="43" t="str">
        <f t="shared" si="12"/>
        <v>ALISON</v>
      </c>
      <c r="H173" s="43" t="str">
        <f t="shared" si="13"/>
        <v>SIBAJA JIMENEZ</v>
      </c>
      <c r="I173" s="43" t="str">
        <f t="shared" si="14"/>
        <v>ALISON SIBAJA JIMENEZ</v>
      </c>
      <c r="J173" s="35" t="s">
        <v>2243</v>
      </c>
      <c r="K173" s="37">
        <v>7</v>
      </c>
      <c r="L173" s="37">
        <v>5</v>
      </c>
      <c r="M173" s="37" t="s">
        <v>0</v>
      </c>
    </row>
    <row r="174" spans="2:13" x14ac:dyDescent="0.25">
      <c r="B174" s="46">
        <v>171</v>
      </c>
      <c r="C174" s="33">
        <v>402990792</v>
      </c>
      <c r="D174" s="43" t="str">
        <f t="shared" si="10"/>
        <v>4-0299-0792</v>
      </c>
      <c r="E174" s="33" t="s">
        <v>150</v>
      </c>
      <c r="F174" s="43" t="str">
        <f t="shared" si="11"/>
        <v>KENNETH JOSHUA</v>
      </c>
      <c r="G174" s="43" t="str">
        <f t="shared" si="12"/>
        <v>KENNETH</v>
      </c>
      <c r="H174" s="43" t="str">
        <f t="shared" si="13"/>
        <v>SOZA VELASQUEZ</v>
      </c>
      <c r="I174" s="43" t="str">
        <f t="shared" si="14"/>
        <v>KENNETH SOZA VELASQUEZ</v>
      </c>
      <c r="J174" s="35" t="s">
        <v>2243</v>
      </c>
      <c r="K174" s="37">
        <v>7</v>
      </c>
      <c r="L174" s="37">
        <v>5</v>
      </c>
      <c r="M174" s="37" t="s">
        <v>0</v>
      </c>
    </row>
    <row r="175" spans="2:13" x14ac:dyDescent="0.25">
      <c r="B175" s="48">
        <v>172</v>
      </c>
      <c r="C175" s="33">
        <v>209340860</v>
      </c>
      <c r="D175" s="43" t="str">
        <f t="shared" si="10"/>
        <v>2-0934-0860</v>
      </c>
      <c r="E175" s="33" t="s">
        <v>151</v>
      </c>
      <c r="F175" s="43" t="str">
        <f t="shared" si="11"/>
        <v>JOHAN AARON</v>
      </c>
      <c r="G175" s="43" t="str">
        <f t="shared" si="12"/>
        <v>JOHAN</v>
      </c>
      <c r="H175" s="43" t="str">
        <f t="shared" si="13"/>
        <v>VILLAGRA ARGUELLO</v>
      </c>
      <c r="I175" s="43" t="str">
        <f t="shared" si="14"/>
        <v>JOHAN VILLAGRA ARGUELLO</v>
      </c>
      <c r="J175" s="35" t="s">
        <v>2243</v>
      </c>
      <c r="K175" s="37">
        <v>7</v>
      </c>
      <c r="L175" s="37">
        <v>5</v>
      </c>
      <c r="M175" s="37" t="s">
        <v>0</v>
      </c>
    </row>
    <row r="176" spans="2:13" x14ac:dyDescent="0.25">
      <c r="B176" s="48">
        <v>173</v>
      </c>
      <c r="C176" s="33">
        <v>209630629</v>
      </c>
      <c r="D176" s="43" t="str">
        <f t="shared" si="10"/>
        <v>2-0963-0629</v>
      </c>
      <c r="E176" s="33" t="s">
        <v>152</v>
      </c>
      <c r="F176" s="43" t="str">
        <f t="shared" si="11"/>
        <v>ALLISSON NAOMY</v>
      </c>
      <c r="G176" s="43" t="str">
        <f t="shared" si="12"/>
        <v>ALLISSON</v>
      </c>
      <c r="H176" s="43" t="str">
        <f t="shared" si="13"/>
        <v>ALFARO RAMOS</v>
      </c>
      <c r="I176" s="43" t="str">
        <f t="shared" si="14"/>
        <v>ALLISSON ALFARO RAMOS</v>
      </c>
      <c r="J176" s="35" t="s">
        <v>2243</v>
      </c>
      <c r="K176" s="37">
        <v>7</v>
      </c>
      <c r="L176" s="37">
        <v>6</v>
      </c>
      <c r="M176" s="37" t="s">
        <v>1</v>
      </c>
    </row>
    <row r="177" spans="2:13" x14ac:dyDescent="0.25">
      <c r="B177" s="46">
        <v>174</v>
      </c>
      <c r="C177" s="33">
        <v>209680331</v>
      </c>
      <c r="D177" s="43" t="str">
        <f t="shared" si="10"/>
        <v>2-0968-0331</v>
      </c>
      <c r="E177" s="33" t="s">
        <v>153</v>
      </c>
      <c r="F177" s="43" t="str">
        <f t="shared" si="11"/>
        <v>JOEL ANTONIO</v>
      </c>
      <c r="G177" s="43" t="str">
        <f t="shared" si="12"/>
        <v>JOEL</v>
      </c>
      <c r="H177" s="43" t="str">
        <f t="shared" si="13"/>
        <v>ARIAS SANDOVAL</v>
      </c>
      <c r="I177" s="43" t="str">
        <f t="shared" si="14"/>
        <v>JOEL ARIAS SANDOVAL</v>
      </c>
      <c r="J177" s="35" t="s">
        <v>2243</v>
      </c>
      <c r="K177" s="37">
        <v>7</v>
      </c>
      <c r="L177" s="37">
        <v>6</v>
      </c>
      <c r="M177" s="37" t="s">
        <v>1</v>
      </c>
    </row>
    <row r="178" spans="2:13" x14ac:dyDescent="0.25">
      <c r="B178" s="48">
        <v>175</v>
      </c>
      <c r="C178" s="33">
        <v>209590223</v>
      </c>
      <c r="D178" s="43" t="str">
        <f t="shared" si="10"/>
        <v>2-0959-0223</v>
      </c>
      <c r="E178" s="33" t="s">
        <v>2205</v>
      </c>
      <c r="F178" s="43" t="str">
        <f t="shared" si="11"/>
        <v>ASHLEY</v>
      </c>
      <c r="G178" s="43" t="str">
        <f t="shared" si="12"/>
        <v>ASHLEY</v>
      </c>
      <c r="H178" s="43" t="str">
        <f t="shared" si="13"/>
        <v>CABEZAS ALVAREZ</v>
      </c>
      <c r="I178" s="43" t="str">
        <f t="shared" si="14"/>
        <v>ASHLEY CABEZAS ALVAREZ</v>
      </c>
      <c r="J178" s="35" t="s">
        <v>2243</v>
      </c>
      <c r="K178" s="37">
        <v>7</v>
      </c>
      <c r="L178" s="37">
        <v>6</v>
      </c>
      <c r="M178" s="37" t="s">
        <v>1</v>
      </c>
    </row>
    <row r="179" spans="2:13" x14ac:dyDescent="0.25">
      <c r="B179" s="48">
        <v>176</v>
      </c>
      <c r="C179" s="33">
        <v>209350232</v>
      </c>
      <c r="D179" s="43" t="str">
        <f t="shared" si="10"/>
        <v>2-0935-0232</v>
      </c>
      <c r="E179" s="33" t="s">
        <v>154</v>
      </c>
      <c r="F179" s="43" t="str">
        <f t="shared" si="11"/>
        <v>JOVI JESUS</v>
      </c>
      <c r="G179" s="43" t="str">
        <f t="shared" si="12"/>
        <v>JOVI</v>
      </c>
      <c r="H179" s="43" t="str">
        <f t="shared" si="13"/>
        <v>CASTILLO ARAUZ</v>
      </c>
      <c r="I179" s="43" t="str">
        <f t="shared" si="14"/>
        <v>JOVI CASTILLO ARAUZ</v>
      </c>
      <c r="J179" s="35" t="s">
        <v>2243</v>
      </c>
      <c r="K179" s="37">
        <v>7</v>
      </c>
      <c r="L179" s="37">
        <v>6</v>
      </c>
      <c r="M179" s="37" t="s">
        <v>1</v>
      </c>
    </row>
    <row r="180" spans="2:13" x14ac:dyDescent="0.25">
      <c r="B180" s="46">
        <v>177</v>
      </c>
      <c r="C180" s="33">
        <v>209570163</v>
      </c>
      <c r="D180" s="43" t="str">
        <f t="shared" si="10"/>
        <v>2-0957-0163</v>
      </c>
      <c r="E180" s="33" t="s">
        <v>155</v>
      </c>
      <c r="F180" s="43" t="str">
        <f t="shared" si="11"/>
        <v>MARIANA</v>
      </c>
      <c r="G180" s="43" t="str">
        <f t="shared" si="12"/>
        <v>MARIANA</v>
      </c>
      <c r="H180" s="43" t="str">
        <f t="shared" si="13"/>
        <v>CONTRERAS ALVARADO</v>
      </c>
      <c r="I180" s="43" t="str">
        <f t="shared" si="14"/>
        <v>MARIANA CONTRERAS ALVARADO</v>
      </c>
      <c r="J180" s="35" t="s">
        <v>2243</v>
      </c>
      <c r="K180" s="37">
        <v>7</v>
      </c>
      <c r="L180" s="37">
        <v>6</v>
      </c>
      <c r="M180" s="37" t="s">
        <v>1</v>
      </c>
    </row>
    <row r="181" spans="2:13" x14ac:dyDescent="0.25">
      <c r="B181" s="48">
        <v>178</v>
      </c>
      <c r="C181" s="33">
        <v>209680522</v>
      </c>
      <c r="D181" s="43" t="str">
        <f t="shared" si="10"/>
        <v>2-0968-0522</v>
      </c>
      <c r="E181" s="33" t="s">
        <v>156</v>
      </c>
      <c r="F181" s="43" t="str">
        <f t="shared" si="11"/>
        <v>WILLY ANTONIO</v>
      </c>
      <c r="G181" s="43" t="str">
        <f t="shared" si="12"/>
        <v>WILLY</v>
      </c>
      <c r="H181" s="43" t="str">
        <f t="shared" si="13"/>
        <v>FERNANDEZ ARGUEDAS</v>
      </c>
      <c r="I181" s="43" t="str">
        <f t="shared" si="14"/>
        <v>WILLY FERNANDEZ ARGUEDAS</v>
      </c>
      <c r="J181" s="35" t="s">
        <v>2243</v>
      </c>
      <c r="K181" s="37">
        <v>7</v>
      </c>
      <c r="L181" s="37">
        <v>6</v>
      </c>
      <c r="M181" s="37" t="s">
        <v>1</v>
      </c>
    </row>
    <row r="182" spans="2:13" x14ac:dyDescent="0.25">
      <c r="B182" s="48">
        <v>179</v>
      </c>
      <c r="C182" s="33">
        <v>901310432</v>
      </c>
      <c r="D182" s="43" t="str">
        <f t="shared" si="10"/>
        <v>9-0131-0432</v>
      </c>
      <c r="E182" s="33" t="s">
        <v>157</v>
      </c>
      <c r="F182" s="43" t="str">
        <f t="shared" si="11"/>
        <v>JEYNOR MOISES</v>
      </c>
      <c r="G182" s="43" t="str">
        <f t="shared" si="12"/>
        <v>JEYNOR</v>
      </c>
      <c r="H182" s="43" t="str">
        <f t="shared" si="13"/>
        <v>GONZALEZ CHACON</v>
      </c>
      <c r="I182" s="43" t="str">
        <f t="shared" si="14"/>
        <v>JEYNOR GONZALEZ CHACON</v>
      </c>
      <c r="J182" s="35" t="s">
        <v>2243</v>
      </c>
      <c r="K182" s="37">
        <v>7</v>
      </c>
      <c r="L182" s="37">
        <v>6</v>
      </c>
      <c r="M182" s="37" t="s">
        <v>1</v>
      </c>
    </row>
    <row r="183" spans="2:13" x14ac:dyDescent="0.25">
      <c r="B183" s="46">
        <v>180</v>
      </c>
      <c r="C183" s="33">
        <v>209540915</v>
      </c>
      <c r="D183" s="43" t="str">
        <f t="shared" si="10"/>
        <v>2-0954-0915</v>
      </c>
      <c r="E183" s="33" t="s">
        <v>158</v>
      </c>
      <c r="F183" s="43" t="str">
        <f t="shared" si="11"/>
        <v>AMY SOFIA</v>
      </c>
      <c r="G183" s="43" t="str">
        <f t="shared" si="12"/>
        <v>AMY</v>
      </c>
      <c r="H183" s="43" t="str">
        <f t="shared" si="13"/>
        <v>JIMENEZ CARRANZA</v>
      </c>
      <c r="I183" s="43" t="str">
        <f t="shared" si="14"/>
        <v>AMY JIMENEZ CARRANZA</v>
      </c>
      <c r="J183" s="35" t="s">
        <v>2243</v>
      </c>
      <c r="K183" s="37">
        <v>7</v>
      </c>
      <c r="L183" s="37">
        <v>6</v>
      </c>
      <c r="M183" s="37" t="s">
        <v>1</v>
      </c>
    </row>
    <row r="184" spans="2:13" x14ac:dyDescent="0.25">
      <c r="B184" s="48">
        <v>181</v>
      </c>
      <c r="C184" s="33">
        <v>121650082</v>
      </c>
      <c r="D184" s="43" t="str">
        <f t="shared" si="10"/>
        <v>1-2165-0082</v>
      </c>
      <c r="E184" s="33" t="s">
        <v>159</v>
      </c>
      <c r="F184" s="43" t="str">
        <f t="shared" si="11"/>
        <v>ANTONELLA SOFIA</v>
      </c>
      <c r="G184" s="43" t="str">
        <f t="shared" si="12"/>
        <v>ANTONELLA</v>
      </c>
      <c r="H184" s="43" t="str">
        <f t="shared" si="13"/>
        <v>MARTINEZ SANCHEZ</v>
      </c>
      <c r="I184" s="43" t="str">
        <f t="shared" si="14"/>
        <v>ANTONELLA MARTINEZ SANCHEZ</v>
      </c>
      <c r="J184" s="35" t="s">
        <v>2243</v>
      </c>
      <c r="K184" s="37">
        <v>7</v>
      </c>
      <c r="L184" s="37">
        <v>6</v>
      </c>
      <c r="M184" s="37" t="s">
        <v>1</v>
      </c>
    </row>
    <row r="185" spans="2:13" x14ac:dyDescent="0.25">
      <c r="B185" s="48">
        <v>182</v>
      </c>
      <c r="C185" s="33">
        <v>403000044</v>
      </c>
      <c r="D185" s="43" t="str">
        <f t="shared" si="10"/>
        <v>4-0300-0044</v>
      </c>
      <c r="E185" s="33" t="s">
        <v>161</v>
      </c>
      <c r="F185" s="43" t="str">
        <f t="shared" si="11"/>
        <v>KEISSY DAYAN</v>
      </c>
      <c r="G185" s="43" t="str">
        <f t="shared" si="12"/>
        <v>KEISSY</v>
      </c>
      <c r="H185" s="43" t="str">
        <f t="shared" si="13"/>
        <v>MORALES AGUILAR</v>
      </c>
      <c r="I185" s="43" t="str">
        <f t="shared" si="14"/>
        <v>KEISSY MORALES AGUILAR</v>
      </c>
      <c r="J185" s="35" t="s">
        <v>2243</v>
      </c>
      <c r="K185" s="37">
        <v>7</v>
      </c>
      <c r="L185" s="37">
        <v>6</v>
      </c>
      <c r="M185" s="37" t="s">
        <v>1</v>
      </c>
    </row>
    <row r="186" spans="2:13" x14ac:dyDescent="0.25">
      <c r="B186" s="46">
        <v>183</v>
      </c>
      <c r="C186" s="33">
        <v>901430647</v>
      </c>
      <c r="D186" s="43" t="str">
        <f t="shared" si="10"/>
        <v>9-0143-0647</v>
      </c>
      <c r="E186" s="33" t="s">
        <v>162</v>
      </c>
      <c r="F186" s="43" t="str">
        <f t="shared" si="11"/>
        <v>DILAN JESHUA</v>
      </c>
      <c r="G186" s="43" t="str">
        <f t="shared" si="12"/>
        <v>DILAN</v>
      </c>
      <c r="H186" s="43" t="str">
        <f t="shared" si="13"/>
        <v>PEREZ VALLECILLO</v>
      </c>
      <c r="I186" s="43" t="str">
        <f t="shared" si="14"/>
        <v>DILAN PEREZ VALLECILLO</v>
      </c>
      <c r="J186" s="35" t="s">
        <v>2243</v>
      </c>
      <c r="K186" s="37">
        <v>7</v>
      </c>
      <c r="L186" s="37">
        <v>6</v>
      </c>
      <c r="M186" s="37" t="s">
        <v>1</v>
      </c>
    </row>
    <row r="187" spans="2:13" x14ac:dyDescent="0.25">
      <c r="B187" s="48">
        <v>184</v>
      </c>
      <c r="C187" s="33">
        <v>209550520</v>
      </c>
      <c r="D187" s="43" t="str">
        <f t="shared" si="10"/>
        <v>2-0955-0520</v>
      </c>
      <c r="E187" s="33" t="s">
        <v>163</v>
      </c>
      <c r="F187" s="43" t="str">
        <f t="shared" si="11"/>
        <v>VICTORIA</v>
      </c>
      <c r="G187" s="43" t="str">
        <f t="shared" si="12"/>
        <v>VICTORIA</v>
      </c>
      <c r="H187" s="43" t="str">
        <f t="shared" si="13"/>
        <v>RUIZ CALVO</v>
      </c>
      <c r="I187" s="43" t="str">
        <f t="shared" si="14"/>
        <v>VICTORIA RUIZ CALVO</v>
      </c>
      <c r="J187" s="35" t="s">
        <v>2243</v>
      </c>
      <c r="K187" s="37">
        <v>7</v>
      </c>
      <c r="L187" s="37">
        <v>6</v>
      </c>
      <c r="M187" s="37" t="s">
        <v>1</v>
      </c>
    </row>
    <row r="188" spans="2:13" x14ac:dyDescent="0.25">
      <c r="B188" s="48">
        <v>185</v>
      </c>
      <c r="C188" s="33">
        <v>209660922</v>
      </c>
      <c r="D188" s="43" t="str">
        <f t="shared" si="10"/>
        <v>2-0966-0922</v>
      </c>
      <c r="E188" s="33" t="s">
        <v>2204</v>
      </c>
      <c r="F188" s="43" t="str">
        <f t="shared" si="11"/>
        <v>ISAAC LEONARDO</v>
      </c>
      <c r="G188" s="43" t="str">
        <f t="shared" si="12"/>
        <v>ISAAC</v>
      </c>
      <c r="H188" s="43" t="str">
        <f t="shared" si="13"/>
        <v>SANCHEZ GOMEZ</v>
      </c>
      <c r="I188" s="43" t="str">
        <f t="shared" si="14"/>
        <v>ISAAC SANCHEZ GOMEZ</v>
      </c>
      <c r="J188" s="35" t="s">
        <v>2243</v>
      </c>
      <c r="K188" s="37">
        <v>7</v>
      </c>
      <c r="L188" s="37">
        <v>6</v>
      </c>
      <c r="M188" s="37" t="s">
        <v>1</v>
      </c>
    </row>
    <row r="189" spans="2:13" x14ac:dyDescent="0.25">
      <c r="B189" s="46">
        <v>186</v>
      </c>
      <c r="C189" s="33">
        <v>402980185</v>
      </c>
      <c r="D189" s="43" t="str">
        <f t="shared" si="10"/>
        <v>4-0298-0185</v>
      </c>
      <c r="E189" s="33" t="s">
        <v>164</v>
      </c>
      <c r="F189" s="43" t="str">
        <f t="shared" si="11"/>
        <v>ELEANI SAMANTHA</v>
      </c>
      <c r="G189" s="43" t="str">
        <f t="shared" si="12"/>
        <v>ELEANI</v>
      </c>
      <c r="H189" s="43" t="str">
        <f t="shared" si="13"/>
        <v>SEGURA VENEGAS</v>
      </c>
      <c r="I189" s="43" t="str">
        <f t="shared" si="14"/>
        <v>ELEANI SEGURA VENEGAS</v>
      </c>
      <c r="J189" s="35" t="s">
        <v>2243</v>
      </c>
      <c r="K189" s="37">
        <v>7</v>
      </c>
      <c r="L189" s="37">
        <v>6</v>
      </c>
      <c r="M189" s="37" t="s">
        <v>1</v>
      </c>
    </row>
    <row r="190" spans="2:13" x14ac:dyDescent="0.25">
      <c r="B190" s="48">
        <v>187</v>
      </c>
      <c r="C190" s="33">
        <v>209610246</v>
      </c>
      <c r="D190" s="43" t="str">
        <f t="shared" si="10"/>
        <v>2-0961-0246</v>
      </c>
      <c r="E190" s="33" t="s">
        <v>165</v>
      </c>
      <c r="F190" s="43" t="str">
        <f t="shared" si="11"/>
        <v>AMANDA</v>
      </c>
      <c r="G190" s="43" t="str">
        <f t="shared" si="12"/>
        <v>AMANDA</v>
      </c>
      <c r="H190" s="43" t="str">
        <f t="shared" si="13"/>
        <v>VARGAS MATAMOROS</v>
      </c>
      <c r="I190" s="43" t="str">
        <f t="shared" si="14"/>
        <v>AMANDA VARGAS MATAMOROS</v>
      </c>
      <c r="J190" s="35" t="s">
        <v>2243</v>
      </c>
      <c r="K190" s="37">
        <v>7</v>
      </c>
      <c r="L190" s="37">
        <v>6</v>
      </c>
      <c r="M190" s="37" t="s">
        <v>1</v>
      </c>
    </row>
    <row r="191" spans="2:13" x14ac:dyDescent="0.25">
      <c r="B191" s="48">
        <v>188</v>
      </c>
      <c r="C191" s="33">
        <v>209550283</v>
      </c>
      <c r="D191" s="43" t="str">
        <f t="shared" si="10"/>
        <v>2-0955-0283</v>
      </c>
      <c r="E191" s="33" t="s">
        <v>166</v>
      </c>
      <c r="F191" s="43" t="str">
        <f t="shared" si="11"/>
        <v>MATHIAS JOSUE</v>
      </c>
      <c r="G191" s="43" t="str">
        <f t="shared" si="12"/>
        <v>MATHIAS</v>
      </c>
      <c r="H191" s="43" t="str">
        <f t="shared" si="13"/>
        <v>ZAPATA CHAVARRIA</v>
      </c>
      <c r="I191" s="43" t="str">
        <f t="shared" si="14"/>
        <v>MATHIAS ZAPATA CHAVARRIA</v>
      </c>
      <c r="J191" s="35" t="s">
        <v>2243</v>
      </c>
      <c r="K191" s="37">
        <v>7</v>
      </c>
      <c r="L191" s="37">
        <v>6</v>
      </c>
      <c r="M191" s="37" t="s">
        <v>1</v>
      </c>
    </row>
    <row r="192" spans="2:13" x14ac:dyDescent="0.25">
      <c r="B192" s="46">
        <v>189</v>
      </c>
      <c r="C192" s="33">
        <v>209600187</v>
      </c>
      <c r="D192" s="43" t="str">
        <f t="shared" si="10"/>
        <v>2-0960-0187</v>
      </c>
      <c r="E192" s="33" t="s">
        <v>167</v>
      </c>
      <c r="F192" s="43" t="str">
        <f t="shared" si="11"/>
        <v xml:space="preserve">KEYDAN ALEJANDRO </v>
      </c>
      <c r="G192" s="43" t="str">
        <f t="shared" si="12"/>
        <v>KEYDAN</v>
      </c>
      <c r="H192" s="43" t="str">
        <f t="shared" si="13"/>
        <v>ALVAREZ SOTO</v>
      </c>
      <c r="I192" s="43" t="str">
        <f t="shared" si="14"/>
        <v>KEYDAN ALVAREZ SOTO</v>
      </c>
      <c r="J192" s="35" t="s">
        <v>2243</v>
      </c>
      <c r="K192" s="37">
        <v>7</v>
      </c>
      <c r="L192" s="37">
        <v>6</v>
      </c>
      <c r="M192" s="37" t="s">
        <v>0</v>
      </c>
    </row>
    <row r="193" spans="2:13" x14ac:dyDescent="0.25">
      <c r="B193" s="48">
        <v>190</v>
      </c>
      <c r="C193" s="33">
        <v>121470911</v>
      </c>
      <c r="D193" s="43" t="str">
        <f t="shared" si="10"/>
        <v>1-2147-0911</v>
      </c>
      <c r="E193" s="33" t="s">
        <v>168</v>
      </c>
      <c r="F193" s="43" t="str">
        <f t="shared" si="11"/>
        <v>NAZARETH IDALIE</v>
      </c>
      <c r="G193" s="43" t="str">
        <f t="shared" si="12"/>
        <v>NAZARETH</v>
      </c>
      <c r="H193" s="43" t="str">
        <f t="shared" si="13"/>
        <v>BALTODANO LOPEZ</v>
      </c>
      <c r="I193" s="43" t="str">
        <f t="shared" si="14"/>
        <v>NAZARETH BALTODANO LOPEZ</v>
      </c>
      <c r="J193" s="35" t="s">
        <v>2243</v>
      </c>
      <c r="K193" s="37">
        <v>7</v>
      </c>
      <c r="L193" s="37">
        <v>6</v>
      </c>
      <c r="M193" s="37" t="s">
        <v>0</v>
      </c>
    </row>
    <row r="194" spans="2:13" x14ac:dyDescent="0.25">
      <c r="B194" s="48">
        <v>191</v>
      </c>
      <c r="C194" s="33">
        <v>209580998</v>
      </c>
      <c r="D194" s="43" t="str">
        <f t="shared" si="10"/>
        <v>2-0958-0998</v>
      </c>
      <c r="E194" s="33" t="s">
        <v>169</v>
      </c>
      <c r="F194" s="43" t="str">
        <f t="shared" si="11"/>
        <v>ZOE PAZ</v>
      </c>
      <c r="G194" s="43" t="str">
        <f t="shared" si="12"/>
        <v>ZOE</v>
      </c>
      <c r="H194" s="43" t="str">
        <f t="shared" si="13"/>
        <v>CAMPOS GUZMAN</v>
      </c>
      <c r="I194" s="43" t="str">
        <f t="shared" si="14"/>
        <v>ZOE CAMPOS GUZMAN</v>
      </c>
      <c r="J194" s="35" t="s">
        <v>2243</v>
      </c>
      <c r="K194" s="37">
        <v>7</v>
      </c>
      <c r="L194" s="37">
        <v>6</v>
      </c>
      <c r="M194" s="37" t="s">
        <v>0</v>
      </c>
    </row>
    <row r="195" spans="2:13" x14ac:dyDescent="0.25">
      <c r="B195" s="46">
        <v>192</v>
      </c>
      <c r="C195" s="33">
        <v>209450607</v>
      </c>
      <c r="D195" s="43" t="str">
        <f t="shared" si="10"/>
        <v>2-0945-0607</v>
      </c>
      <c r="E195" s="33" t="s">
        <v>2203</v>
      </c>
      <c r="F195" s="43" t="str">
        <f t="shared" si="11"/>
        <v>GENESIS SOFIA</v>
      </c>
      <c r="G195" s="43" t="str">
        <f t="shared" si="12"/>
        <v>GENESIS</v>
      </c>
      <c r="H195" s="43" t="str">
        <f t="shared" si="13"/>
        <v>CARVAJAL GOMEZ</v>
      </c>
      <c r="I195" s="43" t="str">
        <f t="shared" si="14"/>
        <v>GENESIS CARVAJAL GOMEZ</v>
      </c>
      <c r="J195" s="35" t="s">
        <v>2243</v>
      </c>
      <c r="K195" s="37">
        <v>7</v>
      </c>
      <c r="L195" s="37">
        <v>6</v>
      </c>
      <c r="M195" s="37" t="s">
        <v>0</v>
      </c>
    </row>
    <row r="196" spans="2:13" x14ac:dyDescent="0.25">
      <c r="B196" s="48">
        <v>193</v>
      </c>
      <c r="C196" s="33">
        <v>121480970</v>
      </c>
      <c r="D196" s="43" t="str">
        <f t="shared" ref="D196:D259" si="15">IF(LEN(C196)=9,_xlfn.CONCAT(MID(C196,1,1),"-",MID(C196,2,4),"-",MID(C196,6,4)),TEXT(C196,"000000000000"))</f>
        <v>1-2148-0970</v>
      </c>
      <c r="E196" s="33" t="s">
        <v>170</v>
      </c>
      <c r="F196" s="43" t="str">
        <f t="shared" si="11"/>
        <v>FABRICIO</v>
      </c>
      <c r="G196" s="43" t="str">
        <f t="shared" si="12"/>
        <v>FABRICIO</v>
      </c>
      <c r="H196" s="43" t="str">
        <f t="shared" si="13"/>
        <v>CHACON SALAS</v>
      </c>
      <c r="I196" s="43" t="str">
        <f t="shared" si="14"/>
        <v>FABRICIO CHACON SALAS</v>
      </c>
      <c r="J196" s="35" t="s">
        <v>2243</v>
      </c>
      <c r="K196" s="37">
        <v>7</v>
      </c>
      <c r="L196" s="37">
        <v>6</v>
      </c>
      <c r="M196" s="37" t="s">
        <v>0</v>
      </c>
    </row>
    <row r="197" spans="2:13" x14ac:dyDescent="0.25">
      <c r="B197" s="48">
        <v>194</v>
      </c>
      <c r="C197" s="33">
        <v>209400995</v>
      </c>
      <c r="D197" s="43" t="str">
        <f t="shared" si="15"/>
        <v>2-0940-0995</v>
      </c>
      <c r="E197" s="48" t="s">
        <v>2191</v>
      </c>
      <c r="F197" s="43" t="str">
        <f t="shared" ref="F197:F260" si="16">RIGHT(E197,LEN(E197)-SEARCH(" ",E197,SEARCH(" ",E197)+1))</f>
        <v>JOSEPH JOSUE</v>
      </c>
      <c r="G197" s="43" t="str">
        <f t="shared" ref="G197:G260" si="17">IFERROR(LEFT(F197,SEARCH(" ",F197,1)-1),F197)</f>
        <v>JOSEPH</v>
      </c>
      <c r="H197" s="43" t="str">
        <f t="shared" ref="H197:H260" si="18">LEFT(E197,SEARCH(" ",E197,SEARCH(" ",E197)+1)-1)</f>
        <v>CHAVARRIA GONZALEZ</v>
      </c>
      <c r="I197" s="43" t="str">
        <f t="shared" ref="I197:I260" si="19">_xlfn.CONCAT(G197," ",H197)</f>
        <v>JOSEPH CHAVARRIA GONZALEZ</v>
      </c>
      <c r="J197" s="35" t="s">
        <v>2243</v>
      </c>
      <c r="K197" s="37">
        <v>7</v>
      </c>
      <c r="L197" s="37">
        <v>6</v>
      </c>
      <c r="M197" s="37" t="s">
        <v>0</v>
      </c>
    </row>
    <row r="198" spans="2:13" x14ac:dyDescent="0.25">
      <c r="B198" s="46">
        <v>195</v>
      </c>
      <c r="C198" s="33">
        <v>209640616</v>
      </c>
      <c r="D198" s="43" t="str">
        <f t="shared" si="15"/>
        <v>2-0964-0616</v>
      </c>
      <c r="E198" s="33" t="s">
        <v>171</v>
      </c>
      <c r="F198" s="43" t="str">
        <f t="shared" si="16"/>
        <v>AARON MATHIAS</v>
      </c>
      <c r="G198" s="43" t="str">
        <f t="shared" si="17"/>
        <v>AARON</v>
      </c>
      <c r="H198" s="43" t="str">
        <f t="shared" si="18"/>
        <v>DURAN ARAYA</v>
      </c>
      <c r="I198" s="43" t="str">
        <f t="shared" si="19"/>
        <v>AARON DURAN ARAYA</v>
      </c>
      <c r="J198" s="35" t="s">
        <v>2243</v>
      </c>
      <c r="K198" s="37">
        <v>7</v>
      </c>
      <c r="L198" s="37">
        <v>6</v>
      </c>
      <c r="M198" s="37" t="s">
        <v>0</v>
      </c>
    </row>
    <row r="199" spans="2:13" x14ac:dyDescent="0.25">
      <c r="B199" s="48">
        <v>196</v>
      </c>
      <c r="C199" s="33">
        <v>209590296</v>
      </c>
      <c r="D199" s="43" t="str">
        <f t="shared" si="15"/>
        <v>2-0959-0296</v>
      </c>
      <c r="E199" s="33" t="s">
        <v>172</v>
      </c>
      <c r="F199" s="43" t="str">
        <f t="shared" si="16"/>
        <v>NEYTHAN SAMUEL</v>
      </c>
      <c r="G199" s="43" t="str">
        <f t="shared" si="17"/>
        <v>NEYTHAN</v>
      </c>
      <c r="H199" s="43" t="str">
        <f t="shared" si="18"/>
        <v>GARCIA VALVERDE</v>
      </c>
      <c r="I199" s="43" t="str">
        <f t="shared" si="19"/>
        <v>NEYTHAN GARCIA VALVERDE</v>
      </c>
      <c r="J199" s="35" t="s">
        <v>2243</v>
      </c>
      <c r="K199" s="37">
        <v>7</v>
      </c>
      <c r="L199" s="37">
        <v>6</v>
      </c>
      <c r="M199" s="37" t="s">
        <v>0</v>
      </c>
    </row>
    <row r="200" spans="2:13" x14ac:dyDescent="0.25">
      <c r="B200" s="48">
        <v>197</v>
      </c>
      <c r="C200" s="33">
        <v>209410937</v>
      </c>
      <c r="D200" s="43" t="str">
        <f t="shared" si="15"/>
        <v>2-0941-0937</v>
      </c>
      <c r="E200" s="33" t="s">
        <v>173</v>
      </c>
      <c r="F200" s="43" t="str">
        <f t="shared" si="16"/>
        <v>SOFIA RAQUEL</v>
      </c>
      <c r="G200" s="43" t="str">
        <f t="shared" si="17"/>
        <v>SOFIA</v>
      </c>
      <c r="H200" s="43" t="str">
        <f t="shared" si="18"/>
        <v>GUTIERREZ HERNANDEZ</v>
      </c>
      <c r="I200" s="43" t="str">
        <f t="shared" si="19"/>
        <v>SOFIA GUTIERREZ HERNANDEZ</v>
      </c>
      <c r="J200" s="35" t="s">
        <v>2243</v>
      </c>
      <c r="K200" s="37">
        <v>7</v>
      </c>
      <c r="L200" s="37">
        <v>6</v>
      </c>
      <c r="M200" s="37" t="s">
        <v>0</v>
      </c>
    </row>
    <row r="201" spans="2:13" x14ac:dyDescent="0.25">
      <c r="B201" s="46">
        <v>198</v>
      </c>
      <c r="C201" s="33">
        <v>402980034</v>
      </c>
      <c r="D201" s="43" t="str">
        <f t="shared" si="15"/>
        <v>4-0298-0034</v>
      </c>
      <c r="E201" s="33" t="s">
        <v>174</v>
      </c>
      <c r="F201" s="43" t="str">
        <f t="shared" si="16"/>
        <v>TYRON</v>
      </c>
      <c r="G201" s="43" t="str">
        <f t="shared" si="17"/>
        <v>TYRON</v>
      </c>
      <c r="H201" s="43" t="str">
        <f t="shared" si="18"/>
        <v>LOPEZ CORRALES</v>
      </c>
      <c r="I201" s="43" t="str">
        <f t="shared" si="19"/>
        <v>TYRON LOPEZ CORRALES</v>
      </c>
      <c r="J201" s="35" t="s">
        <v>2243</v>
      </c>
      <c r="K201" s="37">
        <v>7</v>
      </c>
      <c r="L201" s="37">
        <v>6</v>
      </c>
      <c r="M201" s="37" t="s">
        <v>0</v>
      </c>
    </row>
    <row r="202" spans="2:13" x14ac:dyDescent="0.25">
      <c r="B202" s="48">
        <v>199</v>
      </c>
      <c r="C202" s="33">
        <v>121130048</v>
      </c>
      <c r="D202" s="43" t="str">
        <f t="shared" si="15"/>
        <v>1-2113-0048</v>
      </c>
      <c r="E202" s="33" t="s">
        <v>175</v>
      </c>
      <c r="F202" s="43" t="str">
        <f t="shared" si="16"/>
        <v>ERICK ISAAC</v>
      </c>
      <c r="G202" s="43" t="str">
        <f t="shared" si="17"/>
        <v>ERICK</v>
      </c>
      <c r="H202" s="43" t="str">
        <f t="shared" si="18"/>
        <v>MOLINA SERRANO</v>
      </c>
      <c r="I202" s="43" t="str">
        <f t="shared" si="19"/>
        <v>ERICK MOLINA SERRANO</v>
      </c>
      <c r="J202" s="35" t="s">
        <v>2243</v>
      </c>
      <c r="K202" s="37">
        <v>7</v>
      </c>
      <c r="L202" s="37">
        <v>6</v>
      </c>
      <c r="M202" s="37" t="s">
        <v>0</v>
      </c>
    </row>
    <row r="203" spans="2:13" x14ac:dyDescent="0.25">
      <c r="B203" s="48">
        <v>200</v>
      </c>
      <c r="C203" s="33">
        <v>402970654</v>
      </c>
      <c r="D203" s="43" t="str">
        <f t="shared" si="15"/>
        <v>4-0297-0654</v>
      </c>
      <c r="E203" s="33" t="s">
        <v>176</v>
      </c>
      <c r="F203" s="43" t="str">
        <f t="shared" si="16"/>
        <v>BEATRIZ ARIANA</v>
      </c>
      <c r="G203" s="43" t="str">
        <f t="shared" si="17"/>
        <v>BEATRIZ</v>
      </c>
      <c r="H203" s="43" t="str">
        <f t="shared" si="18"/>
        <v>OROZCO ALEGRIA</v>
      </c>
      <c r="I203" s="43" t="str">
        <f t="shared" si="19"/>
        <v>BEATRIZ OROZCO ALEGRIA</v>
      </c>
      <c r="J203" s="35" t="s">
        <v>2243</v>
      </c>
      <c r="K203" s="37">
        <v>7</v>
      </c>
      <c r="L203" s="37">
        <v>6</v>
      </c>
      <c r="M203" s="37" t="s">
        <v>0</v>
      </c>
    </row>
    <row r="204" spans="2:13" x14ac:dyDescent="0.25">
      <c r="B204" s="46">
        <v>201</v>
      </c>
      <c r="C204" s="33">
        <v>209660857</v>
      </c>
      <c r="D204" s="43" t="str">
        <f t="shared" si="15"/>
        <v>2-0966-0857</v>
      </c>
      <c r="E204" s="33" t="s">
        <v>2192</v>
      </c>
      <c r="F204" s="43" t="str">
        <f t="shared" si="16"/>
        <v>ALESSANDRO</v>
      </c>
      <c r="G204" s="43" t="str">
        <f t="shared" si="17"/>
        <v>ALESSANDRO</v>
      </c>
      <c r="H204" s="43" t="str">
        <f t="shared" si="18"/>
        <v>PICADO SANCHEZ</v>
      </c>
      <c r="I204" s="43" t="str">
        <f t="shared" si="19"/>
        <v>ALESSANDRO PICADO SANCHEZ</v>
      </c>
      <c r="J204" s="35" t="s">
        <v>2243</v>
      </c>
      <c r="K204" s="37">
        <v>7</v>
      </c>
      <c r="L204" s="37">
        <v>6</v>
      </c>
      <c r="M204" s="37" t="s">
        <v>0</v>
      </c>
    </row>
    <row r="205" spans="2:13" x14ac:dyDescent="0.25">
      <c r="B205" s="48">
        <v>202</v>
      </c>
      <c r="C205" s="44">
        <v>999990202</v>
      </c>
      <c r="D205" s="33" t="s">
        <v>177</v>
      </c>
      <c r="E205" s="33" t="s">
        <v>178</v>
      </c>
      <c r="F205" s="43" t="str">
        <f t="shared" si="16"/>
        <v>JANIER JOSE</v>
      </c>
      <c r="G205" s="43" t="str">
        <f t="shared" si="17"/>
        <v>JANIER</v>
      </c>
      <c r="H205" s="43" t="str">
        <f t="shared" si="18"/>
        <v>RAYO LUQUEZ</v>
      </c>
      <c r="I205" s="43" t="str">
        <f t="shared" si="19"/>
        <v>JANIER RAYO LUQUEZ</v>
      </c>
      <c r="J205" s="35" t="s">
        <v>2243</v>
      </c>
      <c r="K205" s="37">
        <v>7</v>
      </c>
      <c r="L205" s="37">
        <v>6</v>
      </c>
      <c r="M205" s="37" t="s">
        <v>0</v>
      </c>
    </row>
    <row r="206" spans="2:13" x14ac:dyDescent="0.25">
      <c r="B206" s="48">
        <v>203</v>
      </c>
      <c r="C206" s="33">
        <v>209600323</v>
      </c>
      <c r="D206" s="43" t="str">
        <f t="shared" si="15"/>
        <v>2-0960-0323</v>
      </c>
      <c r="E206" s="33" t="s">
        <v>179</v>
      </c>
      <c r="F206" s="43" t="str">
        <f t="shared" si="16"/>
        <v>IKER JULIAN</v>
      </c>
      <c r="G206" s="43" t="str">
        <f t="shared" si="17"/>
        <v>IKER</v>
      </c>
      <c r="H206" s="43" t="str">
        <f t="shared" si="18"/>
        <v>SUAZO GUTIERREZ</v>
      </c>
      <c r="I206" s="43" t="str">
        <f t="shared" si="19"/>
        <v>IKER SUAZO GUTIERREZ</v>
      </c>
      <c r="J206" s="35" t="s">
        <v>2243</v>
      </c>
      <c r="K206" s="37">
        <v>7</v>
      </c>
      <c r="L206" s="37">
        <v>6</v>
      </c>
      <c r="M206" s="37" t="s">
        <v>0</v>
      </c>
    </row>
    <row r="207" spans="2:13" x14ac:dyDescent="0.25">
      <c r="B207" s="46">
        <v>204</v>
      </c>
      <c r="C207" s="40">
        <v>209480704</v>
      </c>
      <c r="D207" s="43" t="str">
        <f t="shared" si="15"/>
        <v>2-0948-0704</v>
      </c>
      <c r="E207" s="49" t="s">
        <v>223</v>
      </c>
      <c r="F207" s="43" t="str">
        <f t="shared" si="16"/>
        <v>CALETH JOEL</v>
      </c>
      <c r="G207" s="43" t="str">
        <f t="shared" si="17"/>
        <v>CALETH</v>
      </c>
      <c r="H207" s="43" t="str">
        <f t="shared" si="18"/>
        <v>VELAZQUEZ PEREZ</v>
      </c>
      <c r="I207" s="43" t="str">
        <f t="shared" si="19"/>
        <v>CALETH VELAZQUEZ PEREZ</v>
      </c>
      <c r="J207" s="35" t="s">
        <v>2243</v>
      </c>
      <c r="K207" s="37">
        <v>7</v>
      </c>
      <c r="L207" s="37">
        <v>6</v>
      </c>
      <c r="M207" s="37" t="s">
        <v>0</v>
      </c>
    </row>
    <row r="208" spans="2:13" x14ac:dyDescent="0.25">
      <c r="B208" s="48">
        <v>205</v>
      </c>
      <c r="C208" s="33">
        <v>209560025</v>
      </c>
      <c r="D208" s="43" t="str">
        <f t="shared" si="15"/>
        <v>2-0956-0025</v>
      </c>
      <c r="E208" s="33" t="s">
        <v>180</v>
      </c>
      <c r="F208" s="43" t="str">
        <f t="shared" si="16"/>
        <v>ALLISON DAYANA</v>
      </c>
      <c r="G208" s="43" t="str">
        <f t="shared" si="17"/>
        <v>ALLISON</v>
      </c>
      <c r="H208" s="43" t="str">
        <f t="shared" si="18"/>
        <v>VILLALOBOS CASTRO</v>
      </c>
      <c r="I208" s="43" t="str">
        <f t="shared" si="19"/>
        <v>ALLISON VILLALOBOS CASTRO</v>
      </c>
      <c r="J208" s="35" t="s">
        <v>2243</v>
      </c>
      <c r="K208" s="37">
        <v>7</v>
      </c>
      <c r="L208" s="37">
        <v>6</v>
      </c>
      <c r="M208" s="37" t="s">
        <v>0</v>
      </c>
    </row>
    <row r="209" spans="2:13" x14ac:dyDescent="0.25">
      <c r="B209" s="48">
        <v>206</v>
      </c>
      <c r="C209" s="33">
        <v>209580715</v>
      </c>
      <c r="D209" s="43" t="str">
        <f t="shared" si="15"/>
        <v>2-0958-0715</v>
      </c>
      <c r="E209" s="33" t="s">
        <v>19</v>
      </c>
      <c r="F209" s="43" t="str">
        <f t="shared" si="16"/>
        <v>ISAAC ALBERTO</v>
      </c>
      <c r="G209" s="43" t="str">
        <f t="shared" si="17"/>
        <v>ISAAC</v>
      </c>
      <c r="H209" s="43" t="str">
        <f t="shared" si="18"/>
        <v>ARIAS SIBAJA</v>
      </c>
      <c r="I209" s="43" t="str">
        <f t="shared" si="19"/>
        <v>ISAAC ARIAS SIBAJA</v>
      </c>
      <c r="J209" s="35" t="s">
        <v>2243</v>
      </c>
      <c r="K209" s="37">
        <v>7</v>
      </c>
      <c r="L209" s="37">
        <v>7</v>
      </c>
      <c r="M209" s="37" t="s">
        <v>1</v>
      </c>
    </row>
    <row r="210" spans="2:13" x14ac:dyDescent="0.25">
      <c r="B210" s="46">
        <v>207</v>
      </c>
      <c r="C210" s="33">
        <v>121610472</v>
      </c>
      <c r="D210" s="43" t="str">
        <f t="shared" si="15"/>
        <v>1-2161-0472</v>
      </c>
      <c r="E210" s="33" t="s">
        <v>20</v>
      </c>
      <c r="F210" s="43" t="str">
        <f t="shared" si="16"/>
        <v>JUAN DAVID</v>
      </c>
      <c r="G210" s="43" t="str">
        <f t="shared" si="17"/>
        <v>JUAN</v>
      </c>
      <c r="H210" s="43" t="str">
        <f t="shared" si="18"/>
        <v>CALVO ACUÑA</v>
      </c>
      <c r="I210" s="43" t="str">
        <f t="shared" si="19"/>
        <v>JUAN CALVO ACUÑA</v>
      </c>
      <c r="J210" s="35" t="s">
        <v>2243</v>
      </c>
      <c r="K210" s="37">
        <v>7</v>
      </c>
      <c r="L210" s="37">
        <v>7</v>
      </c>
      <c r="M210" s="37" t="s">
        <v>1</v>
      </c>
    </row>
    <row r="211" spans="2:13" x14ac:dyDescent="0.25">
      <c r="B211" s="48">
        <v>208</v>
      </c>
      <c r="C211" s="33">
        <v>121410243</v>
      </c>
      <c r="D211" s="43" t="str">
        <f t="shared" si="15"/>
        <v>1-2141-0243</v>
      </c>
      <c r="E211" s="33" t="s">
        <v>21</v>
      </c>
      <c r="F211" s="43" t="str">
        <f t="shared" si="16"/>
        <v>MARLON DANIEL</v>
      </c>
      <c r="G211" s="43" t="str">
        <f t="shared" si="17"/>
        <v>MARLON</v>
      </c>
      <c r="H211" s="43" t="str">
        <f t="shared" si="18"/>
        <v>CASTILLO CASTRO</v>
      </c>
      <c r="I211" s="43" t="str">
        <f t="shared" si="19"/>
        <v>MARLON CASTILLO CASTRO</v>
      </c>
      <c r="J211" s="35" t="s">
        <v>2243</v>
      </c>
      <c r="K211" s="37">
        <v>7</v>
      </c>
      <c r="L211" s="37">
        <v>7</v>
      </c>
      <c r="M211" s="37" t="s">
        <v>1</v>
      </c>
    </row>
    <row r="212" spans="2:13" x14ac:dyDescent="0.25">
      <c r="B212" s="48">
        <v>209</v>
      </c>
      <c r="C212" s="33">
        <v>703540028</v>
      </c>
      <c r="D212" s="43" t="str">
        <f t="shared" si="15"/>
        <v>7-0354-0028</v>
      </c>
      <c r="E212" s="46" t="s">
        <v>2193</v>
      </c>
      <c r="F212" s="43" t="str">
        <f t="shared" si="16"/>
        <v>STAYCI PAOLA</v>
      </c>
      <c r="G212" s="43" t="str">
        <f t="shared" si="17"/>
        <v>STAYCI</v>
      </c>
      <c r="H212" s="43" t="str">
        <f t="shared" si="18"/>
        <v>CHAVES BLANDON</v>
      </c>
      <c r="I212" s="43" t="str">
        <f t="shared" si="19"/>
        <v>STAYCI CHAVES BLANDON</v>
      </c>
      <c r="J212" s="35" t="s">
        <v>2243</v>
      </c>
      <c r="K212" s="37">
        <v>7</v>
      </c>
      <c r="L212" s="37">
        <v>7</v>
      </c>
      <c r="M212" s="37" t="s">
        <v>1</v>
      </c>
    </row>
    <row r="213" spans="2:13" x14ac:dyDescent="0.25">
      <c r="B213" s="46">
        <v>210</v>
      </c>
      <c r="C213" s="33">
        <v>209620674</v>
      </c>
      <c r="D213" s="43" t="str">
        <f t="shared" si="15"/>
        <v>2-0962-0674</v>
      </c>
      <c r="E213" s="33" t="s">
        <v>22</v>
      </c>
      <c r="F213" s="43" t="str">
        <f t="shared" si="16"/>
        <v>SHANTAL</v>
      </c>
      <c r="G213" s="43" t="str">
        <f t="shared" si="17"/>
        <v>SHANTAL</v>
      </c>
      <c r="H213" s="43" t="str">
        <f t="shared" si="18"/>
        <v>CORDERO AMPIE</v>
      </c>
      <c r="I213" s="43" t="str">
        <f t="shared" si="19"/>
        <v>SHANTAL CORDERO AMPIE</v>
      </c>
      <c r="J213" s="35" t="s">
        <v>2243</v>
      </c>
      <c r="K213" s="37">
        <v>7</v>
      </c>
      <c r="L213" s="37">
        <v>7</v>
      </c>
      <c r="M213" s="37" t="s">
        <v>1</v>
      </c>
    </row>
    <row r="214" spans="2:13" x14ac:dyDescent="0.25">
      <c r="B214" s="48">
        <v>211</v>
      </c>
      <c r="C214" s="33">
        <v>209660776</v>
      </c>
      <c r="D214" s="43" t="str">
        <f t="shared" si="15"/>
        <v>2-0966-0776</v>
      </c>
      <c r="E214" s="33" t="s">
        <v>23</v>
      </c>
      <c r="F214" s="43" t="str">
        <f t="shared" si="16"/>
        <v>VALENTINA</v>
      </c>
      <c r="G214" s="43" t="str">
        <f t="shared" si="17"/>
        <v>VALENTINA</v>
      </c>
      <c r="H214" s="43" t="str">
        <f t="shared" si="18"/>
        <v>FERNANDEZ NUÑEZ</v>
      </c>
      <c r="I214" s="43" t="str">
        <f t="shared" si="19"/>
        <v>VALENTINA FERNANDEZ NUÑEZ</v>
      </c>
      <c r="J214" s="35" t="s">
        <v>2243</v>
      </c>
      <c r="K214" s="37">
        <v>7</v>
      </c>
      <c r="L214" s="37">
        <v>7</v>
      </c>
      <c r="M214" s="37" t="s">
        <v>1</v>
      </c>
    </row>
    <row r="215" spans="2:13" x14ac:dyDescent="0.25">
      <c r="B215" s="48">
        <v>212</v>
      </c>
      <c r="C215" s="33">
        <v>209660853</v>
      </c>
      <c r="D215" s="43" t="str">
        <f t="shared" si="15"/>
        <v>2-0966-0853</v>
      </c>
      <c r="E215" s="33" t="s">
        <v>24</v>
      </c>
      <c r="F215" s="43" t="str">
        <f t="shared" si="16"/>
        <v>ISABELLA</v>
      </c>
      <c r="G215" s="43" t="str">
        <f t="shared" si="17"/>
        <v>ISABELLA</v>
      </c>
      <c r="H215" s="43" t="str">
        <f t="shared" si="18"/>
        <v>GONZALEZ MIRANDA</v>
      </c>
      <c r="I215" s="43" t="str">
        <f t="shared" si="19"/>
        <v>ISABELLA GONZALEZ MIRANDA</v>
      </c>
      <c r="J215" s="35" t="s">
        <v>2243</v>
      </c>
      <c r="K215" s="37">
        <v>7</v>
      </c>
      <c r="L215" s="37">
        <v>7</v>
      </c>
      <c r="M215" s="37" t="s">
        <v>1</v>
      </c>
    </row>
    <row r="216" spans="2:13" x14ac:dyDescent="0.25">
      <c r="B216" s="46">
        <v>213</v>
      </c>
      <c r="C216" s="33">
        <v>209540686</v>
      </c>
      <c r="D216" s="43" t="str">
        <f t="shared" si="15"/>
        <v>2-0954-0686</v>
      </c>
      <c r="E216" s="33" t="s">
        <v>25</v>
      </c>
      <c r="F216" s="43" t="str">
        <f t="shared" si="16"/>
        <v>EMILIANO</v>
      </c>
      <c r="G216" s="43" t="str">
        <f t="shared" si="17"/>
        <v>EMILIANO</v>
      </c>
      <c r="H216" s="43" t="str">
        <f t="shared" si="18"/>
        <v>JIMENEZ RODRIGUEZ</v>
      </c>
      <c r="I216" s="43" t="str">
        <f t="shared" si="19"/>
        <v>EMILIANO JIMENEZ RODRIGUEZ</v>
      </c>
      <c r="J216" s="35" t="s">
        <v>2243</v>
      </c>
      <c r="K216" s="37">
        <v>7</v>
      </c>
      <c r="L216" s="37">
        <v>7</v>
      </c>
      <c r="M216" s="37" t="s">
        <v>1</v>
      </c>
    </row>
    <row r="217" spans="2:13" x14ac:dyDescent="0.25">
      <c r="B217" s="48">
        <v>214</v>
      </c>
      <c r="C217" s="33">
        <v>209540508</v>
      </c>
      <c r="D217" s="43" t="str">
        <f t="shared" si="15"/>
        <v>2-0954-0508</v>
      </c>
      <c r="E217" s="33" t="s">
        <v>26</v>
      </c>
      <c r="F217" s="43" t="str">
        <f t="shared" si="16"/>
        <v>SOFIA PAMELA</v>
      </c>
      <c r="G217" s="43" t="str">
        <f t="shared" si="17"/>
        <v>SOFIA</v>
      </c>
      <c r="H217" s="43" t="str">
        <f t="shared" si="18"/>
        <v>MARTINEZ SANCHEZ</v>
      </c>
      <c r="I217" s="43" t="str">
        <f t="shared" si="19"/>
        <v>SOFIA MARTINEZ SANCHEZ</v>
      </c>
      <c r="J217" s="35" t="s">
        <v>2243</v>
      </c>
      <c r="K217" s="37">
        <v>7</v>
      </c>
      <c r="L217" s="37">
        <v>7</v>
      </c>
      <c r="M217" s="37" t="s">
        <v>1</v>
      </c>
    </row>
    <row r="218" spans="2:13" x14ac:dyDescent="0.25">
      <c r="B218" s="48">
        <v>215</v>
      </c>
      <c r="C218" s="33">
        <v>402990586</v>
      </c>
      <c r="D218" s="43" t="str">
        <f t="shared" si="15"/>
        <v>4-0299-0586</v>
      </c>
      <c r="E218" s="33" t="s">
        <v>27</v>
      </c>
      <c r="F218" s="43" t="str">
        <f t="shared" si="16"/>
        <v>GUSTAVO</v>
      </c>
      <c r="G218" s="43" t="str">
        <f t="shared" si="17"/>
        <v>GUSTAVO</v>
      </c>
      <c r="H218" s="43" t="str">
        <f t="shared" si="18"/>
        <v>MORALES MURILLO</v>
      </c>
      <c r="I218" s="43" t="str">
        <f t="shared" si="19"/>
        <v>GUSTAVO MORALES MURILLO</v>
      </c>
      <c r="J218" s="35" t="s">
        <v>2243</v>
      </c>
      <c r="K218" s="37">
        <v>7</v>
      </c>
      <c r="L218" s="37">
        <v>7</v>
      </c>
      <c r="M218" s="37" t="s">
        <v>1</v>
      </c>
    </row>
    <row r="219" spans="2:13" x14ac:dyDescent="0.25">
      <c r="B219" s="46">
        <v>216</v>
      </c>
      <c r="C219" s="33">
        <v>209660329</v>
      </c>
      <c r="D219" s="43" t="str">
        <f t="shared" si="15"/>
        <v>2-0966-0329</v>
      </c>
      <c r="E219" s="33" t="s">
        <v>28</v>
      </c>
      <c r="F219" s="43" t="str">
        <f t="shared" si="16"/>
        <v>MATIAS EDUARDO</v>
      </c>
      <c r="G219" s="43" t="str">
        <f t="shared" si="17"/>
        <v>MATIAS</v>
      </c>
      <c r="H219" s="43" t="str">
        <f t="shared" si="18"/>
        <v>PEREZ VARELA</v>
      </c>
      <c r="I219" s="43" t="str">
        <f t="shared" si="19"/>
        <v>MATIAS PEREZ VARELA</v>
      </c>
      <c r="J219" s="35" t="s">
        <v>2243</v>
      </c>
      <c r="K219" s="37">
        <v>7</v>
      </c>
      <c r="L219" s="37">
        <v>7</v>
      </c>
      <c r="M219" s="37" t="s">
        <v>1</v>
      </c>
    </row>
    <row r="220" spans="2:13" x14ac:dyDescent="0.25">
      <c r="B220" s="48">
        <v>217</v>
      </c>
      <c r="C220" s="33">
        <v>209590154</v>
      </c>
      <c r="D220" s="43" t="str">
        <f t="shared" si="15"/>
        <v>2-0959-0154</v>
      </c>
      <c r="E220" s="33" t="s">
        <v>29</v>
      </c>
      <c r="F220" s="43" t="str">
        <f t="shared" si="16"/>
        <v>GERSON JOSUE</v>
      </c>
      <c r="G220" s="43" t="str">
        <f t="shared" si="17"/>
        <v>GERSON</v>
      </c>
      <c r="H220" s="43" t="str">
        <f t="shared" si="18"/>
        <v>RODRIGUEZ CENTENO</v>
      </c>
      <c r="I220" s="43" t="str">
        <f t="shared" si="19"/>
        <v>GERSON RODRIGUEZ CENTENO</v>
      </c>
      <c r="J220" s="35" t="s">
        <v>2243</v>
      </c>
      <c r="K220" s="37">
        <v>7</v>
      </c>
      <c r="L220" s="37">
        <v>7</v>
      </c>
      <c r="M220" s="37" t="s">
        <v>1</v>
      </c>
    </row>
    <row r="221" spans="2:13" x14ac:dyDescent="0.25">
      <c r="B221" s="48">
        <v>218</v>
      </c>
      <c r="C221" s="33">
        <v>209610436</v>
      </c>
      <c r="D221" s="43" t="str">
        <f t="shared" si="15"/>
        <v>2-0961-0436</v>
      </c>
      <c r="E221" s="33" t="s">
        <v>30</v>
      </c>
      <c r="F221" s="43" t="str">
        <f t="shared" si="16"/>
        <v>NEYTAN DAVID</v>
      </c>
      <c r="G221" s="43" t="str">
        <f t="shared" si="17"/>
        <v>NEYTAN</v>
      </c>
      <c r="H221" s="43" t="str">
        <f t="shared" si="18"/>
        <v>RUIZ QUIROS</v>
      </c>
      <c r="I221" s="43" t="str">
        <f t="shared" si="19"/>
        <v>NEYTAN RUIZ QUIROS</v>
      </c>
      <c r="J221" s="35" t="s">
        <v>2243</v>
      </c>
      <c r="K221" s="37">
        <v>7</v>
      </c>
      <c r="L221" s="37">
        <v>7</v>
      </c>
      <c r="M221" s="37" t="s">
        <v>1</v>
      </c>
    </row>
    <row r="222" spans="2:13" x14ac:dyDescent="0.25">
      <c r="B222" s="46">
        <v>219</v>
      </c>
      <c r="C222" s="33">
        <v>209610033</v>
      </c>
      <c r="D222" s="43" t="str">
        <f t="shared" si="15"/>
        <v>2-0961-0033</v>
      </c>
      <c r="E222" s="33" t="s">
        <v>32</v>
      </c>
      <c r="F222" s="43" t="str">
        <f t="shared" si="16"/>
        <v>MATTHIW ANS</v>
      </c>
      <c r="G222" s="43" t="str">
        <f t="shared" si="17"/>
        <v>MATTHIW</v>
      </c>
      <c r="H222" s="43" t="str">
        <f t="shared" si="18"/>
        <v>SOZA GONZALEZ</v>
      </c>
      <c r="I222" s="43" t="str">
        <f t="shared" si="19"/>
        <v>MATTHIW SOZA GONZALEZ</v>
      </c>
      <c r="J222" s="35" t="s">
        <v>2243</v>
      </c>
      <c r="K222" s="37">
        <v>7</v>
      </c>
      <c r="L222" s="37">
        <v>7</v>
      </c>
      <c r="M222" s="37" t="s">
        <v>1</v>
      </c>
    </row>
    <row r="223" spans="2:13" x14ac:dyDescent="0.25">
      <c r="B223" s="48">
        <v>220</v>
      </c>
      <c r="C223" s="33">
        <v>209590666</v>
      </c>
      <c r="D223" s="43" t="str">
        <f t="shared" si="15"/>
        <v>2-0959-0666</v>
      </c>
      <c r="E223" s="33" t="s">
        <v>33</v>
      </c>
      <c r="F223" s="43" t="str">
        <f t="shared" si="16"/>
        <v>BREINER ELIECER</v>
      </c>
      <c r="G223" s="43" t="str">
        <f t="shared" si="17"/>
        <v>BREINER</v>
      </c>
      <c r="H223" s="43" t="str">
        <f t="shared" si="18"/>
        <v>VANEGAS ESPINOZA</v>
      </c>
      <c r="I223" s="43" t="str">
        <f t="shared" si="19"/>
        <v>BREINER VANEGAS ESPINOZA</v>
      </c>
      <c r="J223" s="35" t="s">
        <v>2243</v>
      </c>
      <c r="K223" s="37">
        <v>7</v>
      </c>
      <c r="L223" s="37">
        <v>7</v>
      </c>
      <c r="M223" s="37" t="s">
        <v>1</v>
      </c>
    </row>
    <row r="224" spans="2:13" x14ac:dyDescent="0.25">
      <c r="B224" s="48">
        <v>221</v>
      </c>
      <c r="C224" s="33">
        <v>209620496</v>
      </c>
      <c r="D224" s="43" t="str">
        <f t="shared" si="15"/>
        <v>2-0962-0496</v>
      </c>
      <c r="E224" s="33" t="s">
        <v>34</v>
      </c>
      <c r="F224" s="43" t="str">
        <f t="shared" si="16"/>
        <v>MONSERRATH</v>
      </c>
      <c r="G224" s="43" t="str">
        <f t="shared" si="17"/>
        <v>MONSERRATH</v>
      </c>
      <c r="H224" s="43" t="str">
        <f t="shared" si="18"/>
        <v>VARGAS RODRIGUEZ</v>
      </c>
      <c r="I224" s="43" t="str">
        <f t="shared" si="19"/>
        <v>MONSERRATH VARGAS RODRIGUEZ</v>
      </c>
      <c r="J224" s="35" t="s">
        <v>2243</v>
      </c>
      <c r="K224" s="37">
        <v>7</v>
      </c>
      <c r="L224" s="37">
        <v>7</v>
      </c>
      <c r="M224" s="37" t="s">
        <v>1</v>
      </c>
    </row>
    <row r="225" spans="2:13" x14ac:dyDescent="0.25">
      <c r="B225" s="46">
        <v>222</v>
      </c>
      <c r="C225" s="33">
        <v>209630838</v>
      </c>
      <c r="D225" s="43" t="str">
        <f t="shared" si="15"/>
        <v>2-0963-0838</v>
      </c>
      <c r="E225" s="33" t="s">
        <v>35</v>
      </c>
      <c r="F225" s="43" t="str">
        <f t="shared" si="16"/>
        <v>JEAN CARLO</v>
      </c>
      <c r="G225" s="43" t="str">
        <f t="shared" si="17"/>
        <v>JEAN</v>
      </c>
      <c r="H225" s="43" t="str">
        <f t="shared" si="18"/>
        <v>BARRANTES OVIEDO</v>
      </c>
      <c r="I225" s="43" t="str">
        <f t="shared" si="19"/>
        <v>JEAN BARRANTES OVIEDO</v>
      </c>
      <c r="J225" s="35" t="s">
        <v>2243</v>
      </c>
      <c r="K225" s="37">
        <v>7</v>
      </c>
      <c r="L225" s="37">
        <v>7</v>
      </c>
      <c r="M225" s="37" t="s">
        <v>0</v>
      </c>
    </row>
    <row r="226" spans="2:13" x14ac:dyDescent="0.25">
      <c r="B226" s="48">
        <v>223</v>
      </c>
      <c r="C226" s="33">
        <v>209570256</v>
      </c>
      <c r="D226" s="43" t="str">
        <f t="shared" si="15"/>
        <v>2-0957-0256</v>
      </c>
      <c r="E226" s="33" t="s">
        <v>2194</v>
      </c>
      <c r="F226" s="43" t="str">
        <f t="shared" si="16"/>
        <v>EDUARDO</v>
      </c>
      <c r="G226" s="43" t="str">
        <f t="shared" si="17"/>
        <v>EDUARDO</v>
      </c>
      <c r="H226" s="43" t="str">
        <f t="shared" si="18"/>
        <v>CARRILLO MORALES</v>
      </c>
      <c r="I226" s="43" t="str">
        <f t="shared" si="19"/>
        <v>EDUARDO CARRILLO MORALES</v>
      </c>
      <c r="J226" s="35" t="s">
        <v>2243</v>
      </c>
      <c r="K226" s="37">
        <v>7</v>
      </c>
      <c r="L226" s="37">
        <v>7</v>
      </c>
      <c r="M226" s="37" t="s">
        <v>0</v>
      </c>
    </row>
    <row r="227" spans="2:13" x14ac:dyDescent="0.25">
      <c r="B227" s="48">
        <v>224</v>
      </c>
      <c r="C227" s="33">
        <v>402970765</v>
      </c>
      <c r="D227" s="43" t="str">
        <f t="shared" si="15"/>
        <v>4-0297-0765</v>
      </c>
      <c r="E227" s="33" t="s">
        <v>2201</v>
      </c>
      <c r="F227" s="43" t="str">
        <f t="shared" si="16"/>
        <v>MARYANGEL</v>
      </c>
      <c r="G227" s="43" t="str">
        <f t="shared" si="17"/>
        <v>MARYANGEL</v>
      </c>
      <c r="H227" s="43" t="str">
        <f t="shared" si="18"/>
        <v>CHAVARRIA ARCE</v>
      </c>
      <c r="I227" s="43" t="str">
        <f t="shared" si="19"/>
        <v>MARYANGEL CHAVARRIA ARCE</v>
      </c>
      <c r="J227" s="35" t="s">
        <v>2243</v>
      </c>
      <c r="K227" s="37">
        <v>7</v>
      </c>
      <c r="L227" s="37">
        <v>7</v>
      </c>
      <c r="M227" s="37" t="s">
        <v>0</v>
      </c>
    </row>
    <row r="228" spans="2:13" x14ac:dyDescent="0.25">
      <c r="B228" s="46">
        <v>225</v>
      </c>
      <c r="C228" s="33">
        <v>209570066</v>
      </c>
      <c r="D228" s="43" t="str">
        <f t="shared" si="15"/>
        <v>2-0957-0066</v>
      </c>
      <c r="E228" s="33" t="s">
        <v>2202</v>
      </c>
      <c r="F228" s="43" t="str">
        <f t="shared" si="16"/>
        <v>JULIO CESAR</v>
      </c>
      <c r="G228" s="43" t="str">
        <f t="shared" si="17"/>
        <v>JULIO</v>
      </c>
      <c r="H228" s="43" t="str">
        <f t="shared" si="18"/>
        <v>ESPINOZA CASTILLO</v>
      </c>
      <c r="I228" s="43" t="str">
        <f t="shared" si="19"/>
        <v>JULIO ESPINOZA CASTILLO</v>
      </c>
      <c r="J228" s="35" t="s">
        <v>2243</v>
      </c>
      <c r="K228" s="37">
        <v>7</v>
      </c>
      <c r="L228" s="37">
        <v>7</v>
      </c>
      <c r="M228" s="37" t="s">
        <v>0</v>
      </c>
    </row>
    <row r="229" spans="2:13" x14ac:dyDescent="0.25">
      <c r="B229" s="48">
        <v>226</v>
      </c>
      <c r="C229" s="33">
        <v>209570951</v>
      </c>
      <c r="D229" s="43" t="str">
        <f t="shared" si="15"/>
        <v>2-0957-0951</v>
      </c>
      <c r="E229" s="33" t="s">
        <v>36</v>
      </c>
      <c r="F229" s="43" t="str">
        <f t="shared" si="16"/>
        <v>EIMY DANIELA</v>
      </c>
      <c r="G229" s="43" t="str">
        <f t="shared" si="17"/>
        <v>EIMY</v>
      </c>
      <c r="H229" s="43" t="str">
        <f t="shared" si="18"/>
        <v>GAZO MARTINEZ</v>
      </c>
      <c r="I229" s="43" t="str">
        <f t="shared" si="19"/>
        <v>EIMY GAZO MARTINEZ</v>
      </c>
      <c r="J229" s="35" t="s">
        <v>2243</v>
      </c>
      <c r="K229" s="37">
        <v>7</v>
      </c>
      <c r="L229" s="37">
        <v>7</v>
      </c>
      <c r="M229" s="37" t="s">
        <v>0</v>
      </c>
    </row>
    <row r="230" spans="2:13" x14ac:dyDescent="0.25">
      <c r="B230" s="48">
        <v>227</v>
      </c>
      <c r="C230" s="33">
        <v>402990479</v>
      </c>
      <c r="D230" s="43" t="str">
        <f t="shared" si="15"/>
        <v>4-0299-0479</v>
      </c>
      <c r="E230" s="33" t="s">
        <v>37</v>
      </c>
      <c r="F230" s="43" t="str">
        <f t="shared" si="16"/>
        <v>MARIANGEL</v>
      </c>
      <c r="G230" s="43" t="str">
        <f t="shared" si="17"/>
        <v>MARIANGEL</v>
      </c>
      <c r="H230" s="43" t="str">
        <f t="shared" si="18"/>
        <v>GUEVARA CHAVARRIA</v>
      </c>
      <c r="I230" s="43" t="str">
        <f t="shared" si="19"/>
        <v>MARIANGEL GUEVARA CHAVARRIA</v>
      </c>
      <c r="J230" s="35" t="s">
        <v>2243</v>
      </c>
      <c r="K230" s="37">
        <v>7</v>
      </c>
      <c r="L230" s="37">
        <v>7</v>
      </c>
      <c r="M230" s="37" t="s">
        <v>0</v>
      </c>
    </row>
    <row r="231" spans="2:13" x14ac:dyDescent="0.25">
      <c r="B231" s="46">
        <v>228</v>
      </c>
      <c r="C231" s="33">
        <v>209380851</v>
      </c>
      <c r="D231" s="43" t="str">
        <f t="shared" si="15"/>
        <v>2-0938-0851</v>
      </c>
      <c r="E231" s="46" t="s">
        <v>261</v>
      </c>
      <c r="F231" s="43" t="str">
        <f t="shared" si="16"/>
        <v>DYLAN ANDRES</v>
      </c>
      <c r="G231" s="43" t="str">
        <f t="shared" si="17"/>
        <v>DYLAN</v>
      </c>
      <c r="H231" s="43" t="str">
        <f t="shared" si="18"/>
        <v>LARA ARCE</v>
      </c>
      <c r="I231" s="43" t="str">
        <f t="shared" si="19"/>
        <v>DYLAN LARA ARCE</v>
      </c>
      <c r="J231" s="35" t="s">
        <v>2243</v>
      </c>
      <c r="K231" s="37">
        <v>7</v>
      </c>
      <c r="L231" s="37">
        <v>7</v>
      </c>
      <c r="M231" s="37" t="s">
        <v>0</v>
      </c>
    </row>
    <row r="232" spans="2:13" x14ac:dyDescent="0.25">
      <c r="B232" s="48">
        <v>229</v>
      </c>
      <c r="C232" s="33">
        <v>403000742</v>
      </c>
      <c r="D232" s="43" t="str">
        <f t="shared" si="15"/>
        <v>4-0300-0742</v>
      </c>
      <c r="E232" s="33" t="s">
        <v>38</v>
      </c>
      <c r="F232" s="43" t="str">
        <f t="shared" si="16"/>
        <v>GENESIS RAQUEL</v>
      </c>
      <c r="G232" s="43" t="str">
        <f t="shared" si="17"/>
        <v>GENESIS</v>
      </c>
      <c r="H232" s="43" t="str">
        <f t="shared" si="18"/>
        <v>MORA MELENDEZ</v>
      </c>
      <c r="I232" s="43" t="str">
        <f t="shared" si="19"/>
        <v>GENESIS MORA MELENDEZ</v>
      </c>
      <c r="J232" s="35" t="s">
        <v>2243</v>
      </c>
      <c r="K232" s="37">
        <v>7</v>
      </c>
      <c r="L232" s="37">
        <v>7</v>
      </c>
      <c r="M232" s="37" t="s">
        <v>0</v>
      </c>
    </row>
    <row r="233" spans="2:13" x14ac:dyDescent="0.25">
      <c r="B233" s="48">
        <v>230</v>
      </c>
      <c r="C233" s="33">
        <v>121610873</v>
      </c>
      <c r="D233" s="43" t="str">
        <f t="shared" si="15"/>
        <v>1-2161-0873</v>
      </c>
      <c r="E233" s="33" t="s">
        <v>39</v>
      </c>
      <c r="F233" s="43" t="str">
        <f t="shared" si="16"/>
        <v>AXEL GUSTAVO</v>
      </c>
      <c r="G233" s="43" t="str">
        <f t="shared" si="17"/>
        <v>AXEL</v>
      </c>
      <c r="H233" s="43" t="str">
        <f t="shared" si="18"/>
        <v>OROZCO MARTINEZ</v>
      </c>
      <c r="I233" s="43" t="str">
        <f t="shared" si="19"/>
        <v>AXEL OROZCO MARTINEZ</v>
      </c>
      <c r="J233" s="35" t="s">
        <v>2243</v>
      </c>
      <c r="K233" s="37">
        <v>7</v>
      </c>
      <c r="L233" s="37">
        <v>7</v>
      </c>
      <c r="M233" s="37" t="s">
        <v>0</v>
      </c>
    </row>
    <row r="234" spans="2:13" x14ac:dyDescent="0.25">
      <c r="B234" s="46">
        <v>231</v>
      </c>
      <c r="C234" s="33">
        <v>703710687</v>
      </c>
      <c r="D234" s="43" t="str">
        <f t="shared" si="15"/>
        <v>7-0371-0687</v>
      </c>
      <c r="E234" s="33" t="s">
        <v>40</v>
      </c>
      <c r="F234" s="43" t="str">
        <f t="shared" si="16"/>
        <v>ALDO SNAIDER</v>
      </c>
      <c r="G234" s="43" t="str">
        <f t="shared" si="17"/>
        <v>ALDO</v>
      </c>
      <c r="H234" s="43" t="str">
        <f t="shared" si="18"/>
        <v>REYES CALVO</v>
      </c>
      <c r="I234" s="43" t="str">
        <f t="shared" si="19"/>
        <v>ALDO REYES CALVO</v>
      </c>
      <c r="J234" s="35" t="s">
        <v>2243</v>
      </c>
      <c r="K234" s="37">
        <v>7</v>
      </c>
      <c r="L234" s="37">
        <v>7</v>
      </c>
      <c r="M234" s="37" t="s">
        <v>0</v>
      </c>
    </row>
    <row r="235" spans="2:13" x14ac:dyDescent="0.25">
      <c r="B235" s="48">
        <v>232</v>
      </c>
      <c r="C235" s="33">
        <v>403000451</v>
      </c>
      <c r="D235" s="43" t="str">
        <f t="shared" si="15"/>
        <v>4-0300-0451</v>
      </c>
      <c r="E235" s="33" t="s">
        <v>41</v>
      </c>
      <c r="F235" s="43" t="str">
        <f t="shared" si="16"/>
        <v>FARID</v>
      </c>
      <c r="G235" s="43" t="str">
        <f t="shared" si="17"/>
        <v>FARID</v>
      </c>
      <c r="H235" s="43" t="str">
        <f t="shared" si="18"/>
        <v>ROJAS BLANCO</v>
      </c>
      <c r="I235" s="43" t="str">
        <f t="shared" si="19"/>
        <v>FARID ROJAS BLANCO</v>
      </c>
      <c r="J235" s="35" t="s">
        <v>2243</v>
      </c>
      <c r="K235" s="37">
        <v>7</v>
      </c>
      <c r="L235" s="37">
        <v>7</v>
      </c>
      <c r="M235" s="37" t="s">
        <v>0</v>
      </c>
    </row>
    <row r="236" spans="2:13" x14ac:dyDescent="0.25">
      <c r="B236" s="48">
        <v>233</v>
      </c>
      <c r="C236" s="33">
        <v>209630763</v>
      </c>
      <c r="D236" s="43" t="str">
        <f t="shared" si="15"/>
        <v>2-0963-0763</v>
      </c>
      <c r="E236" s="33" t="s">
        <v>42</v>
      </c>
      <c r="F236" s="43" t="str">
        <f t="shared" si="16"/>
        <v>NOAH SEBASTIAN</v>
      </c>
      <c r="G236" s="43" t="str">
        <f t="shared" si="17"/>
        <v>NOAH</v>
      </c>
      <c r="H236" s="43" t="str">
        <f t="shared" si="18"/>
        <v>SANCHEZ LOPEZ</v>
      </c>
      <c r="I236" s="43" t="str">
        <f t="shared" si="19"/>
        <v>NOAH SANCHEZ LOPEZ</v>
      </c>
      <c r="J236" s="35" t="s">
        <v>2243</v>
      </c>
      <c r="K236" s="37">
        <v>7</v>
      </c>
      <c r="L236" s="37">
        <v>7</v>
      </c>
      <c r="M236" s="37" t="s">
        <v>0</v>
      </c>
    </row>
    <row r="237" spans="2:13" x14ac:dyDescent="0.25">
      <c r="B237" s="46">
        <v>234</v>
      </c>
      <c r="C237" s="33">
        <v>209640593</v>
      </c>
      <c r="D237" s="43" t="str">
        <f t="shared" si="15"/>
        <v>2-0964-0593</v>
      </c>
      <c r="E237" s="33" t="s">
        <v>43</v>
      </c>
      <c r="F237" s="43" t="str">
        <f t="shared" si="16"/>
        <v>ANGIE CAMILA</v>
      </c>
      <c r="G237" s="43" t="str">
        <f t="shared" si="17"/>
        <v>ANGIE</v>
      </c>
      <c r="H237" s="43" t="str">
        <f t="shared" si="18"/>
        <v>UGALDE MEZA</v>
      </c>
      <c r="I237" s="43" t="str">
        <f t="shared" si="19"/>
        <v>ANGIE UGALDE MEZA</v>
      </c>
      <c r="J237" s="35" t="s">
        <v>2243</v>
      </c>
      <c r="K237" s="37">
        <v>7</v>
      </c>
      <c r="L237" s="37">
        <v>7</v>
      </c>
      <c r="M237" s="37" t="s">
        <v>0</v>
      </c>
    </row>
    <row r="238" spans="2:13" x14ac:dyDescent="0.25">
      <c r="B238" s="48">
        <v>235</v>
      </c>
      <c r="C238" s="33">
        <v>209550325</v>
      </c>
      <c r="D238" s="43" t="str">
        <f t="shared" si="15"/>
        <v>2-0955-0325</v>
      </c>
      <c r="E238" s="33" t="s">
        <v>44</v>
      </c>
      <c r="F238" s="43" t="str">
        <f t="shared" si="16"/>
        <v>JEREMY DAVID</v>
      </c>
      <c r="G238" s="43" t="str">
        <f t="shared" si="17"/>
        <v>JEREMY</v>
      </c>
      <c r="H238" s="43" t="str">
        <f t="shared" si="18"/>
        <v>VILLALOBOS MURILLO</v>
      </c>
      <c r="I238" s="43" t="str">
        <f t="shared" si="19"/>
        <v>JEREMY VILLALOBOS MURILLO</v>
      </c>
      <c r="J238" s="35" t="s">
        <v>2243</v>
      </c>
      <c r="K238" s="37">
        <v>7</v>
      </c>
      <c r="L238" s="37">
        <v>7</v>
      </c>
      <c r="M238" s="37" t="s">
        <v>0</v>
      </c>
    </row>
    <row r="239" spans="2:13" x14ac:dyDescent="0.25">
      <c r="B239" s="48">
        <v>236</v>
      </c>
      <c r="C239" s="33">
        <v>209590509</v>
      </c>
      <c r="D239" s="43" t="str">
        <f t="shared" si="15"/>
        <v>2-0959-0509</v>
      </c>
      <c r="E239" s="33" t="s">
        <v>45</v>
      </c>
      <c r="F239" s="43" t="str">
        <f t="shared" si="16"/>
        <v>BRITTANY PAOLA</v>
      </c>
      <c r="G239" s="43" t="str">
        <f t="shared" si="17"/>
        <v>BRITTANY</v>
      </c>
      <c r="H239" s="43" t="str">
        <f t="shared" si="18"/>
        <v>ZUÑIGA CHACON</v>
      </c>
      <c r="I239" s="43" t="str">
        <f t="shared" si="19"/>
        <v>BRITTANY ZUÑIGA CHACON</v>
      </c>
      <c r="J239" s="35" t="s">
        <v>2243</v>
      </c>
      <c r="K239" s="37">
        <v>7</v>
      </c>
      <c r="L239" s="37">
        <v>7</v>
      </c>
      <c r="M239" s="37" t="s">
        <v>0</v>
      </c>
    </row>
    <row r="240" spans="2:13" x14ac:dyDescent="0.25">
      <c r="B240" s="46">
        <v>237</v>
      </c>
      <c r="C240" s="33">
        <v>209380834</v>
      </c>
      <c r="D240" s="43" t="str">
        <f t="shared" si="15"/>
        <v>2-0938-0834</v>
      </c>
      <c r="E240" s="46" t="s">
        <v>181</v>
      </c>
      <c r="F240" s="43" t="str">
        <f t="shared" si="16"/>
        <v>ALEX FABIAN</v>
      </c>
      <c r="G240" s="43" t="str">
        <f t="shared" si="17"/>
        <v>ALEX</v>
      </c>
      <c r="H240" s="43" t="str">
        <f t="shared" si="18"/>
        <v>ACUÑA SANDIGO</v>
      </c>
      <c r="I240" s="43" t="str">
        <f t="shared" si="19"/>
        <v>ALEX ACUÑA SANDIGO</v>
      </c>
      <c r="J240" s="35" t="s">
        <v>2243</v>
      </c>
      <c r="K240" s="37">
        <v>8</v>
      </c>
      <c r="L240" s="37">
        <v>1</v>
      </c>
      <c r="M240" s="37" t="s">
        <v>1</v>
      </c>
    </row>
    <row r="241" spans="2:13" x14ac:dyDescent="0.25">
      <c r="B241" s="48">
        <v>238</v>
      </c>
      <c r="C241" s="33">
        <v>402910362</v>
      </c>
      <c r="D241" s="43" t="str">
        <f t="shared" si="15"/>
        <v>4-0291-0362</v>
      </c>
      <c r="E241" s="46" t="s">
        <v>184</v>
      </c>
      <c r="F241" s="43" t="str">
        <f t="shared" si="16"/>
        <v>KENDALL ANDRES</v>
      </c>
      <c r="G241" s="43" t="str">
        <f t="shared" si="17"/>
        <v>KENDALL</v>
      </c>
      <c r="H241" s="43" t="str">
        <f t="shared" si="18"/>
        <v>CAMPOS PEREZ</v>
      </c>
      <c r="I241" s="43" t="str">
        <f t="shared" si="19"/>
        <v>KENDALL CAMPOS PEREZ</v>
      </c>
      <c r="J241" s="35" t="s">
        <v>2243</v>
      </c>
      <c r="K241" s="37">
        <v>8</v>
      </c>
      <c r="L241" s="37">
        <v>1</v>
      </c>
      <c r="M241" s="37" t="s">
        <v>1</v>
      </c>
    </row>
    <row r="242" spans="2:13" x14ac:dyDescent="0.25">
      <c r="B242" s="48">
        <v>239</v>
      </c>
      <c r="C242" s="44">
        <v>999990239</v>
      </c>
      <c r="D242" s="38" t="s">
        <v>2195</v>
      </c>
      <c r="E242" s="38" t="s">
        <v>396</v>
      </c>
      <c r="F242" s="43" t="str">
        <f t="shared" si="16"/>
        <v>ANA MARIA</v>
      </c>
      <c r="G242" s="43" t="str">
        <f t="shared" si="17"/>
        <v>ANA</v>
      </c>
      <c r="H242" s="43" t="str">
        <f t="shared" si="18"/>
        <v>DAVILA JAEN</v>
      </c>
      <c r="I242" s="43" t="str">
        <f t="shared" si="19"/>
        <v>ANA DAVILA JAEN</v>
      </c>
      <c r="J242" s="35" t="s">
        <v>2243</v>
      </c>
      <c r="K242" s="37">
        <v>8</v>
      </c>
      <c r="L242" s="37">
        <v>1</v>
      </c>
      <c r="M242" s="37" t="s">
        <v>1</v>
      </c>
    </row>
    <row r="243" spans="2:13" x14ac:dyDescent="0.25">
      <c r="B243" s="46">
        <v>240</v>
      </c>
      <c r="C243" s="40">
        <v>402910147</v>
      </c>
      <c r="D243" s="43" t="str">
        <f t="shared" si="15"/>
        <v>4-0291-0147</v>
      </c>
      <c r="E243" s="38" t="s">
        <v>2196</v>
      </c>
      <c r="F243" s="43" t="str">
        <f t="shared" si="16"/>
        <v>SYLVANA VICTORIA</v>
      </c>
      <c r="G243" s="43" t="str">
        <f t="shared" si="17"/>
        <v>SYLVANA</v>
      </c>
      <c r="H243" s="43" t="str">
        <f t="shared" si="18"/>
        <v>FERNANDEZ SALAZAR</v>
      </c>
      <c r="I243" s="43" t="str">
        <f t="shared" si="19"/>
        <v>SYLVANA FERNANDEZ SALAZAR</v>
      </c>
      <c r="J243" s="35" t="s">
        <v>2243</v>
      </c>
      <c r="K243" s="37">
        <v>8</v>
      </c>
      <c r="L243" s="37">
        <v>1</v>
      </c>
      <c r="M243" s="37" t="s">
        <v>1</v>
      </c>
    </row>
    <row r="244" spans="2:13" x14ac:dyDescent="0.25">
      <c r="B244" s="48">
        <v>241</v>
      </c>
      <c r="C244" s="33">
        <v>209490347</v>
      </c>
      <c r="D244" s="43" t="str">
        <f t="shared" si="15"/>
        <v>2-0949-0347</v>
      </c>
      <c r="E244" s="46" t="s">
        <v>185</v>
      </c>
      <c r="F244" s="43" t="str">
        <f t="shared" si="16"/>
        <v xml:space="preserve">BRITTANNY </v>
      </c>
      <c r="G244" s="43" t="str">
        <f t="shared" si="17"/>
        <v>BRITTANNY</v>
      </c>
      <c r="H244" s="43" t="str">
        <f t="shared" si="18"/>
        <v>GARCIA ARCE</v>
      </c>
      <c r="I244" s="43" t="str">
        <f t="shared" si="19"/>
        <v>BRITTANNY GARCIA ARCE</v>
      </c>
      <c r="J244" s="35" t="s">
        <v>2243</v>
      </c>
      <c r="K244" s="37">
        <v>8</v>
      </c>
      <c r="L244" s="37">
        <v>1</v>
      </c>
      <c r="M244" s="37" t="s">
        <v>1</v>
      </c>
    </row>
    <row r="245" spans="2:13" x14ac:dyDescent="0.25">
      <c r="B245" s="48">
        <v>242</v>
      </c>
      <c r="C245" s="33">
        <v>209490346</v>
      </c>
      <c r="D245" s="43" t="str">
        <f t="shared" si="15"/>
        <v>2-0949-0346</v>
      </c>
      <c r="E245" s="46" t="s">
        <v>186</v>
      </c>
      <c r="F245" s="43" t="str">
        <f t="shared" si="16"/>
        <v xml:space="preserve">VALENTINA </v>
      </c>
      <c r="G245" s="43" t="str">
        <f t="shared" si="17"/>
        <v>VALENTINA</v>
      </c>
      <c r="H245" s="43" t="str">
        <f t="shared" si="18"/>
        <v>GARCIA ARCE</v>
      </c>
      <c r="I245" s="43" t="str">
        <f t="shared" si="19"/>
        <v>VALENTINA GARCIA ARCE</v>
      </c>
      <c r="J245" s="35" t="s">
        <v>2243</v>
      </c>
      <c r="K245" s="37">
        <v>8</v>
      </c>
      <c r="L245" s="37">
        <v>1</v>
      </c>
      <c r="M245" s="37" t="s">
        <v>1</v>
      </c>
    </row>
    <row r="246" spans="2:13" x14ac:dyDescent="0.25">
      <c r="B246" s="46">
        <v>243</v>
      </c>
      <c r="C246" s="40">
        <v>402890926</v>
      </c>
      <c r="D246" s="43" t="str">
        <f t="shared" si="15"/>
        <v>4-0289-0926</v>
      </c>
      <c r="E246" s="38" t="s">
        <v>452</v>
      </c>
      <c r="F246" s="43" t="str">
        <f t="shared" si="16"/>
        <v>DAVID EDUARDO</v>
      </c>
      <c r="G246" s="43" t="str">
        <f t="shared" si="17"/>
        <v>DAVID</v>
      </c>
      <c r="H246" s="43" t="str">
        <f t="shared" si="18"/>
        <v>GONZALEZ ALVAREZ</v>
      </c>
      <c r="I246" s="43" t="str">
        <f t="shared" si="19"/>
        <v>DAVID GONZALEZ ALVAREZ</v>
      </c>
      <c r="J246" s="35" t="s">
        <v>2243</v>
      </c>
      <c r="K246" s="37">
        <v>8</v>
      </c>
      <c r="L246" s="37">
        <v>1</v>
      </c>
      <c r="M246" s="37" t="s">
        <v>1</v>
      </c>
    </row>
    <row r="247" spans="2:13" x14ac:dyDescent="0.25">
      <c r="B247" s="48">
        <v>244</v>
      </c>
      <c r="C247" s="33">
        <v>209530053</v>
      </c>
      <c r="D247" s="43" t="str">
        <f t="shared" si="15"/>
        <v>2-0953-0053</v>
      </c>
      <c r="E247" s="46" t="s">
        <v>187</v>
      </c>
      <c r="F247" s="43" t="str">
        <f t="shared" si="16"/>
        <v>ELEAZAR AMAURI</v>
      </c>
      <c r="G247" s="43" t="str">
        <f t="shared" si="17"/>
        <v>ELEAZAR</v>
      </c>
      <c r="H247" s="43" t="str">
        <f t="shared" si="18"/>
        <v>GUTIERREZ ALEMAN</v>
      </c>
      <c r="I247" s="43" t="str">
        <f t="shared" si="19"/>
        <v>ELEAZAR GUTIERREZ ALEMAN</v>
      </c>
      <c r="J247" s="35" t="s">
        <v>2243</v>
      </c>
      <c r="K247" s="37">
        <v>8</v>
      </c>
      <c r="L247" s="37">
        <v>1</v>
      </c>
      <c r="M247" s="37" t="s">
        <v>1</v>
      </c>
    </row>
    <row r="248" spans="2:13" x14ac:dyDescent="0.25">
      <c r="B248" s="48">
        <v>245</v>
      </c>
      <c r="C248" s="33">
        <v>209450823</v>
      </c>
      <c r="D248" s="43" t="str">
        <f t="shared" si="15"/>
        <v>2-0945-0823</v>
      </c>
      <c r="E248" s="46" t="s">
        <v>188</v>
      </c>
      <c r="F248" s="43" t="str">
        <f t="shared" si="16"/>
        <v>ADAM MOISES</v>
      </c>
      <c r="G248" s="43" t="str">
        <f t="shared" si="17"/>
        <v>ADAM</v>
      </c>
      <c r="H248" s="43" t="str">
        <f t="shared" si="18"/>
        <v>LUNA MALESPIN</v>
      </c>
      <c r="I248" s="43" t="str">
        <f t="shared" si="19"/>
        <v>ADAM LUNA MALESPIN</v>
      </c>
      <c r="J248" s="35" t="s">
        <v>2243</v>
      </c>
      <c r="K248" s="37">
        <v>8</v>
      </c>
      <c r="L248" s="37">
        <v>1</v>
      </c>
      <c r="M248" s="37" t="s">
        <v>1</v>
      </c>
    </row>
    <row r="249" spans="2:13" x14ac:dyDescent="0.25">
      <c r="B249" s="46">
        <v>246</v>
      </c>
      <c r="C249" s="38">
        <v>209320856</v>
      </c>
      <c r="D249" s="43" t="str">
        <f t="shared" si="15"/>
        <v>2-0932-0856</v>
      </c>
      <c r="E249" s="38" t="s">
        <v>189</v>
      </c>
      <c r="F249" s="43" t="str">
        <f t="shared" si="16"/>
        <v>SHARON</v>
      </c>
      <c r="G249" s="43" t="str">
        <f t="shared" si="17"/>
        <v>SHARON</v>
      </c>
      <c r="H249" s="43" t="str">
        <f t="shared" si="18"/>
        <v>MOLINA VILLALOBOS</v>
      </c>
      <c r="I249" s="43" t="str">
        <f t="shared" si="19"/>
        <v>SHARON MOLINA VILLALOBOS</v>
      </c>
      <c r="J249" s="35" t="s">
        <v>2243</v>
      </c>
      <c r="K249" s="37">
        <v>8</v>
      </c>
      <c r="L249" s="37">
        <v>1</v>
      </c>
      <c r="M249" s="37" t="s">
        <v>1</v>
      </c>
    </row>
    <row r="250" spans="2:13" x14ac:dyDescent="0.25">
      <c r="B250" s="48">
        <v>247</v>
      </c>
      <c r="C250" s="33">
        <v>402940803</v>
      </c>
      <c r="D250" s="43" t="str">
        <f t="shared" si="15"/>
        <v>4-0294-0803</v>
      </c>
      <c r="E250" s="46" t="s">
        <v>191</v>
      </c>
      <c r="F250" s="43" t="str">
        <f t="shared" si="16"/>
        <v>DERRICK ALEXIS</v>
      </c>
      <c r="G250" s="43" t="str">
        <f t="shared" si="17"/>
        <v>DERRICK</v>
      </c>
      <c r="H250" s="43" t="str">
        <f t="shared" si="18"/>
        <v>PICADO VILLALTA</v>
      </c>
      <c r="I250" s="43" t="str">
        <f t="shared" si="19"/>
        <v>DERRICK PICADO VILLALTA</v>
      </c>
      <c r="J250" s="35" t="s">
        <v>2243</v>
      </c>
      <c r="K250" s="37">
        <v>8</v>
      </c>
      <c r="L250" s="37">
        <v>1</v>
      </c>
      <c r="M250" s="37" t="s">
        <v>1</v>
      </c>
    </row>
    <row r="251" spans="2:13" x14ac:dyDescent="0.25">
      <c r="B251" s="48">
        <v>248</v>
      </c>
      <c r="C251" s="44">
        <v>999990248</v>
      </c>
      <c r="D251" s="38" t="s">
        <v>2197</v>
      </c>
      <c r="E251" s="46" t="s">
        <v>192</v>
      </c>
      <c r="F251" s="43" t="str">
        <f t="shared" si="16"/>
        <v>MAREYLING DEL CARMEN</v>
      </c>
      <c r="G251" s="43" t="str">
        <f t="shared" si="17"/>
        <v>MAREYLING</v>
      </c>
      <c r="H251" s="43" t="str">
        <f t="shared" si="18"/>
        <v>RODRIGUEZ FLORES</v>
      </c>
      <c r="I251" s="43" t="str">
        <f t="shared" si="19"/>
        <v>MAREYLING RODRIGUEZ FLORES</v>
      </c>
      <c r="J251" s="35" t="s">
        <v>2243</v>
      </c>
      <c r="K251" s="37">
        <v>8</v>
      </c>
      <c r="L251" s="37">
        <v>1</v>
      </c>
      <c r="M251" s="37" t="s">
        <v>1</v>
      </c>
    </row>
    <row r="252" spans="2:13" x14ac:dyDescent="0.25">
      <c r="B252" s="46">
        <v>249</v>
      </c>
      <c r="C252" s="38">
        <v>209440759</v>
      </c>
      <c r="D252" s="43" t="str">
        <f t="shared" si="15"/>
        <v>2-0944-0759</v>
      </c>
      <c r="E252" s="38" t="s">
        <v>193</v>
      </c>
      <c r="F252" s="43" t="str">
        <f t="shared" si="16"/>
        <v>MATHIAS</v>
      </c>
      <c r="G252" s="43" t="str">
        <f t="shared" si="17"/>
        <v>MATHIAS</v>
      </c>
      <c r="H252" s="43" t="str">
        <f t="shared" si="18"/>
        <v>SALAS CHAVES</v>
      </c>
      <c r="I252" s="43" t="str">
        <f t="shared" si="19"/>
        <v>MATHIAS SALAS CHAVES</v>
      </c>
      <c r="J252" s="35" t="s">
        <v>2243</v>
      </c>
      <c r="K252" s="37">
        <v>8</v>
      </c>
      <c r="L252" s="37">
        <v>1</v>
      </c>
      <c r="M252" s="37" t="s">
        <v>1</v>
      </c>
    </row>
    <row r="253" spans="2:13" x14ac:dyDescent="0.25">
      <c r="B253" s="48">
        <v>250</v>
      </c>
      <c r="C253" s="38">
        <v>121040339</v>
      </c>
      <c r="D253" s="43" t="str">
        <f t="shared" si="15"/>
        <v>1-2104-0339</v>
      </c>
      <c r="E253" s="38" t="s">
        <v>194</v>
      </c>
      <c r="F253" s="43" t="str">
        <f t="shared" si="16"/>
        <v>IAN JOSUE</v>
      </c>
      <c r="G253" s="43" t="str">
        <f t="shared" si="17"/>
        <v>IAN</v>
      </c>
      <c r="H253" s="43" t="str">
        <f t="shared" si="18"/>
        <v>SANDOVAL MIRANDA</v>
      </c>
      <c r="I253" s="43" t="str">
        <f t="shared" si="19"/>
        <v>IAN SANDOVAL MIRANDA</v>
      </c>
      <c r="J253" s="35" t="s">
        <v>2243</v>
      </c>
      <c r="K253" s="37">
        <v>8</v>
      </c>
      <c r="L253" s="37">
        <v>1</v>
      </c>
      <c r="M253" s="37" t="s">
        <v>1</v>
      </c>
    </row>
    <row r="254" spans="2:13" x14ac:dyDescent="0.25">
      <c r="B254" s="48">
        <v>251</v>
      </c>
      <c r="C254" s="38">
        <v>121280449</v>
      </c>
      <c r="D254" s="43" t="str">
        <f t="shared" si="15"/>
        <v>1-2128-0449</v>
      </c>
      <c r="E254" s="38" t="s">
        <v>196</v>
      </c>
      <c r="F254" s="43" t="str">
        <f t="shared" si="16"/>
        <v>MATIAS</v>
      </c>
      <c r="G254" s="43" t="str">
        <f t="shared" si="17"/>
        <v>MATIAS</v>
      </c>
      <c r="H254" s="43" t="str">
        <f t="shared" si="18"/>
        <v>VARGAS DELGADO</v>
      </c>
      <c r="I254" s="43" t="str">
        <f t="shared" si="19"/>
        <v>MATIAS VARGAS DELGADO</v>
      </c>
      <c r="J254" s="35" t="s">
        <v>2243</v>
      </c>
      <c r="K254" s="37">
        <v>8</v>
      </c>
      <c r="L254" s="37">
        <v>1</v>
      </c>
      <c r="M254" s="37" t="s">
        <v>1</v>
      </c>
    </row>
    <row r="255" spans="2:13" x14ac:dyDescent="0.25">
      <c r="B255" s="46">
        <v>252</v>
      </c>
      <c r="C255" s="33">
        <v>402910919</v>
      </c>
      <c r="D255" s="43" t="str">
        <f t="shared" si="15"/>
        <v>4-0291-0919</v>
      </c>
      <c r="E255" s="38" t="s">
        <v>2198</v>
      </c>
      <c r="F255" s="43" t="str">
        <f t="shared" si="16"/>
        <v>ISAAC ANDREY</v>
      </c>
      <c r="G255" s="43" t="str">
        <f t="shared" si="17"/>
        <v>ISAAC</v>
      </c>
      <c r="H255" s="43" t="str">
        <f t="shared" si="18"/>
        <v>VINDAS HIDALGO</v>
      </c>
      <c r="I255" s="43" t="str">
        <f t="shared" si="19"/>
        <v>ISAAC VINDAS HIDALGO</v>
      </c>
      <c r="J255" s="35" t="s">
        <v>2243</v>
      </c>
      <c r="K255" s="37">
        <v>8</v>
      </c>
      <c r="L255" s="37">
        <v>1</v>
      </c>
      <c r="M255" s="37" t="s">
        <v>1</v>
      </c>
    </row>
    <row r="256" spans="2:13" x14ac:dyDescent="0.25">
      <c r="B256" s="48">
        <v>253</v>
      </c>
      <c r="C256" s="33">
        <v>209350594</v>
      </c>
      <c r="D256" s="43" t="str">
        <f t="shared" si="15"/>
        <v>2-0935-0594</v>
      </c>
      <c r="E256" s="38" t="s">
        <v>256</v>
      </c>
      <c r="F256" s="43" t="str">
        <f t="shared" si="16"/>
        <v>BRITANY DANIELA</v>
      </c>
      <c r="G256" s="43" t="str">
        <f t="shared" si="17"/>
        <v>BRITANY</v>
      </c>
      <c r="H256" s="43" t="str">
        <f t="shared" si="18"/>
        <v>ALVAREZ CAMPOS</v>
      </c>
      <c r="I256" s="43" t="str">
        <f t="shared" si="19"/>
        <v>BRITANY ALVAREZ CAMPOS</v>
      </c>
      <c r="J256" s="35" t="s">
        <v>2243</v>
      </c>
      <c r="K256" s="37">
        <v>8</v>
      </c>
      <c r="L256" s="37">
        <v>1</v>
      </c>
      <c r="M256" s="37" t="s">
        <v>0</v>
      </c>
    </row>
    <row r="257" spans="2:13" x14ac:dyDescent="0.25">
      <c r="B257" s="48">
        <v>254</v>
      </c>
      <c r="C257" s="38">
        <v>121250980</v>
      </c>
      <c r="D257" s="43" t="str">
        <f t="shared" si="15"/>
        <v>1-2125-0980</v>
      </c>
      <c r="E257" s="38" t="s">
        <v>198</v>
      </c>
      <c r="F257" s="43" t="str">
        <f t="shared" si="16"/>
        <v>FABIAN</v>
      </c>
      <c r="G257" s="43" t="str">
        <f t="shared" si="17"/>
        <v>FABIAN</v>
      </c>
      <c r="H257" s="43" t="str">
        <f t="shared" si="18"/>
        <v>ARIAS DELGADO</v>
      </c>
      <c r="I257" s="43" t="str">
        <f t="shared" si="19"/>
        <v>FABIAN ARIAS DELGADO</v>
      </c>
      <c r="J257" s="35" t="s">
        <v>2243</v>
      </c>
      <c r="K257" s="37">
        <v>8</v>
      </c>
      <c r="L257" s="37">
        <v>1</v>
      </c>
      <c r="M257" s="37" t="s">
        <v>0</v>
      </c>
    </row>
    <row r="258" spans="2:13" x14ac:dyDescent="0.25">
      <c r="B258" s="46">
        <v>255</v>
      </c>
      <c r="C258" s="33">
        <v>402880404</v>
      </c>
      <c r="D258" s="43" t="str">
        <f t="shared" si="15"/>
        <v>4-0288-0404</v>
      </c>
      <c r="E258" s="46" t="s">
        <v>490</v>
      </c>
      <c r="F258" s="43" t="str">
        <f t="shared" si="16"/>
        <v>DANNIER ALBERTO</v>
      </c>
      <c r="G258" s="43" t="str">
        <f t="shared" si="17"/>
        <v>DANNIER</v>
      </c>
      <c r="H258" s="43" t="str">
        <f t="shared" si="18"/>
        <v>CASCANTE SALMERON</v>
      </c>
      <c r="I258" s="43" t="str">
        <f t="shared" si="19"/>
        <v>DANNIER CASCANTE SALMERON</v>
      </c>
      <c r="J258" s="35" t="s">
        <v>2243</v>
      </c>
      <c r="K258" s="37">
        <v>8</v>
      </c>
      <c r="L258" s="37">
        <v>1</v>
      </c>
      <c r="M258" s="37" t="s">
        <v>0</v>
      </c>
    </row>
    <row r="259" spans="2:13" x14ac:dyDescent="0.25">
      <c r="B259" s="48">
        <v>256</v>
      </c>
      <c r="C259" s="33">
        <v>120950624</v>
      </c>
      <c r="D259" s="43" t="str">
        <f t="shared" si="15"/>
        <v>1-2095-0624</v>
      </c>
      <c r="E259" s="46" t="s">
        <v>199</v>
      </c>
      <c r="F259" s="43" t="str">
        <f t="shared" si="16"/>
        <v>BEBERLY ANN</v>
      </c>
      <c r="G259" s="43" t="str">
        <f t="shared" si="17"/>
        <v>BEBERLY</v>
      </c>
      <c r="H259" s="43" t="str">
        <f t="shared" si="18"/>
        <v>CHAVARRIA NUÑEZ</v>
      </c>
      <c r="I259" s="43" t="str">
        <f t="shared" si="19"/>
        <v>BEBERLY CHAVARRIA NUÑEZ</v>
      </c>
      <c r="J259" s="35" t="s">
        <v>2243</v>
      </c>
      <c r="K259" s="37">
        <v>8</v>
      </c>
      <c r="L259" s="37">
        <v>1</v>
      </c>
      <c r="M259" s="37" t="s">
        <v>0</v>
      </c>
    </row>
    <row r="260" spans="2:13" x14ac:dyDescent="0.25">
      <c r="B260" s="48">
        <v>257</v>
      </c>
      <c r="C260" s="38">
        <v>402900943</v>
      </c>
      <c r="D260" s="43" t="str">
        <f t="shared" ref="D260:D323" si="20">IF(LEN(C260)=9,_xlfn.CONCAT(MID(C260,1,1),"-",MID(C260,2,4),"-",MID(C260,6,4)),TEXT(C260,"000000000000"))</f>
        <v>4-0290-0943</v>
      </c>
      <c r="E260" s="38" t="s">
        <v>200</v>
      </c>
      <c r="F260" s="43" t="str">
        <f t="shared" si="16"/>
        <v>VALERI NAOMI</v>
      </c>
      <c r="G260" s="43" t="str">
        <f t="shared" si="17"/>
        <v>VALERI</v>
      </c>
      <c r="H260" s="43" t="str">
        <f t="shared" si="18"/>
        <v>GONZALEZ CASTILLO</v>
      </c>
      <c r="I260" s="43" t="str">
        <f t="shared" si="19"/>
        <v>VALERI GONZALEZ CASTILLO</v>
      </c>
      <c r="J260" s="35" t="s">
        <v>2243</v>
      </c>
      <c r="K260" s="37">
        <v>8</v>
      </c>
      <c r="L260" s="37">
        <v>1</v>
      </c>
      <c r="M260" s="37" t="s">
        <v>0</v>
      </c>
    </row>
    <row r="261" spans="2:13" x14ac:dyDescent="0.25">
      <c r="B261" s="46">
        <v>258</v>
      </c>
      <c r="C261" s="33">
        <v>209260418</v>
      </c>
      <c r="D261" s="43" t="str">
        <f t="shared" si="20"/>
        <v>2-0926-0418</v>
      </c>
      <c r="E261" s="46" t="s">
        <v>201</v>
      </c>
      <c r="F261" s="43" t="str">
        <f t="shared" ref="F261:F324" si="21">RIGHT(E261,LEN(E261)-SEARCH(" ",E261,SEARCH(" ",E261)+1))</f>
        <v>ANGEL JESUS</v>
      </c>
      <c r="G261" s="43" t="str">
        <f t="shared" ref="G261:G324" si="22">IFERROR(LEFT(F261,SEARCH(" ",F261,1)-1),F261)</f>
        <v>ANGEL</v>
      </c>
      <c r="H261" s="43" t="str">
        <f t="shared" ref="H261:H324" si="23">LEFT(E261,SEARCH(" ",E261,SEARCH(" ",E261)+1)-1)</f>
        <v>JIMENEZ HERNANDEZ</v>
      </c>
      <c r="I261" s="43" t="str">
        <f t="shared" ref="I261:I324" si="24">_xlfn.CONCAT(G261," ",H261)</f>
        <v>ANGEL JIMENEZ HERNANDEZ</v>
      </c>
      <c r="J261" s="35" t="s">
        <v>2243</v>
      </c>
      <c r="K261" s="37">
        <v>8</v>
      </c>
      <c r="L261" s="37">
        <v>1</v>
      </c>
      <c r="M261" s="37" t="s">
        <v>0</v>
      </c>
    </row>
    <row r="262" spans="2:13" x14ac:dyDescent="0.25">
      <c r="B262" s="48">
        <v>259</v>
      </c>
      <c r="C262" s="33">
        <v>209430929</v>
      </c>
      <c r="D262" s="43" t="str">
        <f t="shared" si="20"/>
        <v>2-0943-0929</v>
      </c>
      <c r="E262" s="46" t="s">
        <v>202</v>
      </c>
      <c r="F262" s="43" t="str">
        <f t="shared" si="21"/>
        <v>ISAAC JOSE</v>
      </c>
      <c r="G262" s="43" t="str">
        <f t="shared" si="22"/>
        <v>ISAAC</v>
      </c>
      <c r="H262" s="43" t="str">
        <f t="shared" si="23"/>
        <v>JIMENEZ RODRIGUEZ</v>
      </c>
      <c r="I262" s="43" t="str">
        <f t="shared" si="24"/>
        <v>ISAAC JIMENEZ RODRIGUEZ</v>
      </c>
      <c r="J262" s="35" t="s">
        <v>2243</v>
      </c>
      <c r="K262" s="37">
        <v>8</v>
      </c>
      <c r="L262" s="37">
        <v>1</v>
      </c>
      <c r="M262" s="37" t="s">
        <v>0</v>
      </c>
    </row>
    <row r="263" spans="2:13" x14ac:dyDescent="0.25">
      <c r="B263" s="48">
        <v>260</v>
      </c>
      <c r="C263" s="33">
        <v>209490185</v>
      </c>
      <c r="D263" s="43" t="str">
        <f t="shared" si="20"/>
        <v>2-0949-0185</v>
      </c>
      <c r="E263" s="46" t="s">
        <v>2199</v>
      </c>
      <c r="F263" s="43" t="str">
        <f t="shared" si="21"/>
        <v>ESTEBAN DAVID</v>
      </c>
      <c r="G263" s="43" t="str">
        <f t="shared" si="22"/>
        <v>ESTEBAN</v>
      </c>
      <c r="H263" s="43" t="str">
        <f t="shared" si="23"/>
        <v>LEON MONGE</v>
      </c>
      <c r="I263" s="43" t="str">
        <f t="shared" si="24"/>
        <v>ESTEBAN LEON MONGE</v>
      </c>
      <c r="J263" s="35" t="s">
        <v>2243</v>
      </c>
      <c r="K263" s="37">
        <v>8</v>
      </c>
      <c r="L263" s="37">
        <v>1</v>
      </c>
      <c r="M263" s="37" t="s">
        <v>0</v>
      </c>
    </row>
    <row r="264" spans="2:13" x14ac:dyDescent="0.25">
      <c r="B264" s="46">
        <v>261</v>
      </c>
      <c r="C264" s="33">
        <v>209390068</v>
      </c>
      <c r="D264" s="43" t="str">
        <f t="shared" si="20"/>
        <v>2-0939-0068</v>
      </c>
      <c r="E264" s="46" t="s">
        <v>203</v>
      </c>
      <c r="F264" s="43" t="str">
        <f t="shared" si="21"/>
        <v>DHANIER DARIO</v>
      </c>
      <c r="G264" s="43" t="str">
        <f t="shared" si="22"/>
        <v>DHANIER</v>
      </c>
      <c r="H264" s="43" t="str">
        <f t="shared" si="23"/>
        <v>MENA GOMEZ</v>
      </c>
      <c r="I264" s="43" t="str">
        <f t="shared" si="24"/>
        <v>DHANIER MENA GOMEZ</v>
      </c>
      <c r="J264" s="35" t="s">
        <v>2243</v>
      </c>
      <c r="K264" s="37">
        <v>8</v>
      </c>
      <c r="L264" s="37">
        <v>1</v>
      </c>
      <c r="M264" s="37" t="s">
        <v>0</v>
      </c>
    </row>
    <row r="265" spans="2:13" x14ac:dyDescent="0.25">
      <c r="B265" s="48">
        <v>262</v>
      </c>
      <c r="C265" s="33">
        <v>209480870</v>
      </c>
      <c r="D265" s="43" t="str">
        <f t="shared" si="20"/>
        <v>2-0948-0870</v>
      </c>
      <c r="E265" s="46" t="s">
        <v>204</v>
      </c>
      <c r="F265" s="43" t="str">
        <f t="shared" si="21"/>
        <v>JIMENA DE LOS ANGELES</v>
      </c>
      <c r="G265" s="43" t="str">
        <f t="shared" si="22"/>
        <v>JIMENA</v>
      </c>
      <c r="H265" s="43" t="str">
        <f t="shared" si="23"/>
        <v>ORTIZ ARAYA</v>
      </c>
      <c r="I265" s="43" t="str">
        <f t="shared" si="24"/>
        <v>JIMENA ORTIZ ARAYA</v>
      </c>
      <c r="J265" s="35" t="s">
        <v>2243</v>
      </c>
      <c r="K265" s="37">
        <v>8</v>
      </c>
      <c r="L265" s="37">
        <v>1</v>
      </c>
      <c r="M265" s="37" t="s">
        <v>0</v>
      </c>
    </row>
    <row r="266" spans="2:13" x14ac:dyDescent="0.25">
      <c r="B266" s="48">
        <v>263</v>
      </c>
      <c r="C266" s="38">
        <v>209330482</v>
      </c>
      <c r="D266" s="43" t="str">
        <f t="shared" si="20"/>
        <v>2-0933-0482</v>
      </c>
      <c r="E266" s="46" t="s">
        <v>205</v>
      </c>
      <c r="F266" s="43" t="str">
        <f t="shared" si="21"/>
        <v>ANGELO</v>
      </c>
      <c r="G266" s="43" t="str">
        <f t="shared" si="22"/>
        <v>ANGELO</v>
      </c>
      <c r="H266" s="43" t="str">
        <f t="shared" si="23"/>
        <v>SANCHEZ CAMPOS</v>
      </c>
      <c r="I266" s="43" t="str">
        <f t="shared" si="24"/>
        <v>ANGELO SANCHEZ CAMPOS</v>
      </c>
      <c r="J266" s="35" t="s">
        <v>2243</v>
      </c>
      <c r="K266" s="37">
        <v>8</v>
      </c>
      <c r="L266" s="37">
        <v>1</v>
      </c>
      <c r="M266" s="37" t="s">
        <v>0</v>
      </c>
    </row>
    <row r="267" spans="2:13" x14ac:dyDescent="0.25">
      <c r="B267" s="46">
        <v>264</v>
      </c>
      <c r="C267" s="39">
        <v>121990979</v>
      </c>
      <c r="D267" s="43" t="str">
        <f t="shared" si="20"/>
        <v>1-2199-0979</v>
      </c>
      <c r="E267" s="49" t="s">
        <v>313</v>
      </c>
      <c r="F267" s="43" t="str">
        <f t="shared" si="21"/>
        <v>SEBASTIAN JOSUE</v>
      </c>
      <c r="G267" s="43" t="str">
        <f t="shared" si="22"/>
        <v>SEBASTIAN</v>
      </c>
      <c r="H267" s="43" t="str">
        <f t="shared" si="23"/>
        <v>SEGURA GONZALEZ</v>
      </c>
      <c r="I267" s="43" t="str">
        <f t="shared" si="24"/>
        <v>SEBASTIAN SEGURA GONZALEZ</v>
      </c>
      <c r="J267" s="35" t="s">
        <v>2243</v>
      </c>
      <c r="K267" s="37">
        <v>8</v>
      </c>
      <c r="L267" s="37">
        <v>1</v>
      </c>
      <c r="M267" s="37" t="s">
        <v>0</v>
      </c>
    </row>
    <row r="268" spans="2:13" x14ac:dyDescent="0.25">
      <c r="B268" s="48">
        <v>265</v>
      </c>
      <c r="C268" s="33">
        <v>209470180</v>
      </c>
      <c r="D268" s="43" t="str">
        <f t="shared" si="20"/>
        <v>2-0947-0180</v>
      </c>
      <c r="E268" s="46" t="s">
        <v>206</v>
      </c>
      <c r="F268" s="43" t="str">
        <f t="shared" si="21"/>
        <v>LEONORA</v>
      </c>
      <c r="G268" s="43" t="str">
        <f t="shared" si="22"/>
        <v>LEONORA</v>
      </c>
      <c r="H268" s="43" t="str">
        <f t="shared" si="23"/>
        <v>SOLANO ARGUEDAS</v>
      </c>
      <c r="I268" s="43" t="str">
        <f t="shared" si="24"/>
        <v>LEONORA SOLANO ARGUEDAS</v>
      </c>
      <c r="J268" s="35" t="s">
        <v>2243</v>
      </c>
      <c r="K268" s="37">
        <v>8</v>
      </c>
      <c r="L268" s="37">
        <v>1</v>
      </c>
      <c r="M268" s="37" t="s">
        <v>0</v>
      </c>
    </row>
    <row r="269" spans="2:13" x14ac:dyDescent="0.25">
      <c r="B269" s="48">
        <v>266</v>
      </c>
      <c r="C269" s="38">
        <v>402940399</v>
      </c>
      <c r="D269" s="43" t="str">
        <f t="shared" si="20"/>
        <v>4-0294-0399</v>
      </c>
      <c r="E269" s="38" t="s">
        <v>207</v>
      </c>
      <c r="F269" s="43" t="str">
        <f t="shared" si="21"/>
        <v>KEVIN JOHEL</v>
      </c>
      <c r="G269" s="43" t="str">
        <f t="shared" si="22"/>
        <v>KEVIN</v>
      </c>
      <c r="H269" s="43" t="str">
        <f t="shared" si="23"/>
        <v>UMAÑA CARBALLO</v>
      </c>
      <c r="I269" s="43" t="str">
        <f t="shared" si="24"/>
        <v>KEVIN UMAÑA CARBALLO</v>
      </c>
      <c r="J269" s="35" t="s">
        <v>2243</v>
      </c>
      <c r="K269" s="37">
        <v>8</v>
      </c>
      <c r="L269" s="37">
        <v>1</v>
      </c>
      <c r="M269" s="37" t="s">
        <v>0</v>
      </c>
    </row>
    <row r="270" spans="2:13" x14ac:dyDescent="0.25">
      <c r="B270" s="46">
        <v>267</v>
      </c>
      <c r="C270" s="33">
        <v>209420243</v>
      </c>
      <c r="D270" s="43" t="str">
        <f t="shared" si="20"/>
        <v>2-0942-0243</v>
      </c>
      <c r="E270" s="46" t="s">
        <v>209</v>
      </c>
      <c r="F270" s="43" t="str">
        <f t="shared" si="21"/>
        <v>KENNETH ANDRES</v>
      </c>
      <c r="G270" s="43" t="str">
        <f t="shared" si="22"/>
        <v>KENNETH</v>
      </c>
      <c r="H270" s="43" t="str">
        <f t="shared" si="23"/>
        <v>ZUÑIGA MORA</v>
      </c>
      <c r="I270" s="43" t="str">
        <f t="shared" si="24"/>
        <v>KENNETH ZUÑIGA MORA</v>
      </c>
      <c r="J270" s="35" t="s">
        <v>2243</v>
      </c>
      <c r="K270" s="37">
        <v>8</v>
      </c>
      <c r="L270" s="37">
        <v>1</v>
      </c>
      <c r="M270" s="37" t="s">
        <v>0</v>
      </c>
    </row>
    <row r="271" spans="2:13" x14ac:dyDescent="0.25">
      <c r="B271" s="48">
        <v>268</v>
      </c>
      <c r="C271" s="38">
        <v>402910888</v>
      </c>
      <c r="D271" s="43" t="str">
        <f t="shared" si="20"/>
        <v>4-0291-0888</v>
      </c>
      <c r="E271" s="38" t="s">
        <v>211</v>
      </c>
      <c r="F271" s="43" t="str">
        <f t="shared" si="21"/>
        <v>CESIA</v>
      </c>
      <c r="G271" s="43" t="str">
        <f t="shared" si="22"/>
        <v>CESIA</v>
      </c>
      <c r="H271" s="43" t="str">
        <f t="shared" si="23"/>
        <v>AGUILAR LEON</v>
      </c>
      <c r="I271" s="43" t="str">
        <f t="shared" si="24"/>
        <v>CESIA AGUILAR LEON</v>
      </c>
      <c r="J271" s="35" t="s">
        <v>2243</v>
      </c>
      <c r="K271" s="37">
        <v>8</v>
      </c>
      <c r="L271" s="37">
        <v>2</v>
      </c>
      <c r="M271" s="37" t="s">
        <v>1</v>
      </c>
    </row>
    <row r="272" spans="2:13" x14ac:dyDescent="0.25">
      <c r="B272" s="48">
        <v>269</v>
      </c>
      <c r="C272" s="33">
        <v>209400876</v>
      </c>
      <c r="D272" s="43" t="str">
        <f t="shared" si="20"/>
        <v>2-0940-0876</v>
      </c>
      <c r="E272" s="46" t="s">
        <v>212</v>
      </c>
      <c r="F272" s="43" t="str">
        <f t="shared" si="21"/>
        <v>DANNA YAILYN</v>
      </c>
      <c r="G272" s="43" t="str">
        <f t="shared" si="22"/>
        <v>DANNA</v>
      </c>
      <c r="H272" s="43" t="str">
        <f t="shared" si="23"/>
        <v>ARAYA SANCHEZ</v>
      </c>
      <c r="I272" s="43" t="str">
        <f t="shared" si="24"/>
        <v>DANNA ARAYA SANCHEZ</v>
      </c>
      <c r="J272" s="35" t="s">
        <v>2243</v>
      </c>
      <c r="K272" s="37">
        <v>8</v>
      </c>
      <c r="L272" s="37">
        <v>2</v>
      </c>
      <c r="M272" s="37" t="s">
        <v>1</v>
      </c>
    </row>
    <row r="273" spans="2:13" x14ac:dyDescent="0.25">
      <c r="B273" s="46">
        <v>270</v>
      </c>
      <c r="C273" s="38">
        <v>121120009</v>
      </c>
      <c r="D273" s="43" t="str">
        <f t="shared" si="20"/>
        <v>1-2112-0009</v>
      </c>
      <c r="E273" s="38" t="s">
        <v>183</v>
      </c>
      <c r="F273" s="43" t="str">
        <f t="shared" si="21"/>
        <v>JENHSEN SHAWNELL</v>
      </c>
      <c r="G273" s="43" t="str">
        <f t="shared" si="22"/>
        <v>JENHSEN</v>
      </c>
      <c r="H273" s="43" t="str">
        <f t="shared" si="23"/>
        <v>BARQUERO MEJIAS</v>
      </c>
      <c r="I273" s="43" t="str">
        <f t="shared" si="24"/>
        <v>JENHSEN BARQUERO MEJIAS</v>
      </c>
      <c r="J273" s="35" t="s">
        <v>2243</v>
      </c>
      <c r="K273" s="37">
        <v>8</v>
      </c>
      <c r="L273" s="37">
        <v>2</v>
      </c>
      <c r="M273" s="37" t="s">
        <v>1</v>
      </c>
    </row>
    <row r="274" spans="2:13" x14ac:dyDescent="0.25">
      <c r="B274" s="48">
        <v>271</v>
      </c>
      <c r="C274" s="38">
        <v>121260947</v>
      </c>
      <c r="D274" s="43" t="str">
        <f t="shared" si="20"/>
        <v>1-2126-0947</v>
      </c>
      <c r="E274" s="38" t="s">
        <v>213</v>
      </c>
      <c r="F274" s="43" t="str">
        <f t="shared" si="21"/>
        <v>SEBASTIAN</v>
      </c>
      <c r="G274" s="43" t="str">
        <f t="shared" si="22"/>
        <v>SEBASTIAN</v>
      </c>
      <c r="H274" s="43" t="str">
        <f t="shared" si="23"/>
        <v>BARRANTES ESQUIVEL</v>
      </c>
      <c r="I274" s="43" t="str">
        <f t="shared" si="24"/>
        <v>SEBASTIAN BARRANTES ESQUIVEL</v>
      </c>
      <c r="J274" s="35" t="s">
        <v>2243</v>
      </c>
      <c r="K274" s="37">
        <v>8</v>
      </c>
      <c r="L274" s="37">
        <v>2</v>
      </c>
      <c r="M274" s="37" t="s">
        <v>1</v>
      </c>
    </row>
    <row r="275" spans="2:13" x14ac:dyDescent="0.25">
      <c r="B275" s="48">
        <v>272</v>
      </c>
      <c r="C275" s="38">
        <v>209470224</v>
      </c>
      <c r="D275" s="43" t="str">
        <f t="shared" si="20"/>
        <v>2-0947-0224</v>
      </c>
      <c r="E275" s="38" t="s">
        <v>214</v>
      </c>
      <c r="F275" s="43" t="str">
        <f t="shared" si="21"/>
        <v>SOFIA MELISSA</v>
      </c>
      <c r="G275" s="43" t="str">
        <f t="shared" si="22"/>
        <v>SOFIA</v>
      </c>
      <c r="H275" s="43" t="str">
        <f t="shared" si="23"/>
        <v>CORDOBA SOLANO</v>
      </c>
      <c r="I275" s="43" t="str">
        <f t="shared" si="24"/>
        <v>SOFIA CORDOBA SOLANO</v>
      </c>
      <c r="J275" s="35" t="s">
        <v>2243</v>
      </c>
      <c r="K275" s="37">
        <v>8</v>
      </c>
      <c r="L275" s="37">
        <v>2</v>
      </c>
      <c r="M275" s="37" t="s">
        <v>1</v>
      </c>
    </row>
    <row r="276" spans="2:13" x14ac:dyDescent="0.25">
      <c r="B276" s="46">
        <v>273</v>
      </c>
      <c r="C276" s="33">
        <v>121170588</v>
      </c>
      <c r="D276" s="43" t="str">
        <f t="shared" si="20"/>
        <v>1-2117-0588</v>
      </c>
      <c r="E276" s="46" t="s">
        <v>215</v>
      </c>
      <c r="F276" s="43" t="str">
        <f t="shared" si="21"/>
        <v>BRYAN BAREL</v>
      </c>
      <c r="G276" s="43" t="str">
        <f t="shared" si="22"/>
        <v>BRYAN</v>
      </c>
      <c r="H276" s="43" t="str">
        <f t="shared" si="23"/>
        <v>HERNANDEZ CALVO</v>
      </c>
      <c r="I276" s="43" t="str">
        <f t="shared" si="24"/>
        <v>BRYAN HERNANDEZ CALVO</v>
      </c>
      <c r="J276" s="35" t="s">
        <v>2243</v>
      </c>
      <c r="K276" s="37">
        <v>8</v>
      </c>
      <c r="L276" s="37">
        <v>2</v>
      </c>
      <c r="M276" s="37" t="s">
        <v>1</v>
      </c>
    </row>
    <row r="277" spans="2:13" x14ac:dyDescent="0.25">
      <c r="B277" s="48">
        <v>274</v>
      </c>
      <c r="C277" s="33">
        <v>402900498</v>
      </c>
      <c r="D277" s="43" t="str">
        <f t="shared" si="20"/>
        <v>4-0290-0498</v>
      </c>
      <c r="E277" s="46" t="s">
        <v>2200</v>
      </c>
      <c r="F277" s="43" t="str">
        <f t="shared" si="21"/>
        <v>DYLAN</v>
      </c>
      <c r="G277" s="43" t="str">
        <f t="shared" si="22"/>
        <v>DYLAN</v>
      </c>
      <c r="H277" s="43" t="str">
        <f t="shared" si="23"/>
        <v>MUÑOZ ULATE</v>
      </c>
      <c r="I277" s="43" t="str">
        <f t="shared" si="24"/>
        <v>DYLAN MUÑOZ ULATE</v>
      </c>
      <c r="J277" s="35" t="s">
        <v>2243</v>
      </c>
      <c r="K277" s="37">
        <v>8</v>
      </c>
      <c r="L277" s="37">
        <v>2</v>
      </c>
      <c r="M277" s="37" t="s">
        <v>1</v>
      </c>
    </row>
    <row r="278" spans="2:13" x14ac:dyDescent="0.25">
      <c r="B278" s="48">
        <v>275</v>
      </c>
      <c r="C278" s="33">
        <v>402910855</v>
      </c>
      <c r="D278" s="43" t="str">
        <f t="shared" si="20"/>
        <v>4-0291-0855</v>
      </c>
      <c r="E278" s="46" t="s">
        <v>216</v>
      </c>
      <c r="F278" s="43" t="str">
        <f t="shared" si="21"/>
        <v>SHARON SOFIA</v>
      </c>
      <c r="G278" s="43" t="str">
        <f t="shared" si="22"/>
        <v>SHARON</v>
      </c>
      <c r="H278" s="43" t="str">
        <f t="shared" si="23"/>
        <v>NUÑEZ DURAN</v>
      </c>
      <c r="I278" s="43" t="str">
        <f t="shared" si="24"/>
        <v>SHARON NUÑEZ DURAN</v>
      </c>
      <c r="J278" s="35" t="s">
        <v>2243</v>
      </c>
      <c r="K278" s="37">
        <v>8</v>
      </c>
      <c r="L278" s="37">
        <v>2</v>
      </c>
      <c r="M278" s="37" t="s">
        <v>1</v>
      </c>
    </row>
    <row r="279" spans="2:13" x14ac:dyDescent="0.25">
      <c r="B279" s="46">
        <v>276</v>
      </c>
      <c r="C279" s="33">
        <v>402920217</v>
      </c>
      <c r="D279" s="43" t="str">
        <f t="shared" si="20"/>
        <v>4-0292-0217</v>
      </c>
      <c r="E279" s="46" t="s">
        <v>217</v>
      </c>
      <c r="F279" s="43" t="str">
        <f t="shared" si="21"/>
        <v>ASHLEY MARIA</v>
      </c>
      <c r="G279" s="43" t="str">
        <f t="shared" si="22"/>
        <v>ASHLEY</v>
      </c>
      <c r="H279" s="43" t="str">
        <f t="shared" si="23"/>
        <v>PORTUGUEZ ULATE</v>
      </c>
      <c r="I279" s="43" t="str">
        <f t="shared" si="24"/>
        <v>ASHLEY PORTUGUEZ ULATE</v>
      </c>
      <c r="J279" s="35" t="s">
        <v>2243</v>
      </c>
      <c r="K279" s="37">
        <v>8</v>
      </c>
      <c r="L279" s="37">
        <v>2</v>
      </c>
      <c r="M279" s="37" t="s">
        <v>1</v>
      </c>
    </row>
    <row r="280" spans="2:13" x14ac:dyDescent="0.25">
      <c r="B280" s="48">
        <v>277</v>
      </c>
      <c r="C280" s="38">
        <v>121190758</v>
      </c>
      <c r="D280" s="43" t="str">
        <f t="shared" si="20"/>
        <v>1-2119-0758</v>
      </c>
      <c r="E280" s="38" t="s">
        <v>218</v>
      </c>
      <c r="F280" s="43" t="str">
        <f t="shared" si="21"/>
        <v>ROLANDO JOSE</v>
      </c>
      <c r="G280" s="43" t="str">
        <f t="shared" si="22"/>
        <v>ROLANDO</v>
      </c>
      <c r="H280" s="43" t="str">
        <f t="shared" si="23"/>
        <v>RODRIGUEZ HERRERA</v>
      </c>
      <c r="I280" s="43" t="str">
        <f t="shared" si="24"/>
        <v>ROLANDO RODRIGUEZ HERRERA</v>
      </c>
      <c r="J280" s="35" t="s">
        <v>2243</v>
      </c>
      <c r="K280" s="37">
        <v>8</v>
      </c>
      <c r="L280" s="37">
        <v>2</v>
      </c>
      <c r="M280" s="37" t="s">
        <v>1</v>
      </c>
    </row>
    <row r="281" spans="2:13" x14ac:dyDescent="0.25">
      <c r="B281" s="48">
        <v>278</v>
      </c>
      <c r="C281" s="33">
        <v>402930474</v>
      </c>
      <c r="D281" s="43" t="str">
        <f t="shared" si="20"/>
        <v>4-0293-0474</v>
      </c>
      <c r="E281" s="39" t="s">
        <v>219</v>
      </c>
      <c r="F281" s="43" t="str">
        <f t="shared" si="21"/>
        <v>BREANCI DAVID</v>
      </c>
      <c r="G281" s="43" t="str">
        <f t="shared" si="22"/>
        <v>BREANCI</v>
      </c>
      <c r="H281" s="43" t="str">
        <f t="shared" si="23"/>
        <v>SALAS ESQUIVEL</v>
      </c>
      <c r="I281" s="43" t="str">
        <f t="shared" si="24"/>
        <v>BREANCI SALAS ESQUIVEL</v>
      </c>
      <c r="J281" s="35" t="s">
        <v>2243</v>
      </c>
      <c r="K281" s="37">
        <v>8</v>
      </c>
      <c r="L281" s="37">
        <v>2</v>
      </c>
      <c r="M281" s="37" t="s">
        <v>1</v>
      </c>
    </row>
    <row r="282" spans="2:13" x14ac:dyDescent="0.25">
      <c r="B282" s="46">
        <v>279</v>
      </c>
      <c r="C282" s="33">
        <v>209460052</v>
      </c>
      <c r="D282" s="43" t="str">
        <f t="shared" si="20"/>
        <v>2-0946-0052</v>
      </c>
      <c r="E282" s="46" t="s">
        <v>220</v>
      </c>
      <c r="F282" s="43" t="str">
        <f t="shared" si="21"/>
        <v>ARIANNA</v>
      </c>
      <c r="G282" s="43" t="str">
        <f t="shared" si="22"/>
        <v>ARIANNA</v>
      </c>
      <c r="H282" s="43" t="str">
        <f t="shared" si="23"/>
        <v>SEGURA ALFARO</v>
      </c>
      <c r="I282" s="43" t="str">
        <f t="shared" si="24"/>
        <v>ARIANNA SEGURA ALFARO</v>
      </c>
      <c r="J282" s="35" t="s">
        <v>2243</v>
      </c>
      <c r="K282" s="37">
        <v>8</v>
      </c>
      <c r="L282" s="37">
        <v>2</v>
      </c>
      <c r="M282" s="37" t="s">
        <v>1</v>
      </c>
    </row>
    <row r="283" spans="2:13" x14ac:dyDescent="0.25">
      <c r="B283" s="48">
        <v>280</v>
      </c>
      <c r="C283" s="33">
        <v>402920434</v>
      </c>
      <c r="D283" s="43" t="str">
        <f t="shared" si="20"/>
        <v>4-0292-0434</v>
      </c>
      <c r="E283" s="46" t="s">
        <v>221</v>
      </c>
      <c r="F283" s="43" t="str">
        <f t="shared" si="21"/>
        <v>IVAN DAVID</v>
      </c>
      <c r="G283" s="43" t="str">
        <f t="shared" si="22"/>
        <v>IVAN</v>
      </c>
      <c r="H283" s="43" t="str">
        <f t="shared" si="23"/>
        <v>VARGAS ESQUIVEL</v>
      </c>
      <c r="I283" s="43" t="str">
        <f t="shared" si="24"/>
        <v>IVAN VARGAS ESQUIVEL</v>
      </c>
      <c r="J283" s="35" t="s">
        <v>2243</v>
      </c>
      <c r="K283" s="37">
        <v>8</v>
      </c>
      <c r="L283" s="37">
        <v>2</v>
      </c>
      <c r="M283" s="37" t="s">
        <v>1</v>
      </c>
    </row>
    <row r="284" spans="2:13" x14ac:dyDescent="0.25">
      <c r="B284" s="48">
        <v>281</v>
      </c>
      <c r="C284" s="38">
        <v>504920958</v>
      </c>
      <c r="D284" s="43" t="str">
        <f t="shared" si="20"/>
        <v>5-0492-0958</v>
      </c>
      <c r="E284" s="38" t="s">
        <v>222</v>
      </c>
      <c r="F284" s="43" t="str">
        <f t="shared" si="21"/>
        <v>KENDAL DANIEL</v>
      </c>
      <c r="G284" s="43" t="str">
        <f t="shared" si="22"/>
        <v>KENDAL</v>
      </c>
      <c r="H284" s="43" t="str">
        <f t="shared" si="23"/>
        <v>WATSON CORTES</v>
      </c>
      <c r="I284" s="43" t="str">
        <f t="shared" si="24"/>
        <v>KENDAL WATSON CORTES</v>
      </c>
      <c r="J284" s="35" t="s">
        <v>2243</v>
      </c>
      <c r="K284" s="37">
        <v>8</v>
      </c>
      <c r="L284" s="37">
        <v>2</v>
      </c>
      <c r="M284" s="37" t="s">
        <v>1</v>
      </c>
    </row>
    <row r="285" spans="2:13" x14ac:dyDescent="0.25">
      <c r="B285" s="46">
        <v>282</v>
      </c>
      <c r="C285" s="33">
        <v>209400135</v>
      </c>
      <c r="D285" s="43" t="str">
        <f t="shared" si="20"/>
        <v>2-0940-0135</v>
      </c>
      <c r="E285" s="46" t="s">
        <v>224</v>
      </c>
      <c r="F285" s="43" t="str">
        <f t="shared" si="21"/>
        <v>VALENTINA</v>
      </c>
      <c r="G285" s="43" t="str">
        <f t="shared" si="22"/>
        <v>VALENTINA</v>
      </c>
      <c r="H285" s="43" t="str">
        <f t="shared" si="23"/>
        <v>ALVAREZ ARAYA</v>
      </c>
      <c r="I285" s="43" t="str">
        <f t="shared" si="24"/>
        <v>VALENTINA ALVAREZ ARAYA</v>
      </c>
      <c r="J285" s="35" t="s">
        <v>2243</v>
      </c>
      <c r="K285" s="37">
        <v>8</v>
      </c>
      <c r="L285" s="37">
        <v>2</v>
      </c>
      <c r="M285" s="37" t="s">
        <v>0</v>
      </c>
    </row>
    <row r="286" spans="2:13" x14ac:dyDescent="0.25">
      <c r="B286" s="48">
        <v>283</v>
      </c>
      <c r="C286" s="33">
        <v>209520711</v>
      </c>
      <c r="D286" s="43" t="str">
        <f t="shared" si="20"/>
        <v>2-0952-0711</v>
      </c>
      <c r="E286" s="46" t="s">
        <v>225</v>
      </c>
      <c r="F286" s="43" t="str">
        <f t="shared" si="21"/>
        <v>CESAR JOSUE</v>
      </c>
      <c r="G286" s="43" t="str">
        <f t="shared" si="22"/>
        <v>CESAR</v>
      </c>
      <c r="H286" s="43" t="str">
        <f t="shared" si="23"/>
        <v>ARIAS SANDOVAL</v>
      </c>
      <c r="I286" s="43" t="str">
        <f t="shared" si="24"/>
        <v>CESAR ARIAS SANDOVAL</v>
      </c>
      <c r="J286" s="35" t="s">
        <v>2243</v>
      </c>
      <c r="K286" s="37">
        <v>8</v>
      </c>
      <c r="L286" s="37">
        <v>2</v>
      </c>
      <c r="M286" s="37" t="s">
        <v>0</v>
      </c>
    </row>
    <row r="287" spans="2:13" x14ac:dyDescent="0.25">
      <c r="B287" s="48">
        <v>284</v>
      </c>
      <c r="C287" s="33">
        <v>209480258</v>
      </c>
      <c r="D287" s="43" t="str">
        <f t="shared" si="20"/>
        <v>2-0948-0258</v>
      </c>
      <c r="E287" s="46" t="s">
        <v>226</v>
      </c>
      <c r="F287" s="43" t="str">
        <f t="shared" si="21"/>
        <v>ARIANA VALERIA</v>
      </c>
      <c r="G287" s="43" t="str">
        <f t="shared" si="22"/>
        <v>ARIANA</v>
      </c>
      <c r="H287" s="43" t="str">
        <f t="shared" si="23"/>
        <v>BRAVO OVIEDO</v>
      </c>
      <c r="I287" s="43" t="str">
        <f t="shared" si="24"/>
        <v>ARIANA BRAVO OVIEDO</v>
      </c>
      <c r="J287" s="35" t="s">
        <v>2243</v>
      </c>
      <c r="K287" s="37">
        <v>8</v>
      </c>
      <c r="L287" s="37">
        <v>2</v>
      </c>
      <c r="M287" s="37" t="s">
        <v>0</v>
      </c>
    </row>
    <row r="288" spans="2:13" x14ac:dyDescent="0.25">
      <c r="B288" s="46">
        <v>285</v>
      </c>
      <c r="C288" s="33">
        <v>209490265</v>
      </c>
      <c r="D288" s="43" t="str">
        <f t="shared" si="20"/>
        <v>2-0949-0265</v>
      </c>
      <c r="E288" s="46" t="s">
        <v>227</v>
      </c>
      <c r="F288" s="43" t="str">
        <f t="shared" si="21"/>
        <v>JESUS ADRIAN</v>
      </c>
      <c r="G288" s="43" t="str">
        <f t="shared" si="22"/>
        <v>JESUS</v>
      </c>
      <c r="H288" s="43" t="str">
        <f t="shared" si="23"/>
        <v>CHAVES BADILLA</v>
      </c>
      <c r="I288" s="43" t="str">
        <f t="shared" si="24"/>
        <v>JESUS CHAVES BADILLA</v>
      </c>
      <c r="J288" s="35" t="s">
        <v>2243</v>
      </c>
      <c r="K288" s="37">
        <v>8</v>
      </c>
      <c r="L288" s="37">
        <v>2</v>
      </c>
      <c r="M288" s="37" t="s">
        <v>0</v>
      </c>
    </row>
    <row r="289" spans="2:13" x14ac:dyDescent="0.25">
      <c r="B289" s="48">
        <v>286</v>
      </c>
      <c r="C289" s="38">
        <v>402920398</v>
      </c>
      <c r="D289" s="43" t="str">
        <f t="shared" si="20"/>
        <v>4-0292-0398</v>
      </c>
      <c r="E289" s="38" t="s">
        <v>228</v>
      </c>
      <c r="F289" s="43" t="str">
        <f t="shared" si="21"/>
        <v>KEYLOR ANDRES</v>
      </c>
      <c r="G289" s="43" t="str">
        <f t="shared" si="22"/>
        <v>KEYLOR</v>
      </c>
      <c r="H289" s="43" t="str">
        <f t="shared" si="23"/>
        <v>ESQUIVEL MONTERO</v>
      </c>
      <c r="I289" s="43" t="str">
        <f t="shared" si="24"/>
        <v>KEYLOR ESQUIVEL MONTERO</v>
      </c>
      <c r="J289" s="35" t="s">
        <v>2243</v>
      </c>
      <c r="K289" s="37">
        <v>8</v>
      </c>
      <c r="L289" s="37">
        <v>2</v>
      </c>
      <c r="M289" s="37" t="s">
        <v>0</v>
      </c>
    </row>
    <row r="290" spans="2:13" x14ac:dyDescent="0.25">
      <c r="B290" s="48">
        <v>287</v>
      </c>
      <c r="C290" s="38">
        <v>209420346</v>
      </c>
      <c r="D290" s="43" t="str">
        <f t="shared" si="20"/>
        <v>2-0942-0346</v>
      </c>
      <c r="E290" s="38" t="s">
        <v>229</v>
      </c>
      <c r="F290" s="43" t="str">
        <f t="shared" si="21"/>
        <v>JOSE DANIEL</v>
      </c>
      <c r="G290" s="43" t="str">
        <f t="shared" si="22"/>
        <v>JOSE</v>
      </c>
      <c r="H290" s="43" t="str">
        <f t="shared" si="23"/>
        <v>GONZALEZ CESPEDES</v>
      </c>
      <c r="I290" s="43" t="str">
        <f t="shared" si="24"/>
        <v>JOSE GONZALEZ CESPEDES</v>
      </c>
      <c r="J290" s="35" t="s">
        <v>2243</v>
      </c>
      <c r="K290" s="37">
        <v>8</v>
      </c>
      <c r="L290" s="37">
        <v>2</v>
      </c>
      <c r="M290" s="37" t="s">
        <v>0</v>
      </c>
    </row>
    <row r="291" spans="2:13" x14ac:dyDescent="0.25">
      <c r="B291" s="46">
        <v>288</v>
      </c>
      <c r="C291" s="38">
        <v>402940358</v>
      </c>
      <c r="D291" s="43" t="str">
        <f t="shared" si="20"/>
        <v>4-0294-0358</v>
      </c>
      <c r="E291" s="38" t="s">
        <v>230</v>
      </c>
      <c r="F291" s="43" t="str">
        <f t="shared" si="21"/>
        <v>MARIANGEL</v>
      </c>
      <c r="G291" s="43" t="str">
        <f t="shared" si="22"/>
        <v>MARIANGEL</v>
      </c>
      <c r="H291" s="43" t="str">
        <f t="shared" si="23"/>
        <v>MELENDEZ FLORES</v>
      </c>
      <c r="I291" s="43" t="str">
        <f t="shared" si="24"/>
        <v>MARIANGEL MELENDEZ FLORES</v>
      </c>
      <c r="J291" s="35" t="s">
        <v>2243</v>
      </c>
      <c r="K291" s="37">
        <v>8</v>
      </c>
      <c r="L291" s="37">
        <v>2</v>
      </c>
      <c r="M291" s="37" t="s">
        <v>0</v>
      </c>
    </row>
    <row r="292" spans="2:13" x14ac:dyDescent="0.25">
      <c r="B292" s="48">
        <v>289</v>
      </c>
      <c r="C292" s="38">
        <v>402940191</v>
      </c>
      <c r="D292" s="43" t="str">
        <f t="shared" si="20"/>
        <v>4-0294-0191</v>
      </c>
      <c r="E292" s="38" t="s">
        <v>231</v>
      </c>
      <c r="F292" s="43" t="str">
        <f t="shared" si="21"/>
        <v>JIMENA</v>
      </c>
      <c r="G292" s="43" t="str">
        <f t="shared" si="22"/>
        <v>JIMENA</v>
      </c>
      <c r="H292" s="43" t="str">
        <f t="shared" si="23"/>
        <v>MORA SANDI</v>
      </c>
      <c r="I292" s="43" t="str">
        <f t="shared" si="24"/>
        <v>JIMENA MORA SANDI</v>
      </c>
      <c r="J292" s="35" t="s">
        <v>2243</v>
      </c>
      <c r="K292" s="37">
        <v>8</v>
      </c>
      <c r="L292" s="37">
        <v>2</v>
      </c>
      <c r="M292" s="37" t="s">
        <v>0</v>
      </c>
    </row>
    <row r="293" spans="2:13" x14ac:dyDescent="0.25">
      <c r="B293" s="48">
        <v>290</v>
      </c>
      <c r="C293" s="38">
        <v>402900332</v>
      </c>
      <c r="D293" s="43" t="str">
        <f t="shared" si="20"/>
        <v>4-0290-0332</v>
      </c>
      <c r="E293" s="38" t="s">
        <v>232</v>
      </c>
      <c r="F293" s="43" t="str">
        <f t="shared" si="21"/>
        <v>SOLANSH ABIGAIL</v>
      </c>
      <c r="G293" s="43" t="str">
        <f t="shared" si="22"/>
        <v>SOLANSH</v>
      </c>
      <c r="H293" s="43" t="str">
        <f t="shared" si="23"/>
        <v>MORA ZUÑIGA</v>
      </c>
      <c r="I293" s="43" t="str">
        <f t="shared" si="24"/>
        <v>SOLANSH MORA ZUÑIGA</v>
      </c>
      <c r="J293" s="35" t="s">
        <v>2243</v>
      </c>
      <c r="K293" s="37">
        <v>8</v>
      </c>
      <c r="L293" s="37">
        <v>2</v>
      </c>
      <c r="M293" s="37" t="s">
        <v>0</v>
      </c>
    </row>
    <row r="294" spans="2:13" x14ac:dyDescent="0.25">
      <c r="B294" s="46">
        <v>291</v>
      </c>
      <c r="C294" s="33">
        <v>402920095</v>
      </c>
      <c r="D294" s="43" t="str">
        <f t="shared" si="20"/>
        <v>4-0292-0095</v>
      </c>
      <c r="E294" s="33" t="s">
        <v>233</v>
      </c>
      <c r="F294" s="43" t="str">
        <f t="shared" si="21"/>
        <v>ANDREK SANTIAGO</v>
      </c>
      <c r="G294" s="43" t="str">
        <f t="shared" si="22"/>
        <v>ANDREK</v>
      </c>
      <c r="H294" s="43" t="str">
        <f t="shared" si="23"/>
        <v>OVIEDO ALFARO</v>
      </c>
      <c r="I294" s="43" t="str">
        <f t="shared" si="24"/>
        <v>ANDREK OVIEDO ALFARO</v>
      </c>
      <c r="J294" s="35" t="s">
        <v>2243</v>
      </c>
      <c r="K294" s="37">
        <v>8</v>
      </c>
      <c r="L294" s="37">
        <v>2</v>
      </c>
      <c r="M294" s="37" t="s">
        <v>0</v>
      </c>
    </row>
    <row r="295" spans="2:13" x14ac:dyDescent="0.25">
      <c r="B295" s="48">
        <v>292</v>
      </c>
      <c r="C295" s="38">
        <v>120780969</v>
      </c>
      <c r="D295" s="43" t="str">
        <f t="shared" si="20"/>
        <v>1-2078-0969</v>
      </c>
      <c r="E295" s="38" t="s">
        <v>234</v>
      </c>
      <c r="F295" s="43" t="str">
        <f t="shared" si="21"/>
        <v>EMERRY MATHIAS</v>
      </c>
      <c r="G295" s="43" t="str">
        <f t="shared" si="22"/>
        <v>EMERRY</v>
      </c>
      <c r="H295" s="43" t="str">
        <f t="shared" si="23"/>
        <v>REYES RAMIREZ</v>
      </c>
      <c r="I295" s="43" t="str">
        <f t="shared" si="24"/>
        <v>EMERRY REYES RAMIREZ</v>
      </c>
      <c r="J295" s="35" t="s">
        <v>2243</v>
      </c>
      <c r="K295" s="37">
        <v>8</v>
      </c>
      <c r="L295" s="37">
        <v>2</v>
      </c>
      <c r="M295" s="37" t="s">
        <v>0</v>
      </c>
    </row>
    <row r="296" spans="2:13" x14ac:dyDescent="0.25">
      <c r="B296" s="48">
        <v>293</v>
      </c>
      <c r="C296" s="38">
        <v>402930510</v>
      </c>
      <c r="D296" s="43" t="str">
        <f t="shared" si="20"/>
        <v>4-0293-0510</v>
      </c>
      <c r="E296" s="38" t="s">
        <v>235</v>
      </c>
      <c r="F296" s="43" t="str">
        <f t="shared" si="21"/>
        <v>DONOVAN</v>
      </c>
      <c r="G296" s="43" t="str">
        <f t="shared" si="22"/>
        <v>DONOVAN</v>
      </c>
      <c r="H296" s="43" t="str">
        <f t="shared" si="23"/>
        <v>RUBIO SANCHEZ</v>
      </c>
      <c r="I296" s="43" t="str">
        <f t="shared" si="24"/>
        <v>DONOVAN RUBIO SANCHEZ</v>
      </c>
      <c r="J296" s="35" t="s">
        <v>2243</v>
      </c>
      <c r="K296" s="37">
        <v>8</v>
      </c>
      <c r="L296" s="37">
        <v>2</v>
      </c>
      <c r="M296" s="37" t="s">
        <v>0</v>
      </c>
    </row>
    <row r="297" spans="2:13" x14ac:dyDescent="0.25">
      <c r="B297" s="46">
        <v>294</v>
      </c>
      <c r="C297" s="38">
        <v>402920384</v>
      </c>
      <c r="D297" s="43" t="str">
        <f t="shared" si="20"/>
        <v>4-0292-0384</v>
      </c>
      <c r="E297" s="38" t="s">
        <v>236</v>
      </c>
      <c r="F297" s="43" t="str">
        <f t="shared" si="21"/>
        <v>ISAAC FELIPE</v>
      </c>
      <c r="G297" s="43" t="str">
        <f t="shared" si="22"/>
        <v>ISAAC</v>
      </c>
      <c r="H297" s="43" t="str">
        <f t="shared" si="23"/>
        <v>SANCHEZ GONZALEZ</v>
      </c>
      <c r="I297" s="43" t="str">
        <f t="shared" si="24"/>
        <v>ISAAC SANCHEZ GONZALEZ</v>
      </c>
      <c r="J297" s="35" t="s">
        <v>2243</v>
      </c>
      <c r="K297" s="37">
        <v>8</v>
      </c>
      <c r="L297" s="37">
        <v>2</v>
      </c>
      <c r="M297" s="37" t="s">
        <v>0</v>
      </c>
    </row>
    <row r="298" spans="2:13" x14ac:dyDescent="0.25">
      <c r="B298" s="48">
        <v>295</v>
      </c>
      <c r="C298" s="33">
        <v>402940158</v>
      </c>
      <c r="D298" s="43" t="str">
        <f t="shared" si="20"/>
        <v>4-0294-0158</v>
      </c>
      <c r="E298" s="46" t="s">
        <v>237</v>
      </c>
      <c r="F298" s="43" t="str">
        <f t="shared" si="21"/>
        <v>DYLAN EDUARDO</v>
      </c>
      <c r="G298" s="43" t="str">
        <f t="shared" si="22"/>
        <v>DYLAN</v>
      </c>
      <c r="H298" s="43" t="str">
        <f t="shared" si="23"/>
        <v>SOLANO SEGURA</v>
      </c>
      <c r="I298" s="43" t="str">
        <f t="shared" si="24"/>
        <v>DYLAN SOLANO SEGURA</v>
      </c>
      <c r="J298" s="35" t="s">
        <v>2243</v>
      </c>
      <c r="K298" s="37">
        <v>8</v>
      </c>
      <c r="L298" s="37">
        <v>2</v>
      </c>
      <c r="M298" s="37" t="s">
        <v>0</v>
      </c>
    </row>
    <row r="299" spans="2:13" x14ac:dyDescent="0.25">
      <c r="B299" s="48">
        <v>296</v>
      </c>
      <c r="C299" s="33">
        <v>209410971</v>
      </c>
      <c r="D299" s="43" t="str">
        <f t="shared" si="20"/>
        <v>2-0941-0971</v>
      </c>
      <c r="E299" s="46" t="s">
        <v>238</v>
      </c>
      <c r="F299" s="43" t="str">
        <f t="shared" si="21"/>
        <v>JOSEPH GABRIEL</v>
      </c>
      <c r="G299" s="43" t="str">
        <f t="shared" si="22"/>
        <v>JOSEPH</v>
      </c>
      <c r="H299" s="43" t="str">
        <f t="shared" si="23"/>
        <v>UMAÑA MATARRITA</v>
      </c>
      <c r="I299" s="43" t="str">
        <f t="shared" si="24"/>
        <v>JOSEPH UMAÑA MATARRITA</v>
      </c>
      <c r="J299" s="35" t="s">
        <v>2243</v>
      </c>
      <c r="K299" s="37">
        <v>8</v>
      </c>
      <c r="L299" s="37">
        <v>2</v>
      </c>
      <c r="M299" s="37" t="s">
        <v>0</v>
      </c>
    </row>
    <row r="300" spans="2:13" x14ac:dyDescent="0.25">
      <c r="B300" s="46">
        <v>297</v>
      </c>
      <c r="C300" s="38">
        <v>402930817</v>
      </c>
      <c r="D300" s="43" t="str">
        <f t="shared" si="20"/>
        <v>4-0293-0817</v>
      </c>
      <c r="E300" s="38" t="s">
        <v>239</v>
      </c>
      <c r="F300" s="43" t="str">
        <f t="shared" si="21"/>
        <v>JOHN DAVID</v>
      </c>
      <c r="G300" s="43" t="str">
        <f t="shared" si="22"/>
        <v>JOHN</v>
      </c>
      <c r="H300" s="43" t="str">
        <f t="shared" si="23"/>
        <v>VINDAS SANDI</v>
      </c>
      <c r="I300" s="43" t="str">
        <f t="shared" si="24"/>
        <v>JOHN VINDAS SANDI</v>
      </c>
      <c r="J300" s="35" t="s">
        <v>2243</v>
      </c>
      <c r="K300" s="37">
        <v>8</v>
      </c>
      <c r="L300" s="37">
        <v>2</v>
      </c>
      <c r="M300" s="37" t="s">
        <v>0</v>
      </c>
    </row>
    <row r="301" spans="2:13" x14ac:dyDescent="0.25">
      <c r="B301" s="48">
        <v>298</v>
      </c>
      <c r="C301" s="38">
        <v>402940653</v>
      </c>
      <c r="D301" s="43" t="str">
        <f t="shared" si="20"/>
        <v>4-0294-0653</v>
      </c>
      <c r="E301" s="38" t="s">
        <v>240</v>
      </c>
      <c r="F301" s="43" t="str">
        <f t="shared" si="21"/>
        <v>SEBASTIAN</v>
      </c>
      <c r="G301" s="43" t="str">
        <f t="shared" si="22"/>
        <v>SEBASTIAN</v>
      </c>
      <c r="H301" s="43" t="str">
        <f t="shared" si="23"/>
        <v>AGUILAR MUÑOZ</v>
      </c>
      <c r="I301" s="43" t="str">
        <f t="shared" si="24"/>
        <v>SEBASTIAN AGUILAR MUÑOZ</v>
      </c>
      <c r="J301" s="35" t="s">
        <v>2243</v>
      </c>
      <c r="K301" s="37">
        <v>8</v>
      </c>
      <c r="L301" s="37">
        <v>3</v>
      </c>
      <c r="M301" s="37" t="s">
        <v>1</v>
      </c>
    </row>
    <row r="302" spans="2:13" x14ac:dyDescent="0.25">
      <c r="B302" s="48">
        <v>299</v>
      </c>
      <c r="C302" s="33">
        <v>209410708</v>
      </c>
      <c r="D302" s="43" t="str">
        <f t="shared" si="20"/>
        <v>2-0941-0708</v>
      </c>
      <c r="E302" s="46" t="s">
        <v>241</v>
      </c>
      <c r="F302" s="43" t="str">
        <f t="shared" si="21"/>
        <v>ARIELA</v>
      </c>
      <c r="G302" s="43" t="str">
        <f t="shared" si="22"/>
        <v>ARIELA</v>
      </c>
      <c r="H302" s="43" t="str">
        <f t="shared" si="23"/>
        <v>ARCE ALCAZAR</v>
      </c>
      <c r="I302" s="43" t="str">
        <f t="shared" si="24"/>
        <v>ARIELA ARCE ALCAZAR</v>
      </c>
      <c r="J302" s="35" t="s">
        <v>2243</v>
      </c>
      <c r="K302" s="37">
        <v>8</v>
      </c>
      <c r="L302" s="37">
        <v>3</v>
      </c>
      <c r="M302" s="37" t="s">
        <v>1</v>
      </c>
    </row>
    <row r="303" spans="2:13" x14ac:dyDescent="0.25">
      <c r="B303" s="46">
        <v>300</v>
      </c>
      <c r="C303" s="38">
        <v>402930756</v>
      </c>
      <c r="D303" s="43" t="str">
        <f t="shared" si="20"/>
        <v>4-0293-0756</v>
      </c>
      <c r="E303" s="38" t="s">
        <v>242</v>
      </c>
      <c r="F303" s="43" t="str">
        <f t="shared" si="21"/>
        <v>TAMARA ANDREA</v>
      </c>
      <c r="G303" s="43" t="str">
        <f t="shared" si="22"/>
        <v>TAMARA</v>
      </c>
      <c r="H303" s="43" t="str">
        <f t="shared" si="23"/>
        <v>BARRIENTOS SALAS</v>
      </c>
      <c r="I303" s="43" t="str">
        <f t="shared" si="24"/>
        <v>TAMARA BARRIENTOS SALAS</v>
      </c>
      <c r="J303" s="35" t="s">
        <v>2243</v>
      </c>
      <c r="K303" s="37">
        <v>8</v>
      </c>
      <c r="L303" s="37">
        <v>3</v>
      </c>
      <c r="M303" s="37" t="s">
        <v>1</v>
      </c>
    </row>
    <row r="304" spans="2:13" x14ac:dyDescent="0.25">
      <c r="B304" s="48">
        <v>301</v>
      </c>
      <c r="C304" s="33">
        <v>121200260</v>
      </c>
      <c r="D304" s="43" t="str">
        <f t="shared" si="20"/>
        <v>1-2120-0260</v>
      </c>
      <c r="E304" s="46" t="s">
        <v>243</v>
      </c>
      <c r="F304" s="43" t="str">
        <f t="shared" si="21"/>
        <v>XIMENA</v>
      </c>
      <c r="G304" s="43" t="str">
        <f t="shared" si="22"/>
        <v>XIMENA</v>
      </c>
      <c r="H304" s="43" t="str">
        <f t="shared" si="23"/>
        <v>CASTILLO BARREDA</v>
      </c>
      <c r="I304" s="43" t="str">
        <f t="shared" si="24"/>
        <v>XIMENA CASTILLO BARREDA</v>
      </c>
      <c r="J304" s="35" t="s">
        <v>2243</v>
      </c>
      <c r="K304" s="37">
        <v>8</v>
      </c>
      <c r="L304" s="37">
        <v>3</v>
      </c>
      <c r="M304" s="37" t="s">
        <v>1</v>
      </c>
    </row>
    <row r="305" spans="2:13" x14ac:dyDescent="0.25">
      <c r="B305" s="48">
        <v>302</v>
      </c>
      <c r="C305" s="33">
        <v>209480950</v>
      </c>
      <c r="D305" s="43" t="str">
        <f t="shared" si="20"/>
        <v>2-0948-0950</v>
      </c>
      <c r="E305" s="46" t="s">
        <v>244</v>
      </c>
      <c r="F305" s="43" t="str">
        <f t="shared" si="21"/>
        <v>ASHLY ISABEL</v>
      </c>
      <c r="G305" s="43" t="str">
        <f t="shared" si="22"/>
        <v>ASHLY</v>
      </c>
      <c r="H305" s="43" t="str">
        <f t="shared" si="23"/>
        <v>DAVILA LOPEZ</v>
      </c>
      <c r="I305" s="43" t="str">
        <f t="shared" si="24"/>
        <v>ASHLY DAVILA LOPEZ</v>
      </c>
      <c r="J305" s="35" t="s">
        <v>2243</v>
      </c>
      <c r="K305" s="37">
        <v>8</v>
      </c>
      <c r="L305" s="37">
        <v>3</v>
      </c>
      <c r="M305" s="37" t="s">
        <v>1</v>
      </c>
    </row>
    <row r="306" spans="2:13" x14ac:dyDescent="0.25">
      <c r="B306" s="46">
        <v>303</v>
      </c>
      <c r="C306" s="33">
        <v>209390468</v>
      </c>
      <c r="D306" s="43" t="str">
        <f t="shared" si="20"/>
        <v>2-0939-0468</v>
      </c>
      <c r="E306" s="46" t="s">
        <v>245</v>
      </c>
      <c r="F306" s="43" t="str">
        <f t="shared" si="21"/>
        <v>DILANY</v>
      </c>
      <c r="G306" s="43" t="str">
        <f t="shared" si="22"/>
        <v>DILANY</v>
      </c>
      <c r="H306" s="43" t="str">
        <f t="shared" si="23"/>
        <v>GARCIA MONTERO</v>
      </c>
      <c r="I306" s="43" t="str">
        <f t="shared" si="24"/>
        <v>DILANY GARCIA MONTERO</v>
      </c>
      <c r="J306" s="35" t="s">
        <v>2243</v>
      </c>
      <c r="K306" s="37">
        <v>8</v>
      </c>
      <c r="L306" s="37">
        <v>3</v>
      </c>
      <c r="M306" s="37" t="s">
        <v>1</v>
      </c>
    </row>
    <row r="307" spans="2:13" x14ac:dyDescent="0.25">
      <c r="B307" s="48">
        <v>304</v>
      </c>
      <c r="C307" s="38">
        <v>402910022</v>
      </c>
      <c r="D307" s="43" t="str">
        <f t="shared" si="20"/>
        <v>4-0291-0022</v>
      </c>
      <c r="E307" s="38" t="s">
        <v>248</v>
      </c>
      <c r="F307" s="43" t="str">
        <f t="shared" si="21"/>
        <v>ISIS LIZETH</v>
      </c>
      <c r="G307" s="43" t="str">
        <f t="shared" si="22"/>
        <v>ISIS</v>
      </c>
      <c r="H307" s="43" t="str">
        <f t="shared" si="23"/>
        <v>MONGE CARVAJAL</v>
      </c>
      <c r="I307" s="43" t="str">
        <f t="shared" si="24"/>
        <v>ISIS MONGE CARVAJAL</v>
      </c>
      <c r="J307" s="35" t="s">
        <v>2243</v>
      </c>
      <c r="K307" s="37">
        <v>8</v>
      </c>
      <c r="L307" s="37">
        <v>3</v>
      </c>
      <c r="M307" s="37" t="s">
        <v>1</v>
      </c>
    </row>
    <row r="308" spans="2:13" x14ac:dyDescent="0.25">
      <c r="B308" s="48">
        <v>305</v>
      </c>
      <c r="C308" s="33">
        <v>209410315</v>
      </c>
      <c r="D308" s="43" t="str">
        <f t="shared" si="20"/>
        <v>2-0941-0315</v>
      </c>
      <c r="E308" s="46" t="s">
        <v>247</v>
      </c>
      <c r="F308" s="43" t="str">
        <f t="shared" si="21"/>
        <v>ISAAC</v>
      </c>
      <c r="G308" s="43" t="str">
        <f t="shared" si="22"/>
        <v>ISAAC</v>
      </c>
      <c r="H308" s="43" t="str">
        <f t="shared" si="23"/>
        <v>MONTERO FLORES</v>
      </c>
      <c r="I308" s="43" t="str">
        <f t="shared" si="24"/>
        <v>ISAAC MONTERO FLORES</v>
      </c>
      <c r="J308" s="35" t="s">
        <v>2243</v>
      </c>
      <c r="K308" s="37">
        <v>8</v>
      </c>
      <c r="L308" s="37">
        <v>3</v>
      </c>
      <c r="M308" s="37" t="s">
        <v>1</v>
      </c>
    </row>
    <row r="309" spans="2:13" x14ac:dyDescent="0.25">
      <c r="B309" s="46">
        <v>306</v>
      </c>
      <c r="C309" s="45">
        <v>402910373</v>
      </c>
      <c r="D309" s="43" t="str">
        <f t="shared" si="20"/>
        <v>4-0291-0373</v>
      </c>
      <c r="E309" s="45" t="s">
        <v>190</v>
      </c>
      <c r="F309" s="43" t="str">
        <f t="shared" si="21"/>
        <v>ANA LUCIA</v>
      </c>
      <c r="G309" s="43" t="str">
        <f t="shared" si="22"/>
        <v>ANA</v>
      </c>
      <c r="H309" s="43" t="str">
        <f t="shared" si="23"/>
        <v>MURILLO BASTOS</v>
      </c>
      <c r="I309" s="43" t="str">
        <f t="shared" si="24"/>
        <v>ANA MURILLO BASTOS</v>
      </c>
      <c r="J309" s="35" t="s">
        <v>2243</v>
      </c>
      <c r="K309" s="37">
        <v>8</v>
      </c>
      <c r="L309" s="37">
        <v>3</v>
      </c>
      <c r="M309" s="37" t="s">
        <v>1</v>
      </c>
    </row>
    <row r="310" spans="2:13" x14ac:dyDescent="0.25">
      <c r="B310" s="48">
        <v>307</v>
      </c>
      <c r="C310" s="38">
        <v>402910958</v>
      </c>
      <c r="D310" s="43" t="str">
        <f t="shared" si="20"/>
        <v>4-0291-0958</v>
      </c>
      <c r="E310" s="38" t="s">
        <v>249</v>
      </c>
      <c r="F310" s="43" t="str">
        <f t="shared" si="21"/>
        <v>PAMELA CAROLINA</v>
      </c>
      <c r="G310" s="43" t="str">
        <f t="shared" si="22"/>
        <v>PAMELA</v>
      </c>
      <c r="H310" s="43" t="str">
        <f t="shared" si="23"/>
        <v>NUÑEZ MONTIEL</v>
      </c>
      <c r="I310" s="43" t="str">
        <f t="shared" si="24"/>
        <v>PAMELA NUÑEZ MONTIEL</v>
      </c>
      <c r="J310" s="35" t="s">
        <v>2243</v>
      </c>
      <c r="K310" s="37">
        <v>8</v>
      </c>
      <c r="L310" s="37">
        <v>3</v>
      </c>
      <c r="M310" s="37" t="s">
        <v>1</v>
      </c>
    </row>
    <row r="311" spans="2:13" x14ac:dyDescent="0.25">
      <c r="B311" s="48">
        <v>308</v>
      </c>
      <c r="C311" s="33">
        <v>209440530</v>
      </c>
      <c r="D311" s="43" t="str">
        <f t="shared" si="20"/>
        <v>2-0944-0530</v>
      </c>
      <c r="E311" s="46" t="s">
        <v>250</v>
      </c>
      <c r="F311" s="43" t="str">
        <f t="shared" si="21"/>
        <v>EMMANUEL ISAAC</v>
      </c>
      <c r="G311" s="43" t="str">
        <f t="shared" si="22"/>
        <v>EMMANUEL</v>
      </c>
      <c r="H311" s="43" t="str">
        <f t="shared" si="23"/>
        <v>QUESADA BONILLA</v>
      </c>
      <c r="I311" s="43" t="str">
        <f t="shared" si="24"/>
        <v>EMMANUEL QUESADA BONILLA</v>
      </c>
      <c r="J311" s="35" t="s">
        <v>2243</v>
      </c>
      <c r="K311" s="37">
        <v>8</v>
      </c>
      <c r="L311" s="37">
        <v>3</v>
      </c>
      <c r="M311" s="37" t="s">
        <v>1</v>
      </c>
    </row>
    <row r="312" spans="2:13" x14ac:dyDescent="0.25">
      <c r="B312" s="46">
        <v>309</v>
      </c>
      <c r="C312" s="33">
        <v>402920002</v>
      </c>
      <c r="D312" s="43" t="str">
        <f t="shared" si="20"/>
        <v>4-0292-0002</v>
      </c>
      <c r="E312" s="46" t="s">
        <v>251</v>
      </c>
      <c r="F312" s="43" t="str">
        <f t="shared" si="21"/>
        <v>KRYSTEL VIVIANA</v>
      </c>
      <c r="G312" s="43" t="str">
        <f t="shared" si="22"/>
        <v>KRYSTEL</v>
      </c>
      <c r="H312" s="43" t="str">
        <f t="shared" si="23"/>
        <v>RODRIGUEZ MESEN</v>
      </c>
      <c r="I312" s="43" t="str">
        <f t="shared" si="24"/>
        <v>KRYSTEL RODRIGUEZ MESEN</v>
      </c>
      <c r="J312" s="35" t="s">
        <v>2243</v>
      </c>
      <c r="K312" s="37">
        <v>8</v>
      </c>
      <c r="L312" s="37">
        <v>3</v>
      </c>
      <c r="M312" s="37" t="s">
        <v>1</v>
      </c>
    </row>
    <row r="313" spans="2:13" x14ac:dyDescent="0.25">
      <c r="B313" s="48">
        <v>310</v>
      </c>
      <c r="C313" s="33">
        <v>209430664</v>
      </c>
      <c r="D313" s="43" t="str">
        <f t="shared" si="20"/>
        <v>2-0943-0664</v>
      </c>
      <c r="E313" s="46" t="s">
        <v>252</v>
      </c>
      <c r="F313" s="43" t="str">
        <f t="shared" si="21"/>
        <v>AARON SANTIAGO</v>
      </c>
      <c r="G313" s="43" t="str">
        <f t="shared" si="22"/>
        <v>AARON</v>
      </c>
      <c r="H313" s="43" t="str">
        <f t="shared" si="23"/>
        <v>SOTO RODRIGUEZ</v>
      </c>
      <c r="I313" s="43" t="str">
        <f t="shared" si="24"/>
        <v>AARON SOTO RODRIGUEZ</v>
      </c>
      <c r="J313" s="35" t="s">
        <v>2243</v>
      </c>
      <c r="K313" s="37">
        <v>8</v>
      </c>
      <c r="L313" s="37">
        <v>3</v>
      </c>
      <c r="M313" s="37" t="s">
        <v>1</v>
      </c>
    </row>
    <row r="314" spans="2:13" x14ac:dyDescent="0.25">
      <c r="B314" s="48">
        <v>311</v>
      </c>
      <c r="C314" s="38">
        <v>402920537</v>
      </c>
      <c r="D314" s="43" t="str">
        <f t="shared" si="20"/>
        <v>4-0292-0537</v>
      </c>
      <c r="E314" s="38" t="s">
        <v>253</v>
      </c>
      <c r="F314" s="43" t="str">
        <f t="shared" si="21"/>
        <v>VINCENT JHOEL</v>
      </c>
      <c r="G314" s="43" t="str">
        <f t="shared" si="22"/>
        <v>VINCENT</v>
      </c>
      <c r="H314" s="43" t="str">
        <f t="shared" si="23"/>
        <v>VARGAS MENA</v>
      </c>
      <c r="I314" s="43" t="str">
        <f t="shared" si="24"/>
        <v>VINCENT VARGAS MENA</v>
      </c>
      <c r="J314" s="35" t="s">
        <v>2243</v>
      </c>
      <c r="K314" s="37">
        <v>8</v>
      </c>
      <c r="L314" s="37">
        <v>3</v>
      </c>
      <c r="M314" s="37" t="s">
        <v>1</v>
      </c>
    </row>
    <row r="315" spans="2:13" x14ac:dyDescent="0.25">
      <c r="B315" s="46">
        <v>312</v>
      </c>
      <c r="C315" s="33">
        <v>209470650</v>
      </c>
      <c r="D315" s="43" t="str">
        <f t="shared" si="20"/>
        <v>2-0947-0650</v>
      </c>
      <c r="E315" s="46" t="s">
        <v>254</v>
      </c>
      <c r="F315" s="43" t="str">
        <f t="shared" si="21"/>
        <v>YEREMI ALONSO</v>
      </c>
      <c r="G315" s="43" t="str">
        <f t="shared" si="22"/>
        <v>YEREMI</v>
      </c>
      <c r="H315" s="43" t="str">
        <f t="shared" si="23"/>
        <v>ZAMORA VASQUEZ</v>
      </c>
      <c r="I315" s="43" t="str">
        <f t="shared" si="24"/>
        <v>YEREMI ZAMORA VASQUEZ</v>
      </c>
      <c r="J315" s="35" t="s">
        <v>2243</v>
      </c>
      <c r="K315" s="37">
        <v>8</v>
      </c>
      <c r="L315" s="37">
        <v>3</v>
      </c>
      <c r="M315" s="37" t="s">
        <v>1</v>
      </c>
    </row>
    <row r="316" spans="2:13" x14ac:dyDescent="0.25">
      <c r="B316" s="48">
        <v>313</v>
      </c>
      <c r="C316" s="33">
        <v>402910264</v>
      </c>
      <c r="D316" s="43" t="str">
        <f t="shared" si="20"/>
        <v>4-0291-0264</v>
      </c>
      <c r="E316" s="46" t="s">
        <v>255</v>
      </c>
      <c r="F316" s="43" t="str">
        <f t="shared" si="21"/>
        <v>ELIAN DAVID</v>
      </c>
      <c r="G316" s="43" t="str">
        <f t="shared" si="22"/>
        <v>ELIAN</v>
      </c>
      <c r="H316" s="43" t="str">
        <f t="shared" si="23"/>
        <v>ZULETA CORTES</v>
      </c>
      <c r="I316" s="43" t="str">
        <f t="shared" si="24"/>
        <v>ELIAN ZULETA CORTES</v>
      </c>
      <c r="J316" s="35" t="s">
        <v>2243</v>
      </c>
      <c r="K316" s="37">
        <v>8</v>
      </c>
      <c r="L316" s="37">
        <v>3</v>
      </c>
      <c r="M316" s="37" t="s">
        <v>1</v>
      </c>
    </row>
    <row r="317" spans="2:13" x14ac:dyDescent="0.25">
      <c r="B317" s="48">
        <v>314</v>
      </c>
      <c r="C317" s="33">
        <v>209510775</v>
      </c>
      <c r="D317" s="43" t="str">
        <f t="shared" si="20"/>
        <v>2-0951-0775</v>
      </c>
      <c r="E317" s="46" t="s">
        <v>197</v>
      </c>
      <c r="F317" s="43" t="str">
        <f t="shared" si="21"/>
        <v>GABRIEL</v>
      </c>
      <c r="G317" s="43" t="str">
        <f t="shared" si="22"/>
        <v>GABRIEL</v>
      </c>
      <c r="H317" s="43" t="str">
        <f t="shared" si="23"/>
        <v>ALVAREZ ALVAREZ</v>
      </c>
      <c r="I317" s="43" t="str">
        <f t="shared" si="24"/>
        <v>GABRIEL ALVAREZ ALVAREZ</v>
      </c>
      <c r="J317" s="35" t="s">
        <v>2243</v>
      </c>
      <c r="K317" s="37">
        <v>8</v>
      </c>
      <c r="L317" s="37">
        <v>3</v>
      </c>
      <c r="M317" s="37" t="s">
        <v>0</v>
      </c>
    </row>
    <row r="318" spans="2:13" x14ac:dyDescent="0.25">
      <c r="B318" s="46">
        <v>315</v>
      </c>
      <c r="C318" s="38">
        <v>209480315</v>
      </c>
      <c r="D318" s="43" t="str">
        <f t="shared" si="20"/>
        <v>2-0948-0315</v>
      </c>
      <c r="E318" s="38" t="s">
        <v>257</v>
      </c>
      <c r="F318" s="43" t="str">
        <f t="shared" si="21"/>
        <v>MARIA VALENTINA</v>
      </c>
      <c r="G318" s="43" t="str">
        <f t="shared" si="22"/>
        <v>MARIA</v>
      </c>
      <c r="H318" s="43" t="str">
        <f t="shared" si="23"/>
        <v>ARROYO MOREIRA</v>
      </c>
      <c r="I318" s="43" t="str">
        <f t="shared" si="24"/>
        <v>MARIA ARROYO MOREIRA</v>
      </c>
      <c r="J318" s="35" t="s">
        <v>2243</v>
      </c>
      <c r="K318" s="37">
        <v>8</v>
      </c>
      <c r="L318" s="37">
        <v>3</v>
      </c>
      <c r="M318" s="37" t="s">
        <v>0</v>
      </c>
    </row>
    <row r="319" spans="2:13" x14ac:dyDescent="0.25">
      <c r="B319" s="48">
        <v>316</v>
      </c>
      <c r="C319" s="38">
        <v>209290882</v>
      </c>
      <c r="D319" s="43" t="str">
        <f t="shared" si="20"/>
        <v>2-0929-0882</v>
      </c>
      <c r="E319" s="38" t="s">
        <v>503</v>
      </c>
      <c r="F319" s="43" t="str">
        <f t="shared" si="21"/>
        <v>ERICKA</v>
      </c>
      <c r="G319" s="43" t="str">
        <f t="shared" si="22"/>
        <v>ERICKA</v>
      </c>
      <c r="H319" s="43" t="str">
        <f t="shared" si="23"/>
        <v>BARRANTES BARRANTES</v>
      </c>
      <c r="I319" s="43" t="str">
        <f t="shared" si="24"/>
        <v>ERICKA BARRANTES BARRANTES</v>
      </c>
      <c r="J319" s="35" t="s">
        <v>2243</v>
      </c>
      <c r="K319" s="37">
        <v>8</v>
      </c>
      <c r="L319" s="37">
        <v>3</v>
      </c>
      <c r="M319" s="37" t="s">
        <v>0</v>
      </c>
    </row>
    <row r="320" spans="2:13" x14ac:dyDescent="0.25">
      <c r="B320" s="48">
        <v>317</v>
      </c>
      <c r="C320" s="38">
        <v>402920277</v>
      </c>
      <c r="D320" s="43" t="str">
        <f t="shared" si="20"/>
        <v>4-0292-0277</v>
      </c>
      <c r="E320" s="38" t="s">
        <v>259</v>
      </c>
      <c r="F320" s="43" t="str">
        <f t="shared" si="21"/>
        <v>ABRAHAM</v>
      </c>
      <c r="G320" s="43" t="str">
        <f t="shared" si="22"/>
        <v>ABRAHAM</v>
      </c>
      <c r="H320" s="43" t="str">
        <f t="shared" si="23"/>
        <v>FERNANDEZ ALVAREZ</v>
      </c>
      <c r="I320" s="43" t="str">
        <f t="shared" si="24"/>
        <v>ABRAHAM FERNANDEZ ALVAREZ</v>
      </c>
      <c r="J320" s="35" t="s">
        <v>2243</v>
      </c>
      <c r="K320" s="37">
        <v>8</v>
      </c>
      <c r="L320" s="37">
        <v>3</v>
      </c>
      <c r="M320" s="37" t="s">
        <v>0</v>
      </c>
    </row>
    <row r="321" spans="2:13" x14ac:dyDescent="0.25">
      <c r="B321" s="46">
        <v>318</v>
      </c>
      <c r="C321" s="38">
        <v>402920450</v>
      </c>
      <c r="D321" s="43" t="str">
        <f t="shared" si="20"/>
        <v>4-0292-0450</v>
      </c>
      <c r="E321" s="38" t="s">
        <v>260</v>
      </c>
      <c r="F321" s="43" t="str">
        <f t="shared" si="21"/>
        <v>ARGERY NORELY</v>
      </c>
      <c r="G321" s="43" t="str">
        <f t="shared" si="22"/>
        <v>ARGERY</v>
      </c>
      <c r="H321" s="43" t="str">
        <f t="shared" si="23"/>
        <v>GONZALEZ CHINCHILLA</v>
      </c>
      <c r="I321" s="43" t="str">
        <f t="shared" si="24"/>
        <v>ARGERY GONZALEZ CHINCHILLA</v>
      </c>
      <c r="J321" s="35" t="s">
        <v>2243</v>
      </c>
      <c r="K321" s="37">
        <v>8</v>
      </c>
      <c r="L321" s="37">
        <v>3</v>
      </c>
      <c r="M321" s="37" t="s">
        <v>0</v>
      </c>
    </row>
    <row r="322" spans="2:13" x14ac:dyDescent="0.25">
      <c r="B322" s="48">
        <v>319</v>
      </c>
      <c r="C322" s="38">
        <v>209430659</v>
      </c>
      <c r="D322" s="43" t="str">
        <f t="shared" si="20"/>
        <v>2-0943-0659</v>
      </c>
      <c r="E322" s="38" t="s">
        <v>262</v>
      </c>
      <c r="F322" s="43" t="str">
        <f t="shared" si="21"/>
        <v>LARISSA</v>
      </c>
      <c r="G322" s="43" t="str">
        <f t="shared" si="22"/>
        <v>LARISSA</v>
      </c>
      <c r="H322" s="43" t="str">
        <f t="shared" si="23"/>
        <v>MENDEZ GONZALEZ</v>
      </c>
      <c r="I322" s="43" t="str">
        <f t="shared" si="24"/>
        <v>LARISSA MENDEZ GONZALEZ</v>
      </c>
      <c r="J322" s="35" t="s">
        <v>2243</v>
      </c>
      <c r="K322" s="37">
        <v>8</v>
      </c>
      <c r="L322" s="37">
        <v>3</v>
      </c>
      <c r="M322" s="37" t="s">
        <v>0</v>
      </c>
    </row>
    <row r="323" spans="2:13" x14ac:dyDescent="0.25">
      <c r="B323" s="48">
        <v>320</v>
      </c>
      <c r="C323" s="38">
        <v>402950957</v>
      </c>
      <c r="D323" s="43" t="str">
        <f t="shared" si="20"/>
        <v>4-0295-0957</v>
      </c>
      <c r="E323" s="38" t="s">
        <v>263</v>
      </c>
      <c r="F323" s="43" t="str">
        <f t="shared" si="21"/>
        <v>YELSIN GABRIEL</v>
      </c>
      <c r="G323" s="43" t="str">
        <f t="shared" si="22"/>
        <v>YELSIN</v>
      </c>
      <c r="H323" s="43" t="str">
        <f t="shared" si="23"/>
        <v>MORALES FLORES</v>
      </c>
      <c r="I323" s="43" t="str">
        <f t="shared" si="24"/>
        <v>YELSIN MORALES FLORES</v>
      </c>
      <c r="J323" s="35" t="s">
        <v>2243</v>
      </c>
      <c r="K323" s="37">
        <v>8</v>
      </c>
      <c r="L323" s="37">
        <v>3</v>
      </c>
      <c r="M323" s="37" t="s">
        <v>0</v>
      </c>
    </row>
    <row r="324" spans="2:13" x14ac:dyDescent="0.25">
      <c r="B324" s="46">
        <v>321</v>
      </c>
      <c r="C324" s="33">
        <v>402910808</v>
      </c>
      <c r="D324" s="43" t="str">
        <f t="shared" ref="D324:D387" si="25">IF(LEN(C324)=9,_xlfn.CONCAT(MID(C324,1,1),"-",MID(C324,2,4),"-",MID(C324,6,4)),TEXT(C324,"000000000000"))</f>
        <v>4-0291-0808</v>
      </c>
      <c r="E324" s="46" t="s">
        <v>264</v>
      </c>
      <c r="F324" s="43" t="str">
        <f t="shared" si="21"/>
        <v>ARIANA</v>
      </c>
      <c r="G324" s="43" t="str">
        <f t="shared" si="22"/>
        <v>ARIANA</v>
      </c>
      <c r="H324" s="43" t="str">
        <f t="shared" si="23"/>
        <v>PANIAGUA MORALES</v>
      </c>
      <c r="I324" s="43" t="str">
        <f t="shared" si="24"/>
        <v>ARIANA PANIAGUA MORALES</v>
      </c>
      <c r="J324" s="35" t="s">
        <v>2243</v>
      </c>
      <c r="K324" s="37">
        <v>8</v>
      </c>
      <c r="L324" s="37">
        <v>3</v>
      </c>
      <c r="M324" s="37" t="s">
        <v>0</v>
      </c>
    </row>
    <row r="325" spans="2:13" x14ac:dyDescent="0.25">
      <c r="B325" s="48">
        <v>322</v>
      </c>
      <c r="C325" s="33">
        <v>121280198</v>
      </c>
      <c r="D325" s="43" t="str">
        <f t="shared" si="25"/>
        <v>1-2128-0198</v>
      </c>
      <c r="E325" s="46" t="s">
        <v>265</v>
      </c>
      <c r="F325" s="43" t="str">
        <f t="shared" ref="F325:F388" si="26">RIGHT(E325,LEN(E325)-SEARCH(" ",E325,SEARCH(" ",E325)+1))</f>
        <v>ANDERSON ALONSO</v>
      </c>
      <c r="G325" s="43" t="str">
        <f t="shared" ref="G325:G388" si="27">IFERROR(LEFT(F325,SEARCH(" ",F325,1)-1),F325)</f>
        <v>ANDERSON</v>
      </c>
      <c r="H325" s="43" t="str">
        <f t="shared" ref="H325:H388" si="28">LEFT(E325,SEARCH(" ",E325,SEARCH(" ",E325)+1)-1)</f>
        <v>RIVAS BALTODANO</v>
      </c>
      <c r="I325" s="43" t="str">
        <f t="shared" ref="I325:I388" si="29">_xlfn.CONCAT(G325," ",H325)</f>
        <v>ANDERSON RIVAS BALTODANO</v>
      </c>
      <c r="J325" s="35" t="s">
        <v>2243</v>
      </c>
      <c r="K325" s="37">
        <v>8</v>
      </c>
      <c r="L325" s="37">
        <v>3</v>
      </c>
      <c r="M325" s="37" t="s">
        <v>0</v>
      </c>
    </row>
    <row r="326" spans="2:13" x14ac:dyDescent="0.25">
      <c r="B326" s="48">
        <v>323</v>
      </c>
      <c r="C326" s="38">
        <v>121060994</v>
      </c>
      <c r="D326" s="43" t="str">
        <f t="shared" si="25"/>
        <v>1-2106-0994</v>
      </c>
      <c r="E326" s="38" t="s">
        <v>266</v>
      </c>
      <c r="F326" s="43" t="str">
        <f t="shared" si="26"/>
        <v>KISHA PAMELA</v>
      </c>
      <c r="G326" s="43" t="str">
        <f t="shared" si="27"/>
        <v>KISHA</v>
      </c>
      <c r="H326" s="43" t="str">
        <f t="shared" si="28"/>
        <v>RUIZ CESPEDES</v>
      </c>
      <c r="I326" s="43" t="str">
        <f t="shared" si="29"/>
        <v>KISHA RUIZ CESPEDES</v>
      </c>
      <c r="J326" s="35" t="s">
        <v>2243</v>
      </c>
      <c r="K326" s="37">
        <v>8</v>
      </c>
      <c r="L326" s="37">
        <v>3</v>
      </c>
      <c r="M326" s="37" t="s">
        <v>0</v>
      </c>
    </row>
    <row r="327" spans="2:13" x14ac:dyDescent="0.25">
      <c r="B327" s="46">
        <v>324</v>
      </c>
      <c r="C327" s="33">
        <v>209120003</v>
      </c>
      <c r="D327" s="43" t="str">
        <f t="shared" si="25"/>
        <v>2-0912-0003</v>
      </c>
      <c r="E327" s="33" t="s">
        <v>268</v>
      </c>
      <c r="F327" s="43" t="str">
        <f t="shared" si="26"/>
        <v>SEBASTIAN</v>
      </c>
      <c r="G327" s="43" t="str">
        <f t="shared" si="27"/>
        <v>SEBASTIAN</v>
      </c>
      <c r="H327" s="43" t="str">
        <f t="shared" si="28"/>
        <v>SALAS VASQUEZ</v>
      </c>
      <c r="I327" s="43" t="str">
        <f t="shared" si="29"/>
        <v>SEBASTIAN SALAS VASQUEZ</v>
      </c>
      <c r="J327" s="35" t="s">
        <v>2243</v>
      </c>
      <c r="K327" s="37">
        <v>8</v>
      </c>
      <c r="L327" s="37">
        <v>3</v>
      </c>
      <c r="M327" s="37" t="s">
        <v>0</v>
      </c>
    </row>
    <row r="328" spans="2:13" x14ac:dyDescent="0.25">
      <c r="B328" s="48">
        <v>325</v>
      </c>
      <c r="C328" s="38">
        <v>209440097</v>
      </c>
      <c r="D328" s="43" t="str">
        <f t="shared" si="25"/>
        <v>2-0944-0097</v>
      </c>
      <c r="E328" s="46" t="s">
        <v>267</v>
      </c>
      <c r="F328" s="43" t="str">
        <f t="shared" si="26"/>
        <v>JESUS ADRIAN</v>
      </c>
      <c r="G328" s="43" t="str">
        <f t="shared" si="27"/>
        <v>JESUS</v>
      </c>
      <c r="H328" s="43" t="str">
        <f t="shared" si="28"/>
        <v>SANCHEZ RODRIGUEZ</v>
      </c>
      <c r="I328" s="43" t="str">
        <f t="shared" si="29"/>
        <v>JESUS SANCHEZ RODRIGUEZ</v>
      </c>
      <c r="J328" s="35" t="s">
        <v>2243</v>
      </c>
      <c r="K328" s="37">
        <v>8</v>
      </c>
      <c r="L328" s="37">
        <v>3</v>
      </c>
      <c r="M328" s="37" t="s">
        <v>0</v>
      </c>
    </row>
    <row r="329" spans="2:13" x14ac:dyDescent="0.25">
      <c r="B329" s="48">
        <v>326</v>
      </c>
      <c r="C329" s="38">
        <v>209480567</v>
      </c>
      <c r="D329" s="43" t="str">
        <f t="shared" si="25"/>
        <v>2-0948-0567</v>
      </c>
      <c r="E329" s="38" t="s">
        <v>269</v>
      </c>
      <c r="F329" s="43" t="str">
        <f t="shared" si="26"/>
        <v>DANIELA</v>
      </c>
      <c r="G329" s="43" t="str">
        <f t="shared" si="27"/>
        <v>DANIELA</v>
      </c>
      <c r="H329" s="43" t="str">
        <f t="shared" si="28"/>
        <v>UMAÑA RODRIGUEZ</v>
      </c>
      <c r="I329" s="43" t="str">
        <f t="shared" si="29"/>
        <v>DANIELA UMAÑA RODRIGUEZ</v>
      </c>
      <c r="J329" s="35" t="s">
        <v>2243</v>
      </c>
      <c r="K329" s="37">
        <v>8</v>
      </c>
      <c r="L329" s="37">
        <v>3</v>
      </c>
      <c r="M329" s="37" t="s">
        <v>0</v>
      </c>
    </row>
    <row r="330" spans="2:13" x14ac:dyDescent="0.25">
      <c r="B330" s="46">
        <v>327</v>
      </c>
      <c r="C330" s="33">
        <v>402950574</v>
      </c>
      <c r="D330" s="43" t="str">
        <f t="shared" si="25"/>
        <v>4-0295-0574</v>
      </c>
      <c r="E330" s="33" t="s">
        <v>270</v>
      </c>
      <c r="F330" s="43" t="str">
        <f t="shared" si="26"/>
        <v>JOSEPH</v>
      </c>
      <c r="G330" s="43" t="str">
        <f t="shared" si="27"/>
        <v>JOSEPH</v>
      </c>
      <c r="H330" s="43" t="str">
        <f t="shared" si="28"/>
        <v>VILCHEZ CHAVARRIA</v>
      </c>
      <c r="I330" s="43" t="str">
        <f t="shared" si="29"/>
        <v>JOSEPH VILCHEZ CHAVARRIA</v>
      </c>
      <c r="J330" s="35" t="s">
        <v>2243</v>
      </c>
      <c r="K330" s="37">
        <v>8</v>
      </c>
      <c r="L330" s="37">
        <v>3</v>
      </c>
      <c r="M330" s="37" t="s">
        <v>0</v>
      </c>
    </row>
    <row r="331" spans="2:13" x14ac:dyDescent="0.25">
      <c r="B331" s="48">
        <v>328</v>
      </c>
      <c r="C331" s="33">
        <v>121020676</v>
      </c>
      <c r="D331" s="43" t="str">
        <f t="shared" si="25"/>
        <v>1-2102-0676</v>
      </c>
      <c r="E331" s="46" t="s">
        <v>271</v>
      </c>
      <c r="F331" s="43" t="str">
        <f t="shared" si="26"/>
        <v>PILAR</v>
      </c>
      <c r="G331" s="43" t="str">
        <f t="shared" si="27"/>
        <v>PILAR</v>
      </c>
      <c r="H331" s="43" t="str">
        <f t="shared" si="28"/>
        <v>ALFARO AGUILAR</v>
      </c>
      <c r="I331" s="43" t="str">
        <f t="shared" si="29"/>
        <v>PILAR ALFARO AGUILAR</v>
      </c>
      <c r="J331" s="35" t="s">
        <v>2243</v>
      </c>
      <c r="K331" s="37">
        <v>8</v>
      </c>
      <c r="L331" s="37">
        <v>4</v>
      </c>
      <c r="M331" s="37" t="s">
        <v>1</v>
      </c>
    </row>
    <row r="332" spans="2:13" x14ac:dyDescent="0.25">
      <c r="B332" s="48">
        <v>329</v>
      </c>
      <c r="C332" s="33">
        <v>209430239</v>
      </c>
      <c r="D332" s="43" t="str">
        <f t="shared" si="25"/>
        <v>2-0943-0239</v>
      </c>
      <c r="E332" s="46" t="s">
        <v>272</v>
      </c>
      <c r="F332" s="43" t="str">
        <f t="shared" si="26"/>
        <v>NICOLAS</v>
      </c>
      <c r="G332" s="43" t="str">
        <f t="shared" si="27"/>
        <v>NICOLAS</v>
      </c>
      <c r="H332" s="43" t="str">
        <f t="shared" si="28"/>
        <v>ARCE ALFARO</v>
      </c>
      <c r="I332" s="43" t="str">
        <f t="shared" si="29"/>
        <v>NICOLAS ARCE ALFARO</v>
      </c>
      <c r="J332" s="35" t="s">
        <v>2243</v>
      </c>
      <c r="K332" s="37">
        <v>8</v>
      </c>
      <c r="L332" s="37">
        <v>4</v>
      </c>
      <c r="M332" s="37" t="s">
        <v>1</v>
      </c>
    </row>
    <row r="333" spans="2:13" x14ac:dyDescent="0.25">
      <c r="B333" s="46">
        <v>330</v>
      </c>
      <c r="C333" s="33">
        <v>209490046</v>
      </c>
      <c r="D333" s="43" t="str">
        <f t="shared" si="25"/>
        <v>2-0949-0046</v>
      </c>
      <c r="E333" s="46" t="s">
        <v>273</v>
      </c>
      <c r="F333" s="43" t="str">
        <f t="shared" si="26"/>
        <v>CALEB MARIANO</v>
      </c>
      <c r="G333" s="43" t="str">
        <f t="shared" si="27"/>
        <v>CALEB</v>
      </c>
      <c r="H333" s="43" t="str">
        <f t="shared" si="28"/>
        <v>BATRES ESQUIVEL</v>
      </c>
      <c r="I333" s="43" t="str">
        <f t="shared" si="29"/>
        <v>CALEB BATRES ESQUIVEL</v>
      </c>
      <c r="J333" s="35" t="s">
        <v>2243</v>
      </c>
      <c r="K333" s="37">
        <v>8</v>
      </c>
      <c r="L333" s="37">
        <v>4</v>
      </c>
      <c r="M333" s="37" t="s">
        <v>1</v>
      </c>
    </row>
    <row r="334" spans="2:13" x14ac:dyDescent="0.25">
      <c r="B334" s="48">
        <v>331</v>
      </c>
      <c r="C334" s="38">
        <v>209500534</v>
      </c>
      <c r="D334" s="43" t="str">
        <f t="shared" si="25"/>
        <v>2-0950-0534</v>
      </c>
      <c r="E334" s="38" t="s">
        <v>274</v>
      </c>
      <c r="F334" s="43" t="str">
        <f t="shared" si="26"/>
        <v>HALLEY SOFIA</v>
      </c>
      <c r="G334" s="43" t="str">
        <f t="shared" si="27"/>
        <v>HALLEY</v>
      </c>
      <c r="H334" s="43" t="str">
        <f t="shared" si="28"/>
        <v>CASTILLO LOPEZ</v>
      </c>
      <c r="I334" s="43" t="str">
        <f t="shared" si="29"/>
        <v>HALLEY CASTILLO LOPEZ</v>
      </c>
      <c r="J334" s="35" t="s">
        <v>2243</v>
      </c>
      <c r="K334" s="37">
        <v>8</v>
      </c>
      <c r="L334" s="37">
        <v>4</v>
      </c>
      <c r="M334" s="37" t="s">
        <v>1</v>
      </c>
    </row>
    <row r="335" spans="2:13" x14ac:dyDescent="0.25">
      <c r="B335" s="48">
        <v>332</v>
      </c>
      <c r="C335" s="33">
        <v>209410501</v>
      </c>
      <c r="D335" s="43" t="str">
        <f t="shared" si="25"/>
        <v>2-0941-0501</v>
      </c>
      <c r="E335" s="46" t="s">
        <v>275</v>
      </c>
      <c r="F335" s="43" t="str">
        <f t="shared" si="26"/>
        <v>KATHERINE</v>
      </c>
      <c r="G335" s="43" t="str">
        <f t="shared" si="27"/>
        <v>KATHERINE</v>
      </c>
      <c r="H335" s="43" t="str">
        <f t="shared" si="28"/>
        <v>DAVILA MARTINEZ</v>
      </c>
      <c r="I335" s="43" t="str">
        <f t="shared" si="29"/>
        <v>KATHERINE DAVILA MARTINEZ</v>
      </c>
      <c r="J335" s="35" t="s">
        <v>2243</v>
      </c>
      <c r="K335" s="37">
        <v>8</v>
      </c>
      <c r="L335" s="37">
        <v>4</v>
      </c>
      <c r="M335" s="37" t="s">
        <v>1</v>
      </c>
    </row>
    <row r="336" spans="2:13" x14ac:dyDescent="0.25">
      <c r="B336" s="46">
        <v>333</v>
      </c>
      <c r="C336" s="38">
        <v>209150068</v>
      </c>
      <c r="D336" s="43" t="str">
        <f t="shared" si="25"/>
        <v>2-0915-0068</v>
      </c>
      <c r="E336" s="38" t="s">
        <v>407</v>
      </c>
      <c r="F336" s="43" t="str">
        <f t="shared" si="26"/>
        <v>BRYAN CALEB</v>
      </c>
      <c r="G336" s="43" t="str">
        <f t="shared" si="27"/>
        <v>BRYAN</v>
      </c>
      <c r="H336" s="43" t="str">
        <f t="shared" si="28"/>
        <v>FERNANDEZ MORA</v>
      </c>
      <c r="I336" s="43" t="str">
        <f t="shared" si="29"/>
        <v>BRYAN FERNANDEZ MORA</v>
      </c>
      <c r="J336" s="35" t="s">
        <v>2243</v>
      </c>
      <c r="K336" s="37">
        <v>8</v>
      </c>
      <c r="L336" s="37">
        <v>4</v>
      </c>
      <c r="M336" s="37" t="s">
        <v>1</v>
      </c>
    </row>
    <row r="337" spans="2:13" x14ac:dyDescent="0.25">
      <c r="B337" s="48">
        <v>334</v>
      </c>
      <c r="C337" s="33">
        <v>209440152</v>
      </c>
      <c r="D337" s="43" t="str">
        <f t="shared" si="25"/>
        <v>2-0944-0152</v>
      </c>
      <c r="E337" s="38" t="s">
        <v>276</v>
      </c>
      <c r="F337" s="43" t="str">
        <f t="shared" si="26"/>
        <v>JEXON ANTONIO</v>
      </c>
      <c r="G337" s="43" t="str">
        <f t="shared" si="27"/>
        <v>JEXON</v>
      </c>
      <c r="H337" s="43" t="str">
        <f t="shared" si="28"/>
        <v>GARCIA SEVILLA</v>
      </c>
      <c r="I337" s="43" t="str">
        <f t="shared" si="29"/>
        <v>JEXON GARCIA SEVILLA</v>
      </c>
      <c r="J337" s="35" t="s">
        <v>2243</v>
      </c>
      <c r="K337" s="37">
        <v>8</v>
      </c>
      <c r="L337" s="37">
        <v>4</v>
      </c>
      <c r="M337" s="37" t="s">
        <v>1</v>
      </c>
    </row>
    <row r="338" spans="2:13" x14ac:dyDescent="0.25">
      <c r="B338" s="48">
        <v>335</v>
      </c>
      <c r="C338" s="33">
        <v>121120782</v>
      </c>
      <c r="D338" s="43" t="str">
        <f t="shared" si="25"/>
        <v>1-2112-0782</v>
      </c>
      <c r="E338" s="46" t="s">
        <v>277</v>
      </c>
      <c r="F338" s="43" t="str">
        <f t="shared" si="26"/>
        <v>EDWARD GABRIEL</v>
      </c>
      <c r="G338" s="43" t="str">
        <f t="shared" si="27"/>
        <v>EDWARD</v>
      </c>
      <c r="H338" s="43" t="str">
        <f t="shared" si="28"/>
        <v>HERNANDEZ RETANA</v>
      </c>
      <c r="I338" s="43" t="str">
        <f t="shared" si="29"/>
        <v>EDWARD HERNANDEZ RETANA</v>
      </c>
      <c r="J338" s="35" t="s">
        <v>2243</v>
      </c>
      <c r="K338" s="37">
        <v>8</v>
      </c>
      <c r="L338" s="37">
        <v>4</v>
      </c>
      <c r="M338" s="37" t="s">
        <v>1</v>
      </c>
    </row>
    <row r="339" spans="2:13" x14ac:dyDescent="0.25">
      <c r="B339" s="46">
        <v>336</v>
      </c>
      <c r="C339" s="33">
        <v>209390129</v>
      </c>
      <c r="D339" s="43" t="str">
        <f t="shared" si="25"/>
        <v>2-0939-0129</v>
      </c>
      <c r="E339" s="46" t="s">
        <v>278</v>
      </c>
      <c r="F339" s="43" t="str">
        <f t="shared" si="26"/>
        <v>ARANZA</v>
      </c>
      <c r="G339" s="43" t="str">
        <f t="shared" si="27"/>
        <v>ARANZA</v>
      </c>
      <c r="H339" s="43" t="str">
        <f t="shared" si="28"/>
        <v>MARIN OVIEDO</v>
      </c>
      <c r="I339" s="43" t="str">
        <f t="shared" si="29"/>
        <v>ARANZA MARIN OVIEDO</v>
      </c>
      <c r="J339" s="35" t="s">
        <v>2243</v>
      </c>
      <c r="K339" s="37">
        <v>8</v>
      </c>
      <c r="L339" s="37">
        <v>4</v>
      </c>
      <c r="M339" s="37" t="s">
        <v>1</v>
      </c>
    </row>
    <row r="340" spans="2:13" x14ac:dyDescent="0.25">
      <c r="B340" s="48">
        <v>337</v>
      </c>
      <c r="C340" s="33">
        <v>209450511</v>
      </c>
      <c r="D340" s="43" t="str">
        <f t="shared" si="25"/>
        <v>2-0945-0511</v>
      </c>
      <c r="E340" s="46" t="s">
        <v>279</v>
      </c>
      <c r="F340" s="43" t="str">
        <f t="shared" si="26"/>
        <v>JOHN EMILIANO</v>
      </c>
      <c r="G340" s="43" t="str">
        <f t="shared" si="27"/>
        <v>JOHN</v>
      </c>
      <c r="H340" s="43" t="str">
        <f t="shared" si="28"/>
        <v>NUÑEZ NAVARRO</v>
      </c>
      <c r="I340" s="43" t="str">
        <f t="shared" si="29"/>
        <v>JOHN NUÑEZ NAVARRO</v>
      </c>
      <c r="J340" s="35" t="s">
        <v>2243</v>
      </c>
      <c r="K340" s="37">
        <v>8</v>
      </c>
      <c r="L340" s="37">
        <v>4</v>
      </c>
      <c r="M340" s="37" t="s">
        <v>1</v>
      </c>
    </row>
    <row r="341" spans="2:13" x14ac:dyDescent="0.25">
      <c r="B341" s="48">
        <v>338</v>
      </c>
      <c r="C341" s="33">
        <v>209530351</v>
      </c>
      <c r="D341" s="43" t="str">
        <f t="shared" si="25"/>
        <v>2-0953-0351</v>
      </c>
      <c r="E341" s="46" t="s">
        <v>280</v>
      </c>
      <c r="F341" s="43" t="str">
        <f t="shared" si="26"/>
        <v>ARIANY NAWAL</v>
      </c>
      <c r="G341" s="43" t="str">
        <f t="shared" si="27"/>
        <v>ARIANY</v>
      </c>
      <c r="H341" s="43" t="str">
        <f t="shared" si="28"/>
        <v>QUESADA CORTEZ</v>
      </c>
      <c r="I341" s="43" t="str">
        <f t="shared" si="29"/>
        <v>ARIANY QUESADA CORTEZ</v>
      </c>
      <c r="J341" s="35" t="s">
        <v>2243</v>
      </c>
      <c r="K341" s="37">
        <v>8</v>
      </c>
      <c r="L341" s="37">
        <v>4</v>
      </c>
      <c r="M341" s="37" t="s">
        <v>1</v>
      </c>
    </row>
    <row r="342" spans="2:13" x14ac:dyDescent="0.25">
      <c r="B342" s="46">
        <v>339</v>
      </c>
      <c r="C342" s="33">
        <v>209410398</v>
      </c>
      <c r="D342" s="43" t="str">
        <f t="shared" si="25"/>
        <v>2-0941-0398</v>
      </c>
      <c r="E342" s="46" t="s">
        <v>281</v>
      </c>
      <c r="F342" s="43" t="str">
        <f t="shared" si="26"/>
        <v>ELIAS</v>
      </c>
      <c r="G342" s="43" t="str">
        <f t="shared" si="27"/>
        <v>ELIAS</v>
      </c>
      <c r="H342" s="43" t="str">
        <f t="shared" si="28"/>
        <v>ROJAS ACUÑA</v>
      </c>
      <c r="I342" s="43" t="str">
        <f t="shared" si="29"/>
        <v>ELIAS ROJAS ACUÑA</v>
      </c>
      <c r="J342" s="35" t="s">
        <v>2243</v>
      </c>
      <c r="K342" s="37">
        <v>8</v>
      </c>
      <c r="L342" s="37">
        <v>4</v>
      </c>
      <c r="M342" s="37" t="s">
        <v>1</v>
      </c>
    </row>
    <row r="343" spans="2:13" x14ac:dyDescent="0.25">
      <c r="B343" s="48">
        <v>340</v>
      </c>
      <c r="C343" s="33">
        <v>209440096</v>
      </c>
      <c r="D343" s="43" t="str">
        <f t="shared" si="25"/>
        <v>2-0944-0096</v>
      </c>
      <c r="E343" s="46" t="s">
        <v>282</v>
      </c>
      <c r="F343" s="43" t="str">
        <f t="shared" si="26"/>
        <v>MARIA JESUS</v>
      </c>
      <c r="G343" s="43" t="str">
        <f t="shared" si="27"/>
        <v>MARIA</v>
      </c>
      <c r="H343" s="43" t="str">
        <f t="shared" si="28"/>
        <v>SALAZAR BADILLA</v>
      </c>
      <c r="I343" s="43" t="str">
        <f t="shared" si="29"/>
        <v>MARIA SALAZAR BADILLA</v>
      </c>
      <c r="J343" s="35" t="s">
        <v>2243</v>
      </c>
      <c r="K343" s="37">
        <v>8</v>
      </c>
      <c r="L343" s="37">
        <v>4</v>
      </c>
      <c r="M343" s="37" t="s">
        <v>1</v>
      </c>
    </row>
    <row r="344" spans="2:13" x14ac:dyDescent="0.25">
      <c r="B344" s="48">
        <v>341</v>
      </c>
      <c r="C344" s="33">
        <v>209480378</v>
      </c>
      <c r="D344" s="43" t="str">
        <f t="shared" si="25"/>
        <v>2-0948-0378</v>
      </c>
      <c r="E344" s="46" t="s">
        <v>283</v>
      </c>
      <c r="F344" s="43" t="str">
        <f t="shared" si="26"/>
        <v>EMILY</v>
      </c>
      <c r="G344" s="43" t="str">
        <f t="shared" si="27"/>
        <v>EMILY</v>
      </c>
      <c r="H344" s="43" t="str">
        <f t="shared" si="28"/>
        <v>SEGURA GARCIA</v>
      </c>
      <c r="I344" s="43" t="str">
        <f t="shared" si="29"/>
        <v>EMILY SEGURA GARCIA</v>
      </c>
      <c r="J344" s="35" t="s">
        <v>2243</v>
      </c>
      <c r="K344" s="37">
        <v>8</v>
      </c>
      <c r="L344" s="37">
        <v>4</v>
      </c>
      <c r="M344" s="37" t="s">
        <v>1</v>
      </c>
    </row>
    <row r="345" spans="2:13" x14ac:dyDescent="0.25">
      <c r="B345" s="46">
        <v>342</v>
      </c>
      <c r="C345" s="33">
        <v>209420978</v>
      </c>
      <c r="D345" s="43" t="str">
        <f t="shared" si="25"/>
        <v>2-0942-0978</v>
      </c>
      <c r="E345" s="46" t="s">
        <v>284</v>
      </c>
      <c r="F345" s="43" t="str">
        <f t="shared" si="26"/>
        <v>LEONOR ALEXANDRA</v>
      </c>
      <c r="G345" s="43" t="str">
        <f t="shared" si="27"/>
        <v>LEONOR</v>
      </c>
      <c r="H345" s="43" t="str">
        <f t="shared" si="28"/>
        <v>SPENCE CAMPOS</v>
      </c>
      <c r="I345" s="43" t="str">
        <f t="shared" si="29"/>
        <v>LEONOR SPENCE CAMPOS</v>
      </c>
      <c r="J345" s="35" t="s">
        <v>2243</v>
      </c>
      <c r="K345" s="37">
        <v>8</v>
      </c>
      <c r="L345" s="37">
        <v>4</v>
      </c>
      <c r="M345" s="37" t="s">
        <v>1</v>
      </c>
    </row>
    <row r="346" spans="2:13" x14ac:dyDescent="0.25">
      <c r="B346" s="48">
        <v>343</v>
      </c>
      <c r="C346" s="38">
        <v>209340165</v>
      </c>
      <c r="D346" s="43" t="str">
        <f t="shared" si="25"/>
        <v>2-0934-0165</v>
      </c>
      <c r="E346" s="38" t="s">
        <v>285</v>
      </c>
      <c r="F346" s="43" t="str">
        <f t="shared" si="26"/>
        <v>MARIA JOSE</v>
      </c>
      <c r="G346" s="43" t="str">
        <f t="shared" si="27"/>
        <v>MARIA</v>
      </c>
      <c r="H346" s="43" t="str">
        <f t="shared" si="28"/>
        <v>VARGAS QUESADA</v>
      </c>
      <c r="I346" s="43" t="str">
        <f t="shared" si="29"/>
        <v>MARIA VARGAS QUESADA</v>
      </c>
      <c r="J346" s="35" t="s">
        <v>2243</v>
      </c>
      <c r="K346" s="37">
        <v>8</v>
      </c>
      <c r="L346" s="37">
        <v>4</v>
      </c>
      <c r="M346" s="37" t="s">
        <v>1</v>
      </c>
    </row>
    <row r="347" spans="2:13" x14ac:dyDescent="0.25">
      <c r="B347" s="48">
        <v>344</v>
      </c>
      <c r="C347" s="33">
        <v>209520692</v>
      </c>
      <c r="D347" s="43" t="str">
        <f t="shared" si="25"/>
        <v>2-0952-0692</v>
      </c>
      <c r="E347" s="46" t="s">
        <v>286</v>
      </c>
      <c r="F347" s="43" t="str">
        <f t="shared" si="26"/>
        <v>ANGIE FABIOLA</v>
      </c>
      <c r="G347" s="43" t="str">
        <f t="shared" si="27"/>
        <v>ANGIE</v>
      </c>
      <c r="H347" s="43" t="str">
        <f t="shared" si="28"/>
        <v>ALVAREZ CASTRO</v>
      </c>
      <c r="I347" s="43" t="str">
        <f t="shared" si="29"/>
        <v>ANGIE ALVAREZ CASTRO</v>
      </c>
      <c r="J347" s="35" t="s">
        <v>2243</v>
      </c>
      <c r="K347" s="37">
        <v>8</v>
      </c>
      <c r="L347" s="37">
        <v>4</v>
      </c>
      <c r="M347" s="37" t="s">
        <v>0</v>
      </c>
    </row>
    <row r="348" spans="2:13" x14ac:dyDescent="0.25">
      <c r="B348" s="46">
        <v>345</v>
      </c>
      <c r="C348" s="33">
        <v>209440546</v>
      </c>
      <c r="D348" s="43" t="str">
        <f t="shared" si="25"/>
        <v>2-0944-0546</v>
      </c>
      <c r="E348" s="46" t="s">
        <v>287</v>
      </c>
      <c r="F348" s="43" t="str">
        <f t="shared" si="26"/>
        <v>VALERY DE LOS ANGELES</v>
      </c>
      <c r="G348" s="43" t="str">
        <f t="shared" si="27"/>
        <v>VALERY</v>
      </c>
      <c r="H348" s="43" t="str">
        <f t="shared" si="28"/>
        <v>ARROYO PORRAS</v>
      </c>
      <c r="I348" s="43" t="str">
        <f t="shared" si="29"/>
        <v>VALERY ARROYO PORRAS</v>
      </c>
      <c r="J348" s="35" t="s">
        <v>2243</v>
      </c>
      <c r="K348" s="37">
        <v>8</v>
      </c>
      <c r="L348" s="37">
        <v>4</v>
      </c>
      <c r="M348" s="37" t="s">
        <v>0</v>
      </c>
    </row>
    <row r="349" spans="2:13" x14ac:dyDescent="0.25">
      <c r="B349" s="48">
        <v>346</v>
      </c>
      <c r="C349" s="38">
        <v>209460851</v>
      </c>
      <c r="D349" s="43" t="str">
        <f t="shared" si="25"/>
        <v>2-0946-0851</v>
      </c>
      <c r="E349" s="38" t="s">
        <v>288</v>
      </c>
      <c r="F349" s="43" t="str">
        <f t="shared" si="26"/>
        <v>DYLAN MATHIAS</v>
      </c>
      <c r="G349" s="43" t="str">
        <f t="shared" si="27"/>
        <v>DYLAN</v>
      </c>
      <c r="H349" s="43" t="str">
        <f t="shared" si="28"/>
        <v>CAAMAÑO MORA</v>
      </c>
      <c r="I349" s="43" t="str">
        <f t="shared" si="29"/>
        <v>DYLAN CAAMAÑO MORA</v>
      </c>
      <c r="J349" s="35" t="s">
        <v>2243</v>
      </c>
      <c r="K349" s="37">
        <v>8</v>
      </c>
      <c r="L349" s="37">
        <v>4</v>
      </c>
      <c r="M349" s="37" t="s">
        <v>0</v>
      </c>
    </row>
    <row r="350" spans="2:13" x14ac:dyDescent="0.25">
      <c r="B350" s="48">
        <v>347</v>
      </c>
      <c r="C350" s="46">
        <v>504930622</v>
      </c>
      <c r="D350" s="43" t="str">
        <f t="shared" si="25"/>
        <v>5-0493-0622</v>
      </c>
      <c r="E350" s="46" t="s">
        <v>289</v>
      </c>
      <c r="F350" s="43" t="str">
        <f t="shared" si="26"/>
        <v>YAZID JOSUE</v>
      </c>
      <c r="G350" s="43" t="str">
        <f t="shared" si="27"/>
        <v>YAZID</v>
      </c>
      <c r="H350" s="43" t="str">
        <f t="shared" si="28"/>
        <v>CHAVES MORENO</v>
      </c>
      <c r="I350" s="43" t="str">
        <f t="shared" si="29"/>
        <v>YAZID CHAVES MORENO</v>
      </c>
      <c r="J350" s="35" t="s">
        <v>2243</v>
      </c>
      <c r="K350" s="37">
        <v>8</v>
      </c>
      <c r="L350" s="37">
        <v>4</v>
      </c>
      <c r="M350" s="37" t="s">
        <v>0</v>
      </c>
    </row>
    <row r="351" spans="2:13" x14ac:dyDescent="0.25">
      <c r="B351" s="46">
        <v>348</v>
      </c>
      <c r="C351" s="33">
        <v>209440598</v>
      </c>
      <c r="D351" s="43" t="str">
        <f t="shared" si="25"/>
        <v>2-0944-0598</v>
      </c>
      <c r="E351" s="46" t="s">
        <v>290</v>
      </c>
      <c r="F351" s="43" t="str">
        <f t="shared" si="26"/>
        <v>DANIEL</v>
      </c>
      <c r="G351" s="43" t="str">
        <f t="shared" si="27"/>
        <v>DANIEL</v>
      </c>
      <c r="H351" s="43" t="str">
        <f t="shared" si="28"/>
        <v>FERNANDEZ GOMEZ</v>
      </c>
      <c r="I351" s="43" t="str">
        <f t="shared" si="29"/>
        <v>DANIEL FERNANDEZ GOMEZ</v>
      </c>
      <c r="J351" s="35" t="s">
        <v>2243</v>
      </c>
      <c r="K351" s="37">
        <v>8</v>
      </c>
      <c r="L351" s="37">
        <v>4</v>
      </c>
      <c r="M351" s="37" t="s">
        <v>0</v>
      </c>
    </row>
    <row r="352" spans="2:13" x14ac:dyDescent="0.25">
      <c r="B352" s="48">
        <v>349</v>
      </c>
      <c r="C352" s="33">
        <v>209430081</v>
      </c>
      <c r="D352" s="43" t="str">
        <f t="shared" si="25"/>
        <v>2-0943-0081</v>
      </c>
      <c r="E352" s="46" t="s">
        <v>291</v>
      </c>
      <c r="F352" s="43" t="str">
        <f t="shared" si="26"/>
        <v>DARIEL</v>
      </c>
      <c r="G352" s="43" t="str">
        <f t="shared" si="27"/>
        <v>DARIEL</v>
      </c>
      <c r="H352" s="43" t="str">
        <f t="shared" si="28"/>
        <v>GONZALEZ MEZA</v>
      </c>
      <c r="I352" s="43" t="str">
        <f t="shared" si="29"/>
        <v>DARIEL GONZALEZ MEZA</v>
      </c>
      <c r="J352" s="35" t="s">
        <v>2243</v>
      </c>
      <c r="K352" s="37">
        <v>8</v>
      </c>
      <c r="L352" s="37">
        <v>4</v>
      </c>
      <c r="M352" s="37" t="s">
        <v>0</v>
      </c>
    </row>
    <row r="353" spans="2:13" x14ac:dyDescent="0.25">
      <c r="B353" s="48">
        <v>350</v>
      </c>
      <c r="C353" s="33">
        <v>121060918</v>
      </c>
      <c r="D353" s="43" t="str">
        <f t="shared" si="25"/>
        <v>1-2106-0918</v>
      </c>
      <c r="E353" s="46" t="s">
        <v>292</v>
      </c>
      <c r="F353" s="43" t="str">
        <f t="shared" si="26"/>
        <v>KRISTELL DANIELA</v>
      </c>
      <c r="G353" s="43" t="str">
        <f t="shared" si="27"/>
        <v>KRISTELL</v>
      </c>
      <c r="H353" s="43" t="str">
        <f t="shared" si="28"/>
        <v>LEIVA TREJOS</v>
      </c>
      <c r="I353" s="43" t="str">
        <f t="shared" si="29"/>
        <v>KRISTELL LEIVA TREJOS</v>
      </c>
      <c r="J353" s="35" t="s">
        <v>2243</v>
      </c>
      <c r="K353" s="37">
        <v>8</v>
      </c>
      <c r="L353" s="37">
        <v>4</v>
      </c>
      <c r="M353" s="37" t="s">
        <v>0</v>
      </c>
    </row>
    <row r="354" spans="2:13" x14ac:dyDescent="0.25">
      <c r="B354" s="46">
        <v>351</v>
      </c>
      <c r="C354" s="45">
        <v>402820855</v>
      </c>
      <c r="D354" s="43" t="str">
        <f t="shared" si="25"/>
        <v>4-0282-0855</v>
      </c>
      <c r="E354" s="45" t="s">
        <v>293</v>
      </c>
      <c r="F354" s="43" t="str">
        <f t="shared" si="26"/>
        <v>GENESIS YAHAIRA</v>
      </c>
      <c r="G354" s="43" t="str">
        <f t="shared" si="27"/>
        <v>GENESIS</v>
      </c>
      <c r="H354" s="43" t="str">
        <f t="shared" si="28"/>
        <v>MENDOZA RODRIGUEZ</v>
      </c>
      <c r="I354" s="43" t="str">
        <f t="shared" si="29"/>
        <v>GENESIS MENDOZA RODRIGUEZ</v>
      </c>
      <c r="J354" s="35" t="s">
        <v>2243</v>
      </c>
      <c r="K354" s="37">
        <v>8</v>
      </c>
      <c r="L354" s="37">
        <v>4</v>
      </c>
      <c r="M354" s="37" t="s">
        <v>0</v>
      </c>
    </row>
    <row r="355" spans="2:13" x14ac:dyDescent="0.25">
      <c r="B355" s="48">
        <v>352</v>
      </c>
      <c r="C355" s="33">
        <v>209480067</v>
      </c>
      <c r="D355" s="43" t="str">
        <f t="shared" si="25"/>
        <v>2-0948-0067</v>
      </c>
      <c r="E355" s="46" t="s">
        <v>294</v>
      </c>
      <c r="F355" s="43" t="str">
        <f t="shared" si="26"/>
        <v>JACOB ANDRES</v>
      </c>
      <c r="G355" s="43" t="str">
        <f t="shared" si="27"/>
        <v>JACOB</v>
      </c>
      <c r="H355" s="43" t="str">
        <f t="shared" si="28"/>
        <v>MORALES ROSALES</v>
      </c>
      <c r="I355" s="43" t="str">
        <f t="shared" si="29"/>
        <v>JACOB MORALES ROSALES</v>
      </c>
      <c r="J355" s="35" t="s">
        <v>2243</v>
      </c>
      <c r="K355" s="37">
        <v>8</v>
      </c>
      <c r="L355" s="37">
        <v>4</v>
      </c>
      <c r="M355" s="37" t="s">
        <v>0</v>
      </c>
    </row>
    <row r="356" spans="2:13" x14ac:dyDescent="0.25">
      <c r="B356" s="48">
        <v>353</v>
      </c>
      <c r="C356" s="33">
        <v>209430167</v>
      </c>
      <c r="D356" s="43" t="str">
        <f t="shared" si="25"/>
        <v>2-0943-0167</v>
      </c>
      <c r="E356" s="46" t="s">
        <v>295</v>
      </c>
      <c r="F356" s="43" t="str">
        <f t="shared" si="26"/>
        <v>RADLEY SHAMIR</v>
      </c>
      <c r="G356" s="43" t="str">
        <f t="shared" si="27"/>
        <v>RADLEY</v>
      </c>
      <c r="H356" s="43" t="str">
        <f t="shared" si="28"/>
        <v>ROJAS ALVAREZ</v>
      </c>
      <c r="I356" s="43" t="str">
        <f t="shared" si="29"/>
        <v>RADLEY ROJAS ALVAREZ</v>
      </c>
      <c r="J356" s="35" t="s">
        <v>2243</v>
      </c>
      <c r="K356" s="37">
        <v>8</v>
      </c>
      <c r="L356" s="37">
        <v>4</v>
      </c>
      <c r="M356" s="37" t="s">
        <v>0</v>
      </c>
    </row>
    <row r="357" spans="2:13" x14ac:dyDescent="0.25">
      <c r="B357" s="46">
        <v>354</v>
      </c>
      <c r="C357" s="38">
        <v>402940593</v>
      </c>
      <c r="D357" s="43" t="str">
        <f t="shared" si="25"/>
        <v>4-0294-0593</v>
      </c>
      <c r="E357" s="38" t="s">
        <v>296</v>
      </c>
      <c r="F357" s="43" t="str">
        <f t="shared" si="26"/>
        <v>MICHELLE SOPHIA</v>
      </c>
      <c r="G357" s="43" t="str">
        <f t="shared" si="27"/>
        <v>MICHELLE</v>
      </c>
      <c r="H357" s="43" t="str">
        <f t="shared" si="28"/>
        <v>SANCHEZ SALAS</v>
      </c>
      <c r="I357" s="43" t="str">
        <f t="shared" si="29"/>
        <v>MICHELLE SANCHEZ SALAS</v>
      </c>
      <c r="J357" s="35" t="s">
        <v>2243</v>
      </c>
      <c r="K357" s="37">
        <v>8</v>
      </c>
      <c r="L357" s="37">
        <v>4</v>
      </c>
      <c r="M357" s="37" t="s">
        <v>0</v>
      </c>
    </row>
    <row r="358" spans="2:13" x14ac:dyDescent="0.25">
      <c r="B358" s="48">
        <v>355</v>
      </c>
      <c r="C358" s="38">
        <v>209270690</v>
      </c>
      <c r="D358" s="43" t="str">
        <f t="shared" si="25"/>
        <v>2-0927-0690</v>
      </c>
      <c r="E358" s="38" t="s">
        <v>298</v>
      </c>
      <c r="F358" s="43" t="str">
        <f t="shared" si="26"/>
        <v>MATEO JESUS</v>
      </c>
      <c r="G358" s="43" t="str">
        <f t="shared" si="27"/>
        <v>MATEO</v>
      </c>
      <c r="H358" s="43" t="str">
        <f t="shared" si="28"/>
        <v>SOLERA MONGE</v>
      </c>
      <c r="I358" s="43" t="str">
        <f t="shared" si="29"/>
        <v>MATEO SOLERA MONGE</v>
      </c>
      <c r="J358" s="35" t="s">
        <v>2243</v>
      </c>
      <c r="K358" s="37">
        <v>8</v>
      </c>
      <c r="L358" s="37">
        <v>4</v>
      </c>
      <c r="M358" s="37" t="s">
        <v>0</v>
      </c>
    </row>
    <row r="359" spans="2:13" x14ac:dyDescent="0.25">
      <c r="B359" s="48">
        <v>356</v>
      </c>
      <c r="C359" s="38">
        <v>209500059</v>
      </c>
      <c r="D359" s="43" t="str">
        <f t="shared" si="25"/>
        <v>2-0950-0059</v>
      </c>
      <c r="E359" s="38" t="s">
        <v>297</v>
      </c>
      <c r="F359" s="43" t="str">
        <f t="shared" si="26"/>
        <v>PEDRO SAUL</v>
      </c>
      <c r="G359" s="43" t="str">
        <f t="shared" si="27"/>
        <v>PEDRO</v>
      </c>
      <c r="H359" s="43" t="str">
        <f t="shared" si="28"/>
        <v>SOLERA MONGE</v>
      </c>
      <c r="I359" s="43" t="str">
        <f t="shared" si="29"/>
        <v>PEDRO SOLERA MONGE</v>
      </c>
      <c r="J359" s="35" t="s">
        <v>2243</v>
      </c>
      <c r="K359" s="37">
        <v>8</v>
      </c>
      <c r="L359" s="37">
        <v>4</v>
      </c>
      <c r="M359" s="37" t="s">
        <v>0</v>
      </c>
    </row>
    <row r="360" spans="2:13" x14ac:dyDescent="0.25">
      <c r="B360" s="46">
        <v>357</v>
      </c>
      <c r="C360" s="38">
        <v>402950248</v>
      </c>
      <c r="D360" s="43" t="str">
        <f t="shared" si="25"/>
        <v>4-0295-0248</v>
      </c>
      <c r="E360" s="38" t="s">
        <v>299</v>
      </c>
      <c r="F360" s="43" t="str">
        <f t="shared" si="26"/>
        <v>ISABEL</v>
      </c>
      <c r="G360" s="43" t="str">
        <f t="shared" si="27"/>
        <v>ISABEL</v>
      </c>
      <c r="H360" s="43" t="str">
        <f t="shared" si="28"/>
        <v>UREÑA VARGAS</v>
      </c>
      <c r="I360" s="43" t="str">
        <f t="shared" si="29"/>
        <v>ISABEL UREÑA VARGAS</v>
      </c>
      <c r="J360" s="35" t="s">
        <v>2243</v>
      </c>
      <c r="K360" s="37">
        <v>8</v>
      </c>
      <c r="L360" s="37">
        <v>4</v>
      </c>
      <c r="M360" s="37" t="s">
        <v>0</v>
      </c>
    </row>
    <row r="361" spans="2:13" x14ac:dyDescent="0.25">
      <c r="B361" s="48">
        <v>358</v>
      </c>
      <c r="C361" s="33">
        <v>209400224</v>
      </c>
      <c r="D361" s="43" t="str">
        <f t="shared" si="25"/>
        <v>2-0940-0224</v>
      </c>
      <c r="E361" s="46" t="s">
        <v>300</v>
      </c>
      <c r="F361" s="43" t="str">
        <f t="shared" si="26"/>
        <v>MARIA DEL MAR</v>
      </c>
      <c r="G361" s="43" t="str">
        <f t="shared" si="27"/>
        <v>MARIA</v>
      </c>
      <c r="H361" s="43" t="str">
        <f t="shared" si="28"/>
        <v>VILLALOBOS CABRERA</v>
      </c>
      <c r="I361" s="43" t="str">
        <f t="shared" si="29"/>
        <v>MARIA VILLALOBOS CABRERA</v>
      </c>
      <c r="J361" s="35" t="s">
        <v>2243</v>
      </c>
      <c r="K361" s="37">
        <v>8</v>
      </c>
      <c r="L361" s="37">
        <v>4</v>
      </c>
      <c r="M361" s="37" t="s">
        <v>0</v>
      </c>
    </row>
    <row r="362" spans="2:13" x14ac:dyDescent="0.25">
      <c r="B362" s="48">
        <v>359</v>
      </c>
      <c r="C362" s="33">
        <v>209330500</v>
      </c>
      <c r="D362" s="43" t="str">
        <f t="shared" si="25"/>
        <v>2-0933-0500</v>
      </c>
      <c r="E362" s="46" t="s">
        <v>301</v>
      </c>
      <c r="F362" s="43" t="str">
        <f t="shared" si="26"/>
        <v>GENESIS DAYANA</v>
      </c>
      <c r="G362" s="43" t="str">
        <f t="shared" si="27"/>
        <v>GENESIS</v>
      </c>
      <c r="H362" s="43" t="str">
        <f t="shared" si="28"/>
        <v>ALFARO MURILLO</v>
      </c>
      <c r="I362" s="43" t="str">
        <f t="shared" si="29"/>
        <v>GENESIS ALFARO MURILLO</v>
      </c>
      <c r="J362" s="35" t="s">
        <v>2243</v>
      </c>
      <c r="K362" s="37">
        <v>8</v>
      </c>
      <c r="L362" s="37">
        <v>5</v>
      </c>
      <c r="M362" s="37" t="s">
        <v>1</v>
      </c>
    </row>
    <row r="363" spans="2:13" x14ac:dyDescent="0.25">
      <c r="B363" s="46">
        <v>360</v>
      </c>
      <c r="C363" s="33">
        <v>402900871</v>
      </c>
      <c r="D363" s="43" t="str">
        <f t="shared" si="25"/>
        <v>4-0290-0871</v>
      </c>
      <c r="E363" s="46" t="s">
        <v>302</v>
      </c>
      <c r="F363" s="43" t="str">
        <f t="shared" si="26"/>
        <v>MATIAS</v>
      </c>
      <c r="G363" s="43" t="str">
        <f t="shared" si="27"/>
        <v>MATIAS</v>
      </c>
      <c r="H363" s="43" t="str">
        <f t="shared" si="28"/>
        <v>ARCE MONTERO</v>
      </c>
      <c r="I363" s="43" t="str">
        <f t="shared" si="29"/>
        <v>MATIAS ARCE MONTERO</v>
      </c>
      <c r="J363" s="35" t="s">
        <v>2243</v>
      </c>
      <c r="K363" s="37">
        <v>8</v>
      </c>
      <c r="L363" s="37">
        <v>5</v>
      </c>
      <c r="M363" s="37" t="s">
        <v>1</v>
      </c>
    </row>
    <row r="364" spans="2:13" x14ac:dyDescent="0.25">
      <c r="B364" s="48">
        <v>361</v>
      </c>
      <c r="C364" s="38">
        <v>121090090</v>
      </c>
      <c r="D364" s="43" t="str">
        <f t="shared" si="25"/>
        <v>1-2109-0090</v>
      </c>
      <c r="E364" s="38" t="s">
        <v>303</v>
      </c>
      <c r="F364" s="43" t="str">
        <f t="shared" si="26"/>
        <v>SANTIAGO</v>
      </c>
      <c r="G364" s="43" t="str">
        <f t="shared" si="27"/>
        <v>SANTIAGO</v>
      </c>
      <c r="H364" s="43" t="str">
        <f t="shared" si="28"/>
        <v>BRIZUELA CHACON</v>
      </c>
      <c r="I364" s="43" t="str">
        <f t="shared" si="29"/>
        <v>SANTIAGO BRIZUELA CHACON</v>
      </c>
      <c r="J364" s="35" t="s">
        <v>2243</v>
      </c>
      <c r="K364" s="37">
        <v>8</v>
      </c>
      <c r="L364" s="37">
        <v>5</v>
      </c>
      <c r="M364" s="37" t="s">
        <v>1</v>
      </c>
    </row>
    <row r="365" spans="2:13" x14ac:dyDescent="0.25">
      <c r="B365" s="48">
        <v>362</v>
      </c>
      <c r="C365" s="33">
        <v>209450244</v>
      </c>
      <c r="D365" s="43" t="str">
        <f t="shared" si="25"/>
        <v>2-0945-0244</v>
      </c>
      <c r="E365" s="46" t="s">
        <v>304</v>
      </c>
      <c r="F365" s="43" t="str">
        <f t="shared" si="26"/>
        <v>YULIANA</v>
      </c>
      <c r="G365" s="43" t="str">
        <f t="shared" si="27"/>
        <v>YULIANA</v>
      </c>
      <c r="H365" s="43" t="str">
        <f t="shared" si="28"/>
        <v>CESPEDES GONZALEZ</v>
      </c>
      <c r="I365" s="43" t="str">
        <f t="shared" si="29"/>
        <v>YULIANA CESPEDES GONZALEZ</v>
      </c>
      <c r="J365" s="35" t="s">
        <v>2243</v>
      </c>
      <c r="K365" s="37">
        <v>8</v>
      </c>
      <c r="L365" s="37">
        <v>5</v>
      </c>
      <c r="M365" s="37" t="s">
        <v>1</v>
      </c>
    </row>
    <row r="366" spans="2:13" x14ac:dyDescent="0.25">
      <c r="B366" s="46">
        <v>363</v>
      </c>
      <c r="C366" s="33">
        <v>209410396</v>
      </c>
      <c r="D366" s="43" t="str">
        <f t="shared" si="25"/>
        <v>2-0941-0396</v>
      </c>
      <c r="E366" s="46" t="s">
        <v>305</v>
      </c>
      <c r="F366" s="43" t="str">
        <f t="shared" si="26"/>
        <v>SEBASTIAN</v>
      </c>
      <c r="G366" s="43" t="str">
        <f t="shared" si="27"/>
        <v>SEBASTIAN</v>
      </c>
      <c r="H366" s="43" t="str">
        <f t="shared" si="28"/>
        <v>HERRERA CALVO</v>
      </c>
      <c r="I366" s="43" t="str">
        <f t="shared" si="29"/>
        <v>SEBASTIAN HERRERA CALVO</v>
      </c>
      <c r="J366" s="35" t="s">
        <v>2243</v>
      </c>
      <c r="K366" s="37">
        <v>8</v>
      </c>
      <c r="L366" s="37">
        <v>5</v>
      </c>
      <c r="M366" s="37" t="s">
        <v>1</v>
      </c>
    </row>
    <row r="367" spans="2:13" x14ac:dyDescent="0.25">
      <c r="B367" s="48">
        <v>364</v>
      </c>
      <c r="C367" s="33">
        <v>209270129</v>
      </c>
      <c r="D367" s="43" t="str">
        <f t="shared" si="25"/>
        <v>2-0927-0129</v>
      </c>
      <c r="E367" s="46" t="s">
        <v>306</v>
      </c>
      <c r="F367" s="43" t="str">
        <f t="shared" si="26"/>
        <v>SOFIA</v>
      </c>
      <c r="G367" s="43" t="str">
        <f t="shared" si="27"/>
        <v>SOFIA</v>
      </c>
      <c r="H367" s="43" t="str">
        <f t="shared" si="28"/>
        <v>MARTINEZ VARGAS</v>
      </c>
      <c r="I367" s="43" t="str">
        <f t="shared" si="29"/>
        <v>SOFIA MARTINEZ VARGAS</v>
      </c>
      <c r="J367" s="35" t="s">
        <v>2243</v>
      </c>
      <c r="K367" s="37">
        <v>8</v>
      </c>
      <c r="L367" s="37">
        <v>5</v>
      </c>
      <c r="M367" s="37" t="s">
        <v>1</v>
      </c>
    </row>
    <row r="368" spans="2:13" x14ac:dyDescent="0.25">
      <c r="B368" s="48">
        <v>365</v>
      </c>
      <c r="C368" s="38">
        <v>605240477</v>
      </c>
      <c r="D368" s="43" t="str">
        <f t="shared" si="25"/>
        <v>6-0524-0477</v>
      </c>
      <c r="E368" s="38" t="s">
        <v>307</v>
      </c>
      <c r="F368" s="43" t="str">
        <f t="shared" si="26"/>
        <v>SAMIR DUBAN NS</v>
      </c>
      <c r="G368" s="43" t="str">
        <f t="shared" si="27"/>
        <v>SAMIR</v>
      </c>
      <c r="H368" s="43" t="str">
        <f t="shared" si="28"/>
        <v>MONTES BERMUDEZ</v>
      </c>
      <c r="I368" s="43" t="str">
        <f t="shared" si="29"/>
        <v>SAMIR MONTES BERMUDEZ</v>
      </c>
      <c r="J368" s="35" t="s">
        <v>2243</v>
      </c>
      <c r="K368" s="37">
        <v>8</v>
      </c>
      <c r="L368" s="37">
        <v>5</v>
      </c>
      <c r="M368" s="37" t="s">
        <v>1</v>
      </c>
    </row>
    <row r="369" spans="2:13" x14ac:dyDescent="0.25">
      <c r="B369" s="46">
        <v>366</v>
      </c>
      <c r="C369" s="33">
        <v>121280740</v>
      </c>
      <c r="D369" s="43" t="str">
        <f t="shared" si="25"/>
        <v>1-2128-0740</v>
      </c>
      <c r="E369" s="46" t="s">
        <v>308</v>
      </c>
      <c r="F369" s="43" t="str">
        <f t="shared" si="26"/>
        <v>YIRLANY YURIETH</v>
      </c>
      <c r="G369" s="43" t="str">
        <f t="shared" si="27"/>
        <v>YIRLANY</v>
      </c>
      <c r="H369" s="43" t="str">
        <f t="shared" si="28"/>
        <v>MONTES BERMUDEZ</v>
      </c>
      <c r="I369" s="43" t="str">
        <f t="shared" si="29"/>
        <v>YIRLANY MONTES BERMUDEZ</v>
      </c>
      <c r="J369" s="35" t="s">
        <v>2243</v>
      </c>
      <c r="K369" s="37">
        <v>8</v>
      </c>
      <c r="L369" s="37">
        <v>5</v>
      </c>
      <c r="M369" s="37" t="s">
        <v>1</v>
      </c>
    </row>
    <row r="370" spans="2:13" x14ac:dyDescent="0.25">
      <c r="B370" s="48">
        <v>367</v>
      </c>
      <c r="C370" s="33">
        <v>209410749</v>
      </c>
      <c r="D370" s="43" t="str">
        <f t="shared" si="25"/>
        <v>2-0941-0749</v>
      </c>
      <c r="E370" s="46" t="s">
        <v>309</v>
      </c>
      <c r="F370" s="43" t="str">
        <f t="shared" si="26"/>
        <v>HILLARY TATIANA</v>
      </c>
      <c r="G370" s="43" t="str">
        <f t="shared" si="27"/>
        <v>HILLARY</v>
      </c>
      <c r="H370" s="43" t="str">
        <f t="shared" si="28"/>
        <v>NUÑEZ SOTO</v>
      </c>
      <c r="I370" s="43" t="str">
        <f t="shared" si="29"/>
        <v>HILLARY NUÑEZ SOTO</v>
      </c>
      <c r="J370" s="35" t="s">
        <v>2243</v>
      </c>
      <c r="K370" s="37">
        <v>8</v>
      </c>
      <c r="L370" s="37">
        <v>5</v>
      </c>
      <c r="M370" s="37" t="s">
        <v>1</v>
      </c>
    </row>
    <row r="371" spans="2:13" x14ac:dyDescent="0.25">
      <c r="B371" s="48">
        <v>368</v>
      </c>
      <c r="C371" s="33">
        <v>209490762</v>
      </c>
      <c r="D371" s="43" t="str">
        <f t="shared" si="25"/>
        <v>2-0949-0762</v>
      </c>
      <c r="E371" s="46" t="s">
        <v>310</v>
      </c>
      <c r="F371" s="43" t="str">
        <f t="shared" si="26"/>
        <v>DERECK GAEL</v>
      </c>
      <c r="G371" s="43" t="str">
        <f t="shared" si="27"/>
        <v>DERECK</v>
      </c>
      <c r="H371" s="43" t="str">
        <f t="shared" si="28"/>
        <v>RAMIREZ MARIN</v>
      </c>
      <c r="I371" s="43" t="str">
        <f t="shared" si="29"/>
        <v>DERECK RAMIREZ MARIN</v>
      </c>
      <c r="J371" s="35" t="s">
        <v>2243</v>
      </c>
      <c r="K371" s="37">
        <v>8</v>
      </c>
      <c r="L371" s="37">
        <v>5</v>
      </c>
      <c r="M371" s="37" t="s">
        <v>1</v>
      </c>
    </row>
    <row r="372" spans="2:13" x14ac:dyDescent="0.25">
      <c r="B372" s="46">
        <v>369</v>
      </c>
      <c r="C372" s="33">
        <v>209450410</v>
      </c>
      <c r="D372" s="43" t="str">
        <f t="shared" si="25"/>
        <v>2-0945-0410</v>
      </c>
      <c r="E372" s="46" t="s">
        <v>311</v>
      </c>
      <c r="F372" s="43" t="str">
        <f t="shared" si="26"/>
        <v>NATASHA ALEXANDRA</v>
      </c>
      <c r="G372" s="43" t="str">
        <f t="shared" si="27"/>
        <v>NATASHA</v>
      </c>
      <c r="H372" s="43" t="str">
        <f t="shared" si="28"/>
        <v>ROBLETO GAITAN</v>
      </c>
      <c r="I372" s="43" t="str">
        <f t="shared" si="29"/>
        <v>NATASHA ROBLETO GAITAN</v>
      </c>
      <c r="J372" s="35" t="s">
        <v>2243</v>
      </c>
      <c r="K372" s="37">
        <v>8</v>
      </c>
      <c r="L372" s="37">
        <v>5</v>
      </c>
      <c r="M372" s="37" t="s">
        <v>1</v>
      </c>
    </row>
    <row r="373" spans="2:13" x14ac:dyDescent="0.25">
      <c r="B373" s="48">
        <v>370</v>
      </c>
      <c r="C373" s="33">
        <v>209400911</v>
      </c>
      <c r="D373" s="43" t="str">
        <f t="shared" si="25"/>
        <v>2-0940-0911</v>
      </c>
      <c r="E373" s="46" t="s">
        <v>312</v>
      </c>
      <c r="F373" s="43" t="str">
        <f t="shared" si="26"/>
        <v>RACHEL MELISSA</v>
      </c>
      <c r="G373" s="43" t="str">
        <f t="shared" si="27"/>
        <v>RACHEL</v>
      </c>
      <c r="H373" s="43" t="str">
        <f t="shared" si="28"/>
        <v>SALAZAR PADILLA</v>
      </c>
      <c r="I373" s="43" t="str">
        <f t="shared" si="29"/>
        <v>RACHEL SALAZAR PADILLA</v>
      </c>
      <c r="J373" s="35" t="s">
        <v>2243</v>
      </c>
      <c r="K373" s="37">
        <v>8</v>
      </c>
      <c r="L373" s="37">
        <v>5</v>
      </c>
      <c r="M373" s="37" t="s">
        <v>1</v>
      </c>
    </row>
    <row r="374" spans="2:13" x14ac:dyDescent="0.25">
      <c r="B374" s="48">
        <v>371</v>
      </c>
      <c r="C374" s="33">
        <v>209460197</v>
      </c>
      <c r="D374" s="43" t="str">
        <f t="shared" si="25"/>
        <v>2-0946-0197</v>
      </c>
      <c r="E374" s="46" t="s">
        <v>314</v>
      </c>
      <c r="F374" s="43" t="str">
        <f t="shared" si="26"/>
        <v>DOMINICK STEVEN</v>
      </c>
      <c r="G374" s="43" t="str">
        <f t="shared" si="27"/>
        <v>DOMINICK</v>
      </c>
      <c r="H374" s="43" t="str">
        <f t="shared" si="28"/>
        <v>SUAREZ DIAZ</v>
      </c>
      <c r="I374" s="43" t="str">
        <f t="shared" si="29"/>
        <v>DOMINICK SUAREZ DIAZ</v>
      </c>
      <c r="J374" s="35" t="s">
        <v>2243</v>
      </c>
      <c r="K374" s="37">
        <v>8</v>
      </c>
      <c r="L374" s="37">
        <v>5</v>
      </c>
      <c r="M374" s="37" t="s">
        <v>1</v>
      </c>
    </row>
    <row r="375" spans="2:13" x14ac:dyDescent="0.25">
      <c r="B375" s="46">
        <v>372</v>
      </c>
      <c r="C375" s="33">
        <v>209410916</v>
      </c>
      <c r="D375" s="43" t="str">
        <f t="shared" si="25"/>
        <v>2-0941-0916</v>
      </c>
      <c r="E375" s="46" t="s">
        <v>316</v>
      </c>
      <c r="F375" s="43" t="str">
        <f t="shared" si="26"/>
        <v>MATIAS SANTIAGO</v>
      </c>
      <c r="G375" s="43" t="str">
        <f t="shared" si="27"/>
        <v>MATIAS</v>
      </c>
      <c r="H375" s="43" t="str">
        <f t="shared" si="28"/>
        <v>ALVAREZ JIMENEZ</v>
      </c>
      <c r="I375" s="43" t="str">
        <f t="shared" si="29"/>
        <v>MATIAS ALVAREZ JIMENEZ</v>
      </c>
      <c r="J375" s="35" t="s">
        <v>2243</v>
      </c>
      <c r="K375" s="37">
        <v>8</v>
      </c>
      <c r="L375" s="37">
        <v>5</v>
      </c>
      <c r="M375" s="37" t="s">
        <v>0</v>
      </c>
    </row>
    <row r="376" spans="2:13" x14ac:dyDescent="0.25">
      <c r="B376" s="48">
        <v>373</v>
      </c>
      <c r="C376" s="38">
        <v>402900612</v>
      </c>
      <c r="D376" s="43" t="str">
        <f t="shared" si="25"/>
        <v>4-0290-0612</v>
      </c>
      <c r="E376" s="38" t="s">
        <v>317</v>
      </c>
      <c r="F376" s="43" t="str">
        <f t="shared" si="26"/>
        <v>FIORELLA</v>
      </c>
      <c r="G376" s="43" t="str">
        <f t="shared" si="27"/>
        <v>FIORELLA</v>
      </c>
      <c r="H376" s="43" t="str">
        <f t="shared" si="28"/>
        <v>AVALOS GONZALEZ</v>
      </c>
      <c r="I376" s="43" t="str">
        <f t="shared" si="29"/>
        <v>FIORELLA AVALOS GONZALEZ</v>
      </c>
      <c r="J376" s="35" t="s">
        <v>2243</v>
      </c>
      <c r="K376" s="37">
        <v>8</v>
      </c>
      <c r="L376" s="37">
        <v>5</v>
      </c>
      <c r="M376" s="37" t="s">
        <v>0</v>
      </c>
    </row>
    <row r="377" spans="2:13" x14ac:dyDescent="0.25">
      <c r="B377" s="48">
        <v>374</v>
      </c>
      <c r="C377" s="33">
        <v>209440744</v>
      </c>
      <c r="D377" s="43" t="str">
        <f t="shared" si="25"/>
        <v>2-0944-0744</v>
      </c>
      <c r="E377" s="46" t="s">
        <v>318</v>
      </c>
      <c r="F377" s="43" t="str">
        <f t="shared" si="26"/>
        <v>EDRIAN JOSE</v>
      </c>
      <c r="G377" s="43" t="str">
        <f t="shared" si="27"/>
        <v>EDRIAN</v>
      </c>
      <c r="H377" s="43" t="str">
        <f t="shared" si="28"/>
        <v>CALVO MORA</v>
      </c>
      <c r="I377" s="43" t="str">
        <f t="shared" si="29"/>
        <v>EDRIAN CALVO MORA</v>
      </c>
      <c r="J377" s="35" t="s">
        <v>2243</v>
      </c>
      <c r="K377" s="37">
        <v>8</v>
      </c>
      <c r="L377" s="37">
        <v>5</v>
      </c>
      <c r="M377" s="37" t="s">
        <v>0</v>
      </c>
    </row>
    <row r="378" spans="2:13" x14ac:dyDescent="0.25">
      <c r="B378" s="46">
        <v>375</v>
      </c>
      <c r="C378" s="33">
        <v>402930980</v>
      </c>
      <c r="D378" s="43" t="str">
        <f t="shared" si="25"/>
        <v>4-0293-0980</v>
      </c>
      <c r="E378" s="46" t="s">
        <v>319</v>
      </c>
      <c r="F378" s="43" t="str">
        <f t="shared" si="26"/>
        <v>MATIAS ALFONSO</v>
      </c>
      <c r="G378" s="43" t="str">
        <f t="shared" si="27"/>
        <v>MATIAS</v>
      </c>
      <c r="H378" s="43" t="str">
        <f t="shared" si="28"/>
        <v>CHAVES RIVERS</v>
      </c>
      <c r="I378" s="43" t="str">
        <f t="shared" si="29"/>
        <v>MATIAS CHAVES RIVERS</v>
      </c>
      <c r="J378" s="35" t="s">
        <v>2243</v>
      </c>
      <c r="K378" s="37">
        <v>8</v>
      </c>
      <c r="L378" s="37">
        <v>5</v>
      </c>
      <c r="M378" s="37" t="s">
        <v>0</v>
      </c>
    </row>
    <row r="379" spans="2:13" x14ac:dyDescent="0.25">
      <c r="B379" s="48">
        <v>376</v>
      </c>
      <c r="C379" s="38">
        <v>209440563</v>
      </c>
      <c r="D379" s="43" t="str">
        <f t="shared" si="25"/>
        <v>2-0944-0563</v>
      </c>
      <c r="E379" s="38" t="s">
        <v>320</v>
      </c>
      <c r="F379" s="43" t="str">
        <f t="shared" si="26"/>
        <v>EITHAN DAVID</v>
      </c>
      <c r="G379" s="43" t="str">
        <f t="shared" si="27"/>
        <v>EITHAN</v>
      </c>
      <c r="H379" s="43" t="str">
        <f t="shared" si="28"/>
        <v>FERNANDEZ MIRANDA</v>
      </c>
      <c r="I379" s="43" t="str">
        <f t="shared" si="29"/>
        <v>EITHAN FERNANDEZ MIRANDA</v>
      </c>
      <c r="J379" s="35" t="s">
        <v>2243</v>
      </c>
      <c r="K379" s="37">
        <v>8</v>
      </c>
      <c r="L379" s="37">
        <v>5</v>
      </c>
      <c r="M379" s="37" t="s">
        <v>0</v>
      </c>
    </row>
    <row r="380" spans="2:13" x14ac:dyDescent="0.25">
      <c r="B380" s="48">
        <v>377</v>
      </c>
      <c r="C380" s="38">
        <v>402910635</v>
      </c>
      <c r="D380" s="43" t="str">
        <f t="shared" si="25"/>
        <v>4-0291-0635</v>
      </c>
      <c r="E380" s="38" t="s">
        <v>321</v>
      </c>
      <c r="F380" s="43" t="str">
        <f t="shared" si="26"/>
        <v>VALERIA</v>
      </c>
      <c r="G380" s="43" t="str">
        <f t="shared" si="27"/>
        <v>VALERIA</v>
      </c>
      <c r="H380" s="43" t="str">
        <f t="shared" si="28"/>
        <v>GONZALEZ RODRIGUEZ</v>
      </c>
      <c r="I380" s="43" t="str">
        <f t="shared" si="29"/>
        <v>VALERIA GONZALEZ RODRIGUEZ</v>
      </c>
      <c r="J380" s="35" t="s">
        <v>2243</v>
      </c>
      <c r="K380" s="37">
        <v>8</v>
      </c>
      <c r="L380" s="37">
        <v>5</v>
      </c>
      <c r="M380" s="37" t="s">
        <v>0</v>
      </c>
    </row>
    <row r="381" spans="2:13" x14ac:dyDescent="0.25">
      <c r="B381" s="46">
        <v>378</v>
      </c>
      <c r="C381" s="38">
        <v>209420530</v>
      </c>
      <c r="D381" s="43" t="str">
        <f t="shared" si="25"/>
        <v>2-0942-0530</v>
      </c>
      <c r="E381" s="38" t="s">
        <v>322</v>
      </c>
      <c r="F381" s="43" t="str">
        <f t="shared" si="26"/>
        <v>ORIANA</v>
      </c>
      <c r="G381" s="43" t="str">
        <f t="shared" si="27"/>
        <v>ORIANA</v>
      </c>
      <c r="H381" s="43" t="str">
        <f t="shared" si="28"/>
        <v>LIZANO PORRAS</v>
      </c>
      <c r="I381" s="43" t="str">
        <f t="shared" si="29"/>
        <v>ORIANA LIZANO PORRAS</v>
      </c>
      <c r="J381" s="35" t="s">
        <v>2243</v>
      </c>
      <c r="K381" s="37">
        <v>8</v>
      </c>
      <c r="L381" s="37">
        <v>5</v>
      </c>
      <c r="M381" s="37" t="s">
        <v>0</v>
      </c>
    </row>
    <row r="382" spans="2:13" x14ac:dyDescent="0.25">
      <c r="B382" s="48">
        <v>379</v>
      </c>
      <c r="C382" s="33">
        <v>402940898</v>
      </c>
      <c r="D382" s="43" t="str">
        <f t="shared" si="25"/>
        <v>4-0294-0898</v>
      </c>
      <c r="E382" s="46" t="s">
        <v>323</v>
      </c>
      <c r="F382" s="43" t="str">
        <f t="shared" si="26"/>
        <v>FABRICIO JOSUE</v>
      </c>
      <c r="G382" s="43" t="str">
        <f t="shared" si="27"/>
        <v>FABRICIO</v>
      </c>
      <c r="H382" s="43" t="str">
        <f t="shared" si="28"/>
        <v>MESEN GUTIERREZ</v>
      </c>
      <c r="I382" s="43" t="str">
        <f t="shared" si="29"/>
        <v>FABRICIO MESEN GUTIERREZ</v>
      </c>
      <c r="J382" s="35" t="s">
        <v>2243</v>
      </c>
      <c r="K382" s="37">
        <v>8</v>
      </c>
      <c r="L382" s="37">
        <v>5</v>
      </c>
      <c r="M382" s="37" t="s">
        <v>0</v>
      </c>
    </row>
    <row r="383" spans="2:13" x14ac:dyDescent="0.25">
      <c r="B383" s="48">
        <v>380</v>
      </c>
      <c r="C383" s="38">
        <v>402910431</v>
      </c>
      <c r="D383" s="43" t="str">
        <f t="shared" si="25"/>
        <v>4-0291-0431</v>
      </c>
      <c r="E383" s="38" t="s">
        <v>324</v>
      </c>
      <c r="F383" s="43" t="str">
        <f t="shared" si="26"/>
        <v>ANGIE XIMENA</v>
      </c>
      <c r="G383" s="43" t="str">
        <f t="shared" si="27"/>
        <v>ANGIE</v>
      </c>
      <c r="H383" s="43" t="str">
        <f t="shared" si="28"/>
        <v>MOREIRA SALAS</v>
      </c>
      <c r="I383" s="43" t="str">
        <f t="shared" si="29"/>
        <v>ANGIE MOREIRA SALAS</v>
      </c>
      <c r="J383" s="35" t="s">
        <v>2243</v>
      </c>
      <c r="K383" s="37">
        <v>8</v>
      </c>
      <c r="L383" s="37">
        <v>5</v>
      </c>
      <c r="M383" s="37" t="s">
        <v>0</v>
      </c>
    </row>
    <row r="384" spans="2:13" x14ac:dyDescent="0.25">
      <c r="B384" s="46">
        <v>381</v>
      </c>
      <c r="C384" s="33">
        <v>209480456</v>
      </c>
      <c r="D384" s="43" t="str">
        <f t="shared" si="25"/>
        <v>2-0948-0456</v>
      </c>
      <c r="E384" s="46" t="s">
        <v>325</v>
      </c>
      <c r="F384" s="43" t="str">
        <f t="shared" si="26"/>
        <v>STEFFANY</v>
      </c>
      <c r="G384" s="43" t="str">
        <f t="shared" si="27"/>
        <v>STEFFANY</v>
      </c>
      <c r="H384" s="43" t="str">
        <f t="shared" si="28"/>
        <v>PEREIRA ROJAS</v>
      </c>
      <c r="I384" s="43" t="str">
        <f t="shared" si="29"/>
        <v>STEFFANY PEREIRA ROJAS</v>
      </c>
      <c r="J384" s="35" t="s">
        <v>2243</v>
      </c>
      <c r="K384" s="37">
        <v>8</v>
      </c>
      <c r="L384" s="37">
        <v>5</v>
      </c>
      <c r="M384" s="37" t="s">
        <v>0</v>
      </c>
    </row>
    <row r="385" spans="2:13" x14ac:dyDescent="0.25">
      <c r="B385" s="48">
        <v>382</v>
      </c>
      <c r="C385" s="38">
        <v>209360973</v>
      </c>
      <c r="D385" s="43" t="str">
        <f t="shared" si="25"/>
        <v>2-0936-0973</v>
      </c>
      <c r="E385" s="38" t="s">
        <v>326</v>
      </c>
      <c r="F385" s="43" t="str">
        <f t="shared" si="26"/>
        <v>JULIANNA SOFIA</v>
      </c>
      <c r="G385" s="43" t="str">
        <f t="shared" si="27"/>
        <v>JULIANNA</v>
      </c>
      <c r="H385" s="43" t="str">
        <f t="shared" si="28"/>
        <v>ROCHA OVIEDO</v>
      </c>
      <c r="I385" s="43" t="str">
        <f t="shared" si="29"/>
        <v>JULIANNA ROCHA OVIEDO</v>
      </c>
      <c r="J385" s="35" t="s">
        <v>2243</v>
      </c>
      <c r="K385" s="37">
        <v>8</v>
      </c>
      <c r="L385" s="37">
        <v>5</v>
      </c>
      <c r="M385" s="37" t="s">
        <v>0</v>
      </c>
    </row>
    <row r="386" spans="2:13" x14ac:dyDescent="0.25">
      <c r="B386" s="48">
        <v>383</v>
      </c>
      <c r="C386" s="33">
        <v>209350860</v>
      </c>
      <c r="D386" s="43" t="str">
        <f t="shared" si="25"/>
        <v>2-0935-0860</v>
      </c>
      <c r="E386" s="46" t="s">
        <v>327</v>
      </c>
      <c r="F386" s="43" t="str">
        <f t="shared" si="26"/>
        <v>KIANY NAHOMI</v>
      </c>
      <c r="G386" s="43" t="str">
        <f t="shared" si="27"/>
        <v>KIANY</v>
      </c>
      <c r="H386" s="43" t="str">
        <f t="shared" si="28"/>
        <v>RUIZ GUZMAN</v>
      </c>
      <c r="I386" s="43" t="str">
        <f t="shared" si="29"/>
        <v>KIANY RUIZ GUZMAN</v>
      </c>
      <c r="J386" s="35" t="s">
        <v>2243</v>
      </c>
      <c r="K386" s="37">
        <v>8</v>
      </c>
      <c r="L386" s="37">
        <v>5</v>
      </c>
      <c r="M386" s="37" t="s">
        <v>0</v>
      </c>
    </row>
    <row r="387" spans="2:13" x14ac:dyDescent="0.25">
      <c r="B387" s="46">
        <v>384</v>
      </c>
      <c r="C387" s="38">
        <v>209380567</v>
      </c>
      <c r="D387" s="43" t="str">
        <f t="shared" si="25"/>
        <v>2-0938-0567</v>
      </c>
      <c r="E387" s="38" t="s">
        <v>328</v>
      </c>
      <c r="F387" s="43" t="str">
        <f t="shared" si="26"/>
        <v>ADRIEL SAMUEL</v>
      </c>
      <c r="G387" s="43" t="str">
        <f t="shared" si="27"/>
        <v>ADRIEL</v>
      </c>
      <c r="H387" s="43" t="str">
        <f t="shared" si="28"/>
        <v>SANCHEZ ZELEDON</v>
      </c>
      <c r="I387" s="43" t="str">
        <f t="shared" si="29"/>
        <v>ADRIEL SANCHEZ ZELEDON</v>
      </c>
      <c r="J387" s="35" t="s">
        <v>2243</v>
      </c>
      <c r="K387" s="37">
        <v>8</v>
      </c>
      <c r="L387" s="37">
        <v>5</v>
      </c>
      <c r="M387" s="37" t="s">
        <v>0</v>
      </c>
    </row>
    <row r="388" spans="2:13" x14ac:dyDescent="0.25">
      <c r="B388" s="48">
        <v>385</v>
      </c>
      <c r="C388" s="38">
        <v>402900971</v>
      </c>
      <c r="D388" s="43" t="str">
        <f t="shared" ref="D388:D451" si="30">IF(LEN(C388)=9,_xlfn.CONCAT(MID(C388,1,1),"-",MID(C388,2,4),"-",MID(C388,6,4)),TEXT(C388,"000000000000"))</f>
        <v>4-0290-0971</v>
      </c>
      <c r="E388" s="38" t="s">
        <v>329</v>
      </c>
      <c r="F388" s="43" t="str">
        <f t="shared" si="26"/>
        <v>MATHIAS FABIAN</v>
      </c>
      <c r="G388" s="43" t="str">
        <f t="shared" si="27"/>
        <v>MATHIAS</v>
      </c>
      <c r="H388" s="43" t="str">
        <f t="shared" si="28"/>
        <v>SOLIS CHACON</v>
      </c>
      <c r="I388" s="43" t="str">
        <f t="shared" si="29"/>
        <v>MATHIAS SOLIS CHACON</v>
      </c>
      <c r="J388" s="35" t="s">
        <v>2243</v>
      </c>
      <c r="K388" s="37">
        <v>8</v>
      </c>
      <c r="L388" s="37">
        <v>5</v>
      </c>
      <c r="M388" s="37" t="s">
        <v>0</v>
      </c>
    </row>
    <row r="389" spans="2:13" x14ac:dyDescent="0.25">
      <c r="B389" s="48">
        <v>386</v>
      </c>
      <c r="C389" s="38">
        <v>402950685</v>
      </c>
      <c r="D389" s="43" t="str">
        <f t="shared" si="30"/>
        <v>4-0295-0685</v>
      </c>
      <c r="E389" s="38" t="s">
        <v>330</v>
      </c>
      <c r="F389" s="43" t="str">
        <f t="shared" ref="F389:F452" si="31">RIGHT(E389,LEN(E389)-SEARCH(" ",E389,SEARCH(" ",E389)+1))</f>
        <v>EMILY SOPHIA</v>
      </c>
      <c r="G389" s="43" t="str">
        <f t="shared" ref="G389:G452" si="32">IFERROR(LEFT(F389,SEARCH(" ",F389,1)-1),F389)</f>
        <v>EMILY</v>
      </c>
      <c r="H389" s="43" t="str">
        <f t="shared" ref="H389:H452" si="33">LEFT(E389,SEARCH(" ",E389,SEARCH(" ",E389)+1)-1)</f>
        <v>VADO CASTRO</v>
      </c>
      <c r="I389" s="43" t="str">
        <f t="shared" ref="I389:I452" si="34">_xlfn.CONCAT(G389," ",H389)</f>
        <v>EMILY VADO CASTRO</v>
      </c>
      <c r="J389" s="35" t="s">
        <v>2243</v>
      </c>
      <c r="K389" s="37">
        <v>8</v>
      </c>
      <c r="L389" s="37">
        <v>5</v>
      </c>
      <c r="M389" s="37" t="s">
        <v>0</v>
      </c>
    </row>
    <row r="390" spans="2:13" x14ac:dyDescent="0.25">
      <c r="B390" s="46">
        <v>387</v>
      </c>
      <c r="C390" s="38">
        <v>209470533</v>
      </c>
      <c r="D390" s="43" t="str">
        <f t="shared" si="30"/>
        <v>2-0947-0533</v>
      </c>
      <c r="E390" s="38" t="s">
        <v>331</v>
      </c>
      <c r="F390" s="43" t="str">
        <f t="shared" si="31"/>
        <v>ADRIEL ALBERTO</v>
      </c>
      <c r="G390" s="43" t="str">
        <f t="shared" si="32"/>
        <v>ADRIEL</v>
      </c>
      <c r="H390" s="43" t="str">
        <f t="shared" si="33"/>
        <v>VILLALOBOS GAMBOA</v>
      </c>
      <c r="I390" s="43" t="str">
        <f t="shared" si="34"/>
        <v>ADRIEL VILLALOBOS GAMBOA</v>
      </c>
      <c r="J390" s="35" t="s">
        <v>2243</v>
      </c>
      <c r="K390" s="37">
        <v>8</v>
      </c>
      <c r="L390" s="37">
        <v>5</v>
      </c>
      <c r="M390" s="37" t="s">
        <v>0</v>
      </c>
    </row>
    <row r="391" spans="2:13" x14ac:dyDescent="0.25">
      <c r="B391" s="48">
        <v>388</v>
      </c>
      <c r="C391" s="38">
        <v>209200632</v>
      </c>
      <c r="D391" s="43" t="str">
        <f t="shared" si="30"/>
        <v>2-0920-0632</v>
      </c>
      <c r="E391" s="38" t="s">
        <v>332</v>
      </c>
      <c r="F391" s="43" t="str">
        <f t="shared" si="31"/>
        <v>JOSE MAKENSY</v>
      </c>
      <c r="G391" s="43" t="str">
        <f t="shared" si="32"/>
        <v>JOSE</v>
      </c>
      <c r="H391" s="43" t="str">
        <f t="shared" si="33"/>
        <v>ALVARADO ACHIO</v>
      </c>
      <c r="I391" s="43" t="str">
        <f t="shared" si="34"/>
        <v>JOSE ALVARADO ACHIO</v>
      </c>
      <c r="J391" s="35" t="s">
        <v>2243</v>
      </c>
      <c r="K391" s="37">
        <v>8</v>
      </c>
      <c r="L391" s="37">
        <v>6</v>
      </c>
      <c r="M391" s="37" t="s">
        <v>1</v>
      </c>
    </row>
    <row r="392" spans="2:13" x14ac:dyDescent="0.25">
      <c r="B392" s="48">
        <v>389</v>
      </c>
      <c r="C392" s="33">
        <v>402930103</v>
      </c>
      <c r="D392" s="43" t="str">
        <f t="shared" si="30"/>
        <v>4-0293-0103</v>
      </c>
      <c r="E392" s="46" t="s">
        <v>333</v>
      </c>
      <c r="F392" s="43" t="str">
        <f t="shared" si="31"/>
        <v>EMILIANO</v>
      </c>
      <c r="G392" s="43" t="str">
        <f t="shared" si="32"/>
        <v>EMILIANO</v>
      </c>
      <c r="H392" s="43" t="str">
        <f t="shared" si="33"/>
        <v>ARIAS ALFARO</v>
      </c>
      <c r="I392" s="43" t="str">
        <f t="shared" si="34"/>
        <v>EMILIANO ARIAS ALFARO</v>
      </c>
      <c r="J392" s="35" t="s">
        <v>2243</v>
      </c>
      <c r="K392" s="37">
        <v>8</v>
      </c>
      <c r="L392" s="37">
        <v>6</v>
      </c>
      <c r="M392" s="37" t="s">
        <v>1</v>
      </c>
    </row>
    <row r="393" spans="2:13" x14ac:dyDescent="0.25">
      <c r="B393" s="46">
        <v>390</v>
      </c>
      <c r="C393" s="38">
        <v>209430466</v>
      </c>
      <c r="D393" s="43" t="str">
        <f t="shared" si="30"/>
        <v>2-0943-0466</v>
      </c>
      <c r="E393" s="38" t="s">
        <v>334</v>
      </c>
      <c r="F393" s="43" t="str">
        <f t="shared" si="31"/>
        <v>NAHOMY SOFIA</v>
      </c>
      <c r="G393" s="43" t="str">
        <f t="shared" si="32"/>
        <v>NAHOMY</v>
      </c>
      <c r="H393" s="43" t="str">
        <f t="shared" si="33"/>
        <v>BOLAÑOS MORA</v>
      </c>
      <c r="I393" s="43" t="str">
        <f t="shared" si="34"/>
        <v>NAHOMY BOLAÑOS MORA</v>
      </c>
      <c r="J393" s="35" t="s">
        <v>2243</v>
      </c>
      <c r="K393" s="37">
        <v>8</v>
      </c>
      <c r="L393" s="37">
        <v>6</v>
      </c>
      <c r="M393" s="37" t="s">
        <v>1</v>
      </c>
    </row>
    <row r="394" spans="2:13" x14ac:dyDescent="0.25">
      <c r="B394" s="48">
        <v>391</v>
      </c>
      <c r="C394" s="38">
        <v>402910474</v>
      </c>
      <c r="D394" s="43" t="str">
        <f t="shared" si="30"/>
        <v>4-0291-0474</v>
      </c>
      <c r="E394" s="38" t="s">
        <v>335</v>
      </c>
      <c r="F394" s="43" t="str">
        <f t="shared" si="31"/>
        <v>DAYANA</v>
      </c>
      <c r="G394" s="43" t="str">
        <f t="shared" si="32"/>
        <v>DAYANA</v>
      </c>
      <c r="H394" s="43" t="str">
        <f t="shared" si="33"/>
        <v>CESPEDES NUÑEZ</v>
      </c>
      <c r="I394" s="43" t="str">
        <f t="shared" si="34"/>
        <v>DAYANA CESPEDES NUÑEZ</v>
      </c>
      <c r="J394" s="35" t="s">
        <v>2243</v>
      </c>
      <c r="K394" s="37">
        <v>8</v>
      </c>
      <c r="L394" s="37">
        <v>6</v>
      </c>
      <c r="M394" s="37" t="s">
        <v>1</v>
      </c>
    </row>
    <row r="395" spans="2:13" x14ac:dyDescent="0.25">
      <c r="B395" s="48">
        <v>392</v>
      </c>
      <c r="C395" s="38">
        <v>209430666</v>
      </c>
      <c r="D395" s="43" t="str">
        <f t="shared" si="30"/>
        <v>2-0943-0666</v>
      </c>
      <c r="E395" s="38" t="s">
        <v>336</v>
      </c>
      <c r="F395" s="43" t="str">
        <f t="shared" si="31"/>
        <v>TYLER</v>
      </c>
      <c r="G395" s="43" t="str">
        <f t="shared" si="32"/>
        <v>TYLER</v>
      </c>
      <c r="H395" s="43" t="str">
        <f t="shared" si="33"/>
        <v>EDUARTE GARRO</v>
      </c>
      <c r="I395" s="43" t="str">
        <f t="shared" si="34"/>
        <v>TYLER EDUARTE GARRO</v>
      </c>
      <c r="J395" s="35" t="s">
        <v>2243</v>
      </c>
      <c r="K395" s="37">
        <v>8</v>
      </c>
      <c r="L395" s="37">
        <v>6</v>
      </c>
      <c r="M395" s="37" t="s">
        <v>1</v>
      </c>
    </row>
    <row r="396" spans="2:13" x14ac:dyDescent="0.25">
      <c r="B396" s="46">
        <v>393</v>
      </c>
      <c r="C396" s="33">
        <v>209310999</v>
      </c>
      <c r="D396" s="43" t="str">
        <f t="shared" si="30"/>
        <v>2-0931-0999</v>
      </c>
      <c r="E396" s="46" t="s">
        <v>506</v>
      </c>
      <c r="F396" s="43" t="str">
        <f t="shared" si="31"/>
        <v>CRISTIAN GABRIEL</v>
      </c>
      <c r="G396" s="43" t="str">
        <f t="shared" si="32"/>
        <v>CRISTIAN</v>
      </c>
      <c r="H396" s="43" t="str">
        <f t="shared" si="33"/>
        <v>FALLAS BLANDON</v>
      </c>
      <c r="I396" s="43" t="str">
        <f t="shared" si="34"/>
        <v>CRISTIAN FALLAS BLANDON</v>
      </c>
      <c r="J396" s="35" t="s">
        <v>2243</v>
      </c>
      <c r="K396" s="37">
        <v>8</v>
      </c>
      <c r="L396" s="37">
        <v>6</v>
      </c>
      <c r="M396" s="37" t="s">
        <v>1</v>
      </c>
    </row>
    <row r="397" spans="2:13" x14ac:dyDescent="0.25">
      <c r="B397" s="48">
        <v>394</v>
      </c>
      <c r="C397" s="33">
        <v>209400863</v>
      </c>
      <c r="D397" s="43" t="str">
        <f t="shared" si="30"/>
        <v>2-0940-0863</v>
      </c>
      <c r="E397" s="46" t="s">
        <v>339</v>
      </c>
      <c r="F397" s="43" t="str">
        <f t="shared" si="31"/>
        <v>RITZIANNY</v>
      </c>
      <c r="G397" s="43" t="str">
        <f t="shared" si="32"/>
        <v>RITZIANNY</v>
      </c>
      <c r="H397" s="43" t="str">
        <f t="shared" si="33"/>
        <v>NUÑEZ TENORIO</v>
      </c>
      <c r="I397" s="43" t="str">
        <f t="shared" si="34"/>
        <v>RITZIANNY NUÑEZ TENORIO</v>
      </c>
      <c r="J397" s="35" t="s">
        <v>2243</v>
      </c>
      <c r="K397" s="37">
        <v>8</v>
      </c>
      <c r="L397" s="37">
        <v>6</v>
      </c>
      <c r="M397" s="37" t="s">
        <v>1</v>
      </c>
    </row>
    <row r="398" spans="2:13" x14ac:dyDescent="0.25">
      <c r="B398" s="48">
        <v>395</v>
      </c>
      <c r="C398" s="38">
        <v>209480392</v>
      </c>
      <c r="D398" s="43" t="str">
        <f t="shared" si="30"/>
        <v>2-0948-0392</v>
      </c>
      <c r="E398" s="38" t="s">
        <v>340</v>
      </c>
      <c r="F398" s="43" t="str">
        <f t="shared" si="31"/>
        <v>DOMINICK DAVID</v>
      </c>
      <c r="G398" s="43" t="str">
        <f t="shared" si="32"/>
        <v>DOMINICK</v>
      </c>
      <c r="H398" s="43" t="str">
        <f t="shared" si="33"/>
        <v>SALAZAR VILLEGAS</v>
      </c>
      <c r="I398" s="43" t="str">
        <f t="shared" si="34"/>
        <v>DOMINICK SALAZAR VILLEGAS</v>
      </c>
      <c r="J398" s="35" t="s">
        <v>2243</v>
      </c>
      <c r="K398" s="37">
        <v>8</v>
      </c>
      <c r="L398" s="37">
        <v>6</v>
      </c>
      <c r="M398" s="37" t="s">
        <v>1</v>
      </c>
    </row>
    <row r="399" spans="2:13" x14ac:dyDescent="0.25">
      <c r="B399" s="46">
        <v>396</v>
      </c>
      <c r="C399" s="38">
        <v>209360637</v>
      </c>
      <c r="D399" s="43" t="str">
        <f t="shared" si="30"/>
        <v>2-0936-0637</v>
      </c>
      <c r="E399" s="38" t="s">
        <v>341</v>
      </c>
      <c r="F399" s="43" t="str">
        <f t="shared" si="31"/>
        <v>LUIS ARMANDO</v>
      </c>
      <c r="G399" s="43" t="str">
        <f t="shared" si="32"/>
        <v>LUIS</v>
      </c>
      <c r="H399" s="43" t="str">
        <f t="shared" si="33"/>
        <v>SEGURA JIMENEZ</v>
      </c>
      <c r="I399" s="43" t="str">
        <f t="shared" si="34"/>
        <v>LUIS SEGURA JIMENEZ</v>
      </c>
      <c r="J399" s="35" t="s">
        <v>2243</v>
      </c>
      <c r="K399" s="37">
        <v>8</v>
      </c>
      <c r="L399" s="37">
        <v>6</v>
      </c>
      <c r="M399" s="37" t="s">
        <v>1</v>
      </c>
    </row>
    <row r="400" spans="2:13" x14ac:dyDescent="0.25">
      <c r="B400" s="48">
        <v>397</v>
      </c>
      <c r="C400" s="33">
        <v>209460235</v>
      </c>
      <c r="D400" s="43" t="str">
        <f t="shared" si="30"/>
        <v>2-0946-0235</v>
      </c>
      <c r="E400" s="46" t="s">
        <v>342</v>
      </c>
      <c r="F400" s="43" t="str">
        <f t="shared" si="31"/>
        <v>MARYPAZ</v>
      </c>
      <c r="G400" s="43" t="str">
        <f t="shared" si="32"/>
        <v>MARYPAZ</v>
      </c>
      <c r="H400" s="43" t="str">
        <f t="shared" si="33"/>
        <v>SEGURA SEGURA</v>
      </c>
      <c r="I400" s="43" t="str">
        <f t="shared" si="34"/>
        <v>MARYPAZ SEGURA SEGURA</v>
      </c>
      <c r="J400" s="35" t="s">
        <v>2243</v>
      </c>
      <c r="K400" s="37">
        <v>8</v>
      </c>
      <c r="L400" s="37">
        <v>6</v>
      </c>
      <c r="M400" s="37" t="s">
        <v>1</v>
      </c>
    </row>
    <row r="401" spans="2:13" x14ac:dyDescent="0.25">
      <c r="B401" s="48">
        <v>398</v>
      </c>
      <c r="C401" s="38">
        <v>209510880</v>
      </c>
      <c r="D401" s="43" t="str">
        <f t="shared" si="30"/>
        <v>2-0951-0880</v>
      </c>
      <c r="E401" s="38" t="s">
        <v>343</v>
      </c>
      <c r="F401" s="43" t="str">
        <f t="shared" si="31"/>
        <v>YAZARI ESTEFANY</v>
      </c>
      <c r="G401" s="43" t="str">
        <f t="shared" si="32"/>
        <v>YAZARI</v>
      </c>
      <c r="H401" s="43" t="str">
        <f t="shared" si="33"/>
        <v>ULLOA MEZA</v>
      </c>
      <c r="I401" s="43" t="str">
        <f t="shared" si="34"/>
        <v>YAZARI ULLOA MEZA</v>
      </c>
      <c r="J401" s="35" t="s">
        <v>2243</v>
      </c>
      <c r="K401" s="37">
        <v>8</v>
      </c>
      <c r="L401" s="37">
        <v>6</v>
      </c>
      <c r="M401" s="37" t="s">
        <v>1</v>
      </c>
    </row>
    <row r="402" spans="2:13" x14ac:dyDescent="0.25">
      <c r="B402" s="46">
        <v>399</v>
      </c>
      <c r="C402" s="38">
        <v>402900353</v>
      </c>
      <c r="D402" s="43" t="str">
        <f t="shared" si="30"/>
        <v>4-0290-0353</v>
      </c>
      <c r="E402" s="38" t="s">
        <v>344</v>
      </c>
      <c r="F402" s="43" t="str">
        <f t="shared" si="31"/>
        <v>NATALIA DEL ROSARIO</v>
      </c>
      <c r="G402" s="43" t="str">
        <f t="shared" si="32"/>
        <v>NATALIA</v>
      </c>
      <c r="H402" s="43" t="str">
        <f t="shared" si="33"/>
        <v>VASQUEZ MERCADO</v>
      </c>
      <c r="I402" s="43" t="str">
        <f t="shared" si="34"/>
        <v>NATALIA VASQUEZ MERCADO</v>
      </c>
      <c r="J402" s="35" t="s">
        <v>2243</v>
      </c>
      <c r="K402" s="37">
        <v>8</v>
      </c>
      <c r="L402" s="37">
        <v>6</v>
      </c>
      <c r="M402" s="37" t="s">
        <v>1</v>
      </c>
    </row>
    <row r="403" spans="2:13" x14ac:dyDescent="0.25">
      <c r="B403" s="48">
        <v>400</v>
      </c>
      <c r="C403" s="33">
        <v>209380704</v>
      </c>
      <c r="D403" s="43" t="str">
        <f t="shared" si="30"/>
        <v>2-0938-0704</v>
      </c>
      <c r="E403" s="46" t="s">
        <v>210</v>
      </c>
      <c r="F403" s="43" t="str">
        <f t="shared" si="31"/>
        <v>VALENTINA</v>
      </c>
      <c r="G403" s="43" t="str">
        <f t="shared" si="32"/>
        <v>VALENTINA</v>
      </c>
      <c r="H403" s="43" t="str">
        <f t="shared" si="33"/>
        <v>VILCHEZ ALVARADO</v>
      </c>
      <c r="I403" s="43" t="str">
        <f t="shared" si="34"/>
        <v>VALENTINA VILCHEZ ALVARADO</v>
      </c>
      <c r="J403" s="35" t="s">
        <v>2243</v>
      </c>
      <c r="K403" s="37">
        <v>8</v>
      </c>
      <c r="L403" s="37">
        <v>6</v>
      </c>
      <c r="M403" s="37" t="s">
        <v>1</v>
      </c>
    </row>
    <row r="404" spans="2:13" x14ac:dyDescent="0.25">
      <c r="B404" s="48">
        <v>401</v>
      </c>
      <c r="C404" s="38">
        <v>121020643</v>
      </c>
      <c r="D404" s="43" t="str">
        <f t="shared" si="30"/>
        <v>1-2102-0643</v>
      </c>
      <c r="E404" s="38" t="s">
        <v>345</v>
      </c>
      <c r="F404" s="43" t="str">
        <f t="shared" si="31"/>
        <v>HANNA VALERIA</v>
      </c>
      <c r="G404" s="43" t="str">
        <f t="shared" si="32"/>
        <v>HANNA</v>
      </c>
      <c r="H404" s="43" t="str">
        <f t="shared" si="33"/>
        <v>VILLALOBOS PEREZ</v>
      </c>
      <c r="I404" s="43" t="str">
        <f t="shared" si="34"/>
        <v>HANNA VILLALOBOS PEREZ</v>
      </c>
      <c r="J404" s="35" t="s">
        <v>2243</v>
      </c>
      <c r="K404" s="37">
        <v>8</v>
      </c>
      <c r="L404" s="37">
        <v>6</v>
      </c>
      <c r="M404" s="37" t="s">
        <v>1</v>
      </c>
    </row>
    <row r="405" spans="2:13" x14ac:dyDescent="0.25">
      <c r="B405" s="46">
        <v>402</v>
      </c>
      <c r="C405" s="33">
        <v>402930940</v>
      </c>
      <c r="D405" s="43" t="str">
        <f t="shared" si="30"/>
        <v>4-0293-0940</v>
      </c>
      <c r="E405" s="33" t="s">
        <v>346</v>
      </c>
      <c r="F405" s="43" t="str">
        <f t="shared" si="31"/>
        <v>RUTH NATHALIA</v>
      </c>
      <c r="G405" s="43" t="str">
        <f t="shared" si="32"/>
        <v>RUTH</v>
      </c>
      <c r="H405" s="43" t="str">
        <f t="shared" si="33"/>
        <v>ZUÑIGA GUILLEN</v>
      </c>
      <c r="I405" s="43" t="str">
        <f t="shared" si="34"/>
        <v>RUTH ZUÑIGA GUILLEN</v>
      </c>
      <c r="J405" s="35" t="s">
        <v>2243</v>
      </c>
      <c r="K405" s="37">
        <v>8</v>
      </c>
      <c r="L405" s="37">
        <v>6</v>
      </c>
      <c r="M405" s="37" t="s">
        <v>1</v>
      </c>
    </row>
    <row r="406" spans="2:13" x14ac:dyDescent="0.25">
      <c r="B406" s="48">
        <v>403</v>
      </c>
      <c r="C406" s="33">
        <v>209430963</v>
      </c>
      <c r="D406" s="43" t="str">
        <f t="shared" si="30"/>
        <v>2-0943-0963</v>
      </c>
      <c r="E406" s="46" t="s">
        <v>347</v>
      </c>
      <c r="F406" s="43" t="str">
        <f t="shared" si="31"/>
        <v>KENDALL DAVID</v>
      </c>
      <c r="G406" s="43" t="str">
        <f t="shared" si="32"/>
        <v>KENDALL</v>
      </c>
      <c r="H406" s="43" t="str">
        <f t="shared" si="33"/>
        <v>ALVAREZ LOAIZA</v>
      </c>
      <c r="I406" s="43" t="str">
        <f t="shared" si="34"/>
        <v>KENDALL ALVAREZ LOAIZA</v>
      </c>
      <c r="J406" s="35" t="s">
        <v>2243</v>
      </c>
      <c r="K406" s="37">
        <v>8</v>
      </c>
      <c r="L406" s="37">
        <v>6</v>
      </c>
      <c r="M406" s="37" t="s">
        <v>0</v>
      </c>
    </row>
    <row r="407" spans="2:13" x14ac:dyDescent="0.25">
      <c r="B407" s="48">
        <v>404</v>
      </c>
      <c r="C407" s="45">
        <v>402880224</v>
      </c>
      <c r="D407" s="43" t="str">
        <f t="shared" si="30"/>
        <v>4-0288-0224</v>
      </c>
      <c r="E407" s="45" t="s">
        <v>348</v>
      </c>
      <c r="F407" s="43" t="str">
        <f t="shared" si="31"/>
        <v>WINDEL GABRIEL</v>
      </c>
      <c r="G407" s="43" t="str">
        <f t="shared" si="32"/>
        <v>WINDEL</v>
      </c>
      <c r="H407" s="43" t="str">
        <f t="shared" si="33"/>
        <v>AVILA ARAYA</v>
      </c>
      <c r="I407" s="43" t="str">
        <f t="shared" si="34"/>
        <v>WINDEL AVILA ARAYA</v>
      </c>
      <c r="J407" s="35" t="s">
        <v>2243</v>
      </c>
      <c r="K407" s="37">
        <v>8</v>
      </c>
      <c r="L407" s="37">
        <v>6</v>
      </c>
      <c r="M407" s="37" t="s">
        <v>0</v>
      </c>
    </row>
    <row r="408" spans="2:13" x14ac:dyDescent="0.25">
      <c r="B408" s="46">
        <v>405</v>
      </c>
      <c r="C408" s="33">
        <v>209450494</v>
      </c>
      <c r="D408" s="43" t="str">
        <f t="shared" si="30"/>
        <v>2-0945-0494</v>
      </c>
      <c r="E408" s="46" t="s">
        <v>349</v>
      </c>
      <c r="F408" s="43" t="str">
        <f t="shared" si="31"/>
        <v>CARLOS ANDREY</v>
      </c>
      <c r="G408" s="43" t="str">
        <f t="shared" si="32"/>
        <v>CARLOS</v>
      </c>
      <c r="H408" s="43" t="str">
        <f t="shared" si="33"/>
        <v>CAMACHO SAMUDIO</v>
      </c>
      <c r="I408" s="43" t="str">
        <f t="shared" si="34"/>
        <v>CARLOS CAMACHO SAMUDIO</v>
      </c>
      <c r="J408" s="35" t="s">
        <v>2243</v>
      </c>
      <c r="K408" s="37">
        <v>8</v>
      </c>
      <c r="L408" s="37">
        <v>6</v>
      </c>
      <c r="M408" s="37" t="s">
        <v>0</v>
      </c>
    </row>
    <row r="409" spans="2:13" x14ac:dyDescent="0.25">
      <c r="B409" s="48">
        <v>406</v>
      </c>
      <c r="C409" s="38">
        <v>209370204</v>
      </c>
      <c r="D409" s="43" t="str">
        <f t="shared" si="30"/>
        <v>2-0937-0204</v>
      </c>
      <c r="E409" s="38" t="s">
        <v>2366</v>
      </c>
      <c r="F409" s="43" t="str">
        <f t="shared" si="31"/>
        <v>VALERIA</v>
      </c>
      <c r="G409" s="43" t="str">
        <f t="shared" si="32"/>
        <v>VALERIA</v>
      </c>
      <c r="H409" s="43" t="str">
        <f t="shared" si="33"/>
        <v>CHAVES SIRIAS</v>
      </c>
      <c r="I409" s="43" t="str">
        <f t="shared" si="34"/>
        <v>VALERIA CHAVES SIRIAS</v>
      </c>
      <c r="J409" s="35" t="s">
        <v>2243</v>
      </c>
      <c r="K409" s="37">
        <v>8</v>
      </c>
      <c r="L409" s="37">
        <v>6</v>
      </c>
      <c r="M409" s="37" t="s">
        <v>0</v>
      </c>
    </row>
    <row r="410" spans="2:13" x14ac:dyDescent="0.25">
      <c r="B410" s="48">
        <v>407</v>
      </c>
      <c r="C410" s="38">
        <v>209330881</v>
      </c>
      <c r="D410" s="43" t="str">
        <f t="shared" si="30"/>
        <v>2-0933-0881</v>
      </c>
      <c r="E410" s="38" t="s">
        <v>507</v>
      </c>
      <c r="F410" s="43" t="str">
        <f t="shared" si="31"/>
        <v>GABRIEL AARON</v>
      </c>
      <c r="G410" s="43" t="str">
        <f t="shared" si="32"/>
        <v>GABRIEL</v>
      </c>
      <c r="H410" s="43" t="str">
        <f t="shared" si="33"/>
        <v>GOMEZ RODRIGUEZ</v>
      </c>
      <c r="I410" s="43" t="str">
        <f t="shared" si="34"/>
        <v>GABRIEL GOMEZ RODRIGUEZ</v>
      </c>
      <c r="J410" s="35" t="s">
        <v>2243</v>
      </c>
      <c r="K410" s="37">
        <v>8</v>
      </c>
      <c r="L410" s="37">
        <v>6</v>
      </c>
      <c r="M410" s="37" t="s">
        <v>0</v>
      </c>
    </row>
    <row r="411" spans="2:13" x14ac:dyDescent="0.25">
      <c r="B411" s="46">
        <v>408</v>
      </c>
      <c r="C411" s="44">
        <v>999990408</v>
      </c>
      <c r="D411" s="38" t="s">
        <v>350</v>
      </c>
      <c r="E411" s="46" t="s">
        <v>351</v>
      </c>
      <c r="F411" s="43" t="str">
        <f t="shared" si="31"/>
        <v>JUYMAN ANTONIO</v>
      </c>
      <c r="G411" s="43" t="str">
        <f t="shared" si="32"/>
        <v>JUYMAN</v>
      </c>
      <c r="H411" s="43" t="str">
        <f t="shared" si="33"/>
        <v>GUARDADO MADRIZ</v>
      </c>
      <c r="I411" s="43" t="str">
        <f t="shared" si="34"/>
        <v>JUYMAN GUARDADO MADRIZ</v>
      </c>
      <c r="J411" s="35" t="s">
        <v>2243</v>
      </c>
      <c r="K411" s="37">
        <v>8</v>
      </c>
      <c r="L411" s="37">
        <v>6</v>
      </c>
      <c r="M411" s="37" t="s">
        <v>0</v>
      </c>
    </row>
    <row r="412" spans="2:13" x14ac:dyDescent="0.25">
      <c r="B412" s="48">
        <v>409</v>
      </c>
      <c r="C412" s="33">
        <v>121160986</v>
      </c>
      <c r="D412" s="43" t="str">
        <f t="shared" si="30"/>
        <v>1-2116-0986</v>
      </c>
      <c r="E412" s="46" t="s">
        <v>353</v>
      </c>
      <c r="F412" s="43" t="str">
        <f t="shared" si="31"/>
        <v>SAMUEL FELIPE</v>
      </c>
      <c r="G412" s="43" t="str">
        <f t="shared" si="32"/>
        <v>SAMUEL</v>
      </c>
      <c r="H412" s="43" t="str">
        <f t="shared" si="33"/>
        <v>MATA GONZALEZ</v>
      </c>
      <c r="I412" s="43" t="str">
        <f t="shared" si="34"/>
        <v>SAMUEL MATA GONZALEZ</v>
      </c>
      <c r="J412" s="35" t="s">
        <v>2243</v>
      </c>
      <c r="K412" s="37">
        <v>8</v>
      </c>
      <c r="L412" s="37">
        <v>6</v>
      </c>
      <c r="M412" s="37" t="s">
        <v>0</v>
      </c>
    </row>
    <row r="413" spans="2:13" x14ac:dyDescent="0.25">
      <c r="B413" s="48">
        <v>410</v>
      </c>
      <c r="C413" s="33">
        <v>120860736</v>
      </c>
      <c r="D413" s="43" t="str">
        <f t="shared" si="30"/>
        <v>1-2086-0736</v>
      </c>
      <c r="E413" s="33" t="s">
        <v>372</v>
      </c>
      <c r="F413" s="43" t="str">
        <f t="shared" si="31"/>
        <v xml:space="preserve">MATIAS </v>
      </c>
      <c r="G413" s="43" t="str">
        <f t="shared" si="32"/>
        <v>MATIAS</v>
      </c>
      <c r="H413" s="43" t="str">
        <f t="shared" si="33"/>
        <v>RAMIREZ OVIEDO</v>
      </c>
      <c r="I413" s="43" t="str">
        <f t="shared" si="34"/>
        <v>MATIAS RAMIREZ OVIEDO</v>
      </c>
      <c r="J413" s="35" t="s">
        <v>2243</v>
      </c>
      <c r="K413" s="37">
        <v>8</v>
      </c>
      <c r="L413" s="37">
        <v>6</v>
      </c>
      <c r="M413" s="37" t="s">
        <v>0</v>
      </c>
    </row>
    <row r="414" spans="2:13" x14ac:dyDescent="0.25">
      <c r="B414" s="46">
        <v>411</v>
      </c>
      <c r="C414" s="38">
        <v>402930457</v>
      </c>
      <c r="D414" s="43" t="str">
        <f t="shared" si="30"/>
        <v>4-0293-0457</v>
      </c>
      <c r="E414" s="38" t="s">
        <v>354</v>
      </c>
      <c r="F414" s="43" t="str">
        <f t="shared" si="31"/>
        <v>ARIANA</v>
      </c>
      <c r="G414" s="43" t="str">
        <f t="shared" si="32"/>
        <v>ARIANA</v>
      </c>
      <c r="H414" s="43" t="str">
        <f t="shared" si="33"/>
        <v>RUIZ RODRIGUEZ</v>
      </c>
      <c r="I414" s="43" t="str">
        <f t="shared" si="34"/>
        <v>ARIANA RUIZ RODRIGUEZ</v>
      </c>
      <c r="J414" s="35" t="s">
        <v>2243</v>
      </c>
      <c r="K414" s="37">
        <v>8</v>
      </c>
      <c r="L414" s="37">
        <v>6</v>
      </c>
      <c r="M414" s="37" t="s">
        <v>0</v>
      </c>
    </row>
    <row r="415" spans="2:13" x14ac:dyDescent="0.25">
      <c r="B415" s="48">
        <v>412</v>
      </c>
      <c r="C415" s="38">
        <v>402930049</v>
      </c>
      <c r="D415" s="43" t="str">
        <f t="shared" si="30"/>
        <v>4-0293-0049</v>
      </c>
      <c r="E415" s="38" t="s">
        <v>355</v>
      </c>
      <c r="F415" s="43" t="str">
        <f t="shared" si="31"/>
        <v>KALEB</v>
      </c>
      <c r="G415" s="43" t="str">
        <f t="shared" si="32"/>
        <v>KALEB</v>
      </c>
      <c r="H415" s="43" t="str">
        <f t="shared" si="33"/>
        <v>SANCHO GONZALEZ</v>
      </c>
      <c r="I415" s="43" t="str">
        <f t="shared" si="34"/>
        <v>KALEB SANCHO GONZALEZ</v>
      </c>
      <c r="J415" s="35" t="s">
        <v>2243</v>
      </c>
      <c r="K415" s="37">
        <v>8</v>
      </c>
      <c r="L415" s="37">
        <v>6</v>
      </c>
      <c r="M415" s="37" t="s">
        <v>0</v>
      </c>
    </row>
    <row r="416" spans="2:13" x14ac:dyDescent="0.25">
      <c r="B416" s="48">
        <v>413</v>
      </c>
      <c r="C416" s="33">
        <v>209500498</v>
      </c>
      <c r="D416" s="43" t="str">
        <f t="shared" si="30"/>
        <v>2-0950-0498</v>
      </c>
      <c r="E416" s="46" t="s">
        <v>356</v>
      </c>
      <c r="F416" s="43" t="str">
        <f t="shared" si="31"/>
        <v>DIEGO JOSE</v>
      </c>
      <c r="G416" s="43" t="str">
        <f t="shared" si="32"/>
        <v>DIEGO</v>
      </c>
      <c r="H416" s="43" t="str">
        <f t="shared" si="33"/>
        <v>SOLORZANO ARIAS</v>
      </c>
      <c r="I416" s="43" t="str">
        <f t="shared" si="34"/>
        <v>DIEGO SOLORZANO ARIAS</v>
      </c>
      <c r="J416" s="35" t="s">
        <v>2243</v>
      </c>
      <c r="K416" s="37">
        <v>8</v>
      </c>
      <c r="L416" s="37">
        <v>6</v>
      </c>
      <c r="M416" s="37" t="s">
        <v>0</v>
      </c>
    </row>
    <row r="417" spans="2:13" x14ac:dyDescent="0.25">
      <c r="B417" s="46">
        <v>414</v>
      </c>
      <c r="C417" s="38">
        <v>209220594</v>
      </c>
      <c r="D417" s="43" t="str">
        <f t="shared" si="30"/>
        <v>2-0922-0594</v>
      </c>
      <c r="E417" s="38" t="s">
        <v>357</v>
      </c>
      <c r="F417" s="43" t="str">
        <f t="shared" si="31"/>
        <v>FABIOLA</v>
      </c>
      <c r="G417" s="43" t="str">
        <f t="shared" si="32"/>
        <v>FABIOLA</v>
      </c>
      <c r="H417" s="43" t="str">
        <f t="shared" si="33"/>
        <v>SUAZO LOPEZ</v>
      </c>
      <c r="I417" s="43" t="str">
        <f t="shared" si="34"/>
        <v>FABIOLA SUAZO LOPEZ</v>
      </c>
      <c r="J417" s="35" t="s">
        <v>2243</v>
      </c>
      <c r="K417" s="37">
        <v>8</v>
      </c>
      <c r="L417" s="37">
        <v>6</v>
      </c>
      <c r="M417" s="37" t="s">
        <v>0</v>
      </c>
    </row>
    <row r="418" spans="2:13" x14ac:dyDescent="0.25">
      <c r="B418" s="48">
        <v>415</v>
      </c>
      <c r="C418" s="38">
        <v>121100762</v>
      </c>
      <c r="D418" s="43" t="str">
        <f t="shared" si="30"/>
        <v>1-2110-0762</v>
      </c>
      <c r="E418" s="38" t="s">
        <v>358</v>
      </c>
      <c r="F418" s="43" t="str">
        <f t="shared" si="31"/>
        <v>LUNA SOPHIA</v>
      </c>
      <c r="G418" s="43" t="str">
        <f t="shared" si="32"/>
        <v>LUNA</v>
      </c>
      <c r="H418" s="43" t="str">
        <f t="shared" si="33"/>
        <v>VARELA CONEJO</v>
      </c>
      <c r="I418" s="43" t="str">
        <f t="shared" si="34"/>
        <v>LUNA VARELA CONEJO</v>
      </c>
      <c r="J418" s="35" t="s">
        <v>2243</v>
      </c>
      <c r="K418" s="37">
        <v>8</v>
      </c>
      <c r="L418" s="37">
        <v>6</v>
      </c>
      <c r="M418" s="37" t="s">
        <v>0</v>
      </c>
    </row>
    <row r="419" spans="2:13" x14ac:dyDescent="0.25">
      <c r="B419" s="48">
        <v>416</v>
      </c>
      <c r="C419" s="33">
        <v>209460953</v>
      </c>
      <c r="D419" s="43" t="str">
        <f t="shared" si="30"/>
        <v>2-0946-0953</v>
      </c>
      <c r="E419" s="46" t="s">
        <v>359</v>
      </c>
      <c r="F419" s="43" t="str">
        <f t="shared" si="31"/>
        <v>NATALIA NARETH</v>
      </c>
      <c r="G419" s="43" t="str">
        <f t="shared" si="32"/>
        <v>NATALIA</v>
      </c>
      <c r="H419" s="43" t="str">
        <f t="shared" si="33"/>
        <v>VASQUEZ PALACIOS</v>
      </c>
      <c r="I419" s="43" t="str">
        <f t="shared" si="34"/>
        <v>NATALIA VASQUEZ PALACIOS</v>
      </c>
      <c r="J419" s="35" t="s">
        <v>2243</v>
      </c>
      <c r="K419" s="37">
        <v>8</v>
      </c>
      <c r="L419" s="37">
        <v>6</v>
      </c>
      <c r="M419" s="37" t="s">
        <v>0</v>
      </c>
    </row>
    <row r="420" spans="2:13" x14ac:dyDescent="0.25">
      <c r="B420" s="46">
        <v>417</v>
      </c>
      <c r="C420" s="33">
        <v>402920905</v>
      </c>
      <c r="D420" s="43" t="str">
        <f t="shared" si="30"/>
        <v>4-0292-0905</v>
      </c>
      <c r="E420" s="33" t="s">
        <v>360</v>
      </c>
      <c r="F420" s="43" t="str">
        <f t="shared" si="31"/>
        <v>MATHIAS</v>
      </c>
      <c r="G420" s="43" t="str">
        <f t="shared" si="32"/>
        <v>MATHIAS</v>
      </c>
      <c r="H420" s="43" t="str">
        <f t="shared" si="33"/>
        <v>ZUMBADO ESQUIVEL</v>
      </c>
      <c r="I420" s="43" t="str">
        <f t="shared" si="34"/>
        <v>MATHIAS ZUMBADO ESQUIVEL</v>
      </c>
      <c r="J420" s="35" t="s">
        <v>2243</v>
      </c>
      <c r="K420" s="37">
        <v>8</v>
      </c>
      <c r="L420" s="37">
        <v>6</v>
      </c>
      <c r="M420" s="37" t="s">
        <v>0</v>
      </c>
    </row>
    <row r="421" spans="2:13" x14ac:dyDescent="0.25">
      <c r="B421" s="48">
        <v>418</v>
      </c>
      <c r="C421" s="38">
        <v>402920906</v>
      </c>
      <c r="D421" s="43" t="str">
        <f t="shared" si="30"/>
        <v>4-0292-0906</v>
      </c>
      <c r="E421" s="38" t="s">
        <v>361</v>
      </c>
      <c r="F421" s="43" t="str">
        <f t="shared" si="31"/>
        <v>REMZO</v>
      </c>
      <c r="G421" s="43" t="str">
        <f t="shared" si="32"/>
        <v>REMZO</v>
      </c>
      <c r="H421" s="43" t="str">
        <f t="shared" si="33"/>
        <v>ZUMBADO ESQUIVEL</v>
      </c>
      <c r="I421" s="43" t="str">
        <f t="shared" si="34"/>
        <v>REMZO ZUMBADO ESQUIVEL</v>
      </c>
      <c r="J421" s="35" t="s">
        <v>2243</v>
      </c>
      <c r="K421" s="37">
        <v>8</v>
      </c>
      <c r="L421" s="37">
        <v>6</v>
      </c>
      <c r="M421" s="37" t="s">
        <v>0</v>
      </c>
    </row>
    <row r="422" spans="2:13" x14ac:dyDescent="0.25">
      <c r="B422" s="48">
        <v>419</v>
      </c>
      <c r="C422" s="33">
        <v>209450895</v>
      </c>
      <c r="D422" s="43" t="str">
        <f t="shared" si="30"/>
        <v>2-0945-0895</v>
      </c>
      <c r="E422" s="46" t="s">
        <v>362</v>
      </c>
      <c r="F422" s="43" t="str">
        <f t="shared" si="31"/>
        <v>SAMUEL DAVID</v>
      </c>
      <c r="G422" s="43" t="str">
        <f t="shared" si="32"/>
        <v>SAMUEL</v>
      </c>
      <c r="H422" s="43" t="str">
        <f t="shared" si="33"/>
        <v>ALVARADO VALVERDE</v>
      </c>
      <c r="I422" s="43" t="str">
        <f t="shared" si="34"/>
        <v>SAMUEL ALVARADO VALVERDE</v>
      </c>
      <c r="J422" s="35" t="s">
        <v>2243</v>
      </c>
      <c r="K422" s="37">
        <v>8</v>
      </c>
      <c r="L422" s="37">
        <v>7</v>
      </c>
      <c r="M422" s="37" t="s">
        <v>1</v>
      </c>
    </row>
    <row r="423" spans="2:13" x14ac:dyDescent="0.25">
      <c r="B423" s="46">
        <v>420</v>
      </c>
      <c r="C423" s="38">
        <v>209460087</v>
      </c>
      <c r="D423" s="43" t="str">
        <f t="shared" si="30"/>
        <v>2-0946-0087</v>
      </c>
      <c r="E423" s="38" t="s">
        <v>364</v>
      </c>
      <c r="F423" s="43" t="str">
        <f t="shared" si="31"/>
        <v>DANIELA DE LOS ANGELES</v>
      </c>
      <c r="G423" s="43" t="str">
        <f t="shared" si="32"/>
        <v>DANIELA</v>
      </c>
      <c r="H423" s="43" t="str">
        <f t="shared" si="33"/>
        <v>BONILLA CESPEDES</v>
      </c>
      <c r="I423" s="43" t="str">
        <f t="shared" si="34"/>
        <v>DANIELA BONILLA CESPEDES</v>
      </c>
      <c r="J423" s="35" t="s">
        <v>2243</v>
      </c>
      <c r="K423" s="37">
        <v>8</v>
      </c>
      <c r="L423" s="37">
        <v>7</v>
      </c>
      <c r="M423" s="37" t="s">
        <v>1</v>
      </c>
    </row>
    <row r="424" spans="2:13" x14ac:dyDescent="0.25">
      <c r="B424" s="48">
        <v>421</v>
      </c>
      <c r="C424" s="33">
        <v>209440976</v>
      </c>
      <c r="D424" s="43" t="str">
        <f t="shared" si="30"/>
        <v>2-0944-0976</v>
      </c>
      <c r="E424" s="46" t="s">
        <v>365</v>
      </c>
      <c r="F424" s="43" t="str">
        <f t="shared" si="31"/>
        <v>JOLETT KAMILA</v>
      </c>
      <c r="G424" s="43" t="str">
        <f t="shared" si="32"/>
        <v>JOLETT</v>
      </c>
      <c r="H424" s="43" t="str">
        <f t="shared" si="33"/>
        <v>ESPINOZA ABARCA</v>
      </c>
      <c r="I424" s="43" t="str">
        <f t="shared" si="34"/>
        <v>JOLETT ESPINOZA ABARCA</v>
      </c>
      <c r="J424" s="35" t="s">
        <v>2243</v>
      </c>
      <c r="K424" s="37">
        <v>8</v>
      </c>
      <c r="L424" s="37">
        <v>7</v>
      </c>
      <c r="M424" s="37" t="s">
        <v>1</v>
      </c>
    </row>
    <row r="425" spans="2:13" x14ac:dyDescent="0.25">
      <c r="B425" s="48">
        <v>422</v>
      </c>
      <c r="C425" s="38">
        <v>402940477</v>
      </c>
      <c r="D425" s="43" t="str">
        <f t="shared" si="30"/>
        <v>4-0294-0477</v>
      </c>
      <c r="E425" s="38" t="s">
        <v>366</v>
      </c>
      <c r="F425" s="43" t="str">
        <f t="shared" si="31"/>
        <v>KARINA</v>
      </c>
      <c r="G425" s="43" t="str">
        <f t="shared" si="32"/>
        <v>KARINA</v>
      </c>
      <c r="H425" s="43" t="str">
        <f t="shared" si="33"/>
        <v>GONZALEZ CARBALLO</v>
      </c>
      <c r="I425" s="43" t="str">
        <f t="shared" si="34"/>
        <v>KARINA GONZALEZ CARBALLO</v>
      </c>
      <c r="J425" s="35" t="s">
        <v>2243</v>
      </c>
      <c r="K425" s="37">
        <v>8</v>
      </c>
      <c r="L425" s="37">
        <v>7</v>
      </c>
      <c r="M425" s="37" t="s">
        <v>1</v>
      </c>
    </row>
    <row r="426" spans="2:13" x14ac:dyDescent="0.25">
      <c r="B426" s="46">
        <v>423</v>
      </c>
      <c r="C426" s="33">
        <v>402880022</v>
      </c>
      <c r="D426" s="43" t="str">
        <f t="shared" si="30"/>
        <v>4-0288-0022</v>
      </c>
      <c r="E426" s="38" t="s">
        <v>2225</v>
      </c>
      <c r="F426" s="43" t="str">
        <f t="shared" si="31"/>
        <v>MELANY FABIANA</v>
      </c>
      <c r="G426" s="43" t="str">
        <f t="shared" si="32"/>
        <v>MELANY</v>
      </c>
      <c r="H426" s="43" t="str">
        <f t="shared" si="33"/>
        <v>JARA RODRIGUEZ</v>
      </c>
      <c r="I426" s="43" t="str">
        <f t="shared" si="34"/>
        <v>MELANY JARA RODRIGUEZ</v>
      </c>
      <c r="J426" s="35" t="s">
        <v>2243</v>
      </c>
      <c r="K426" s="37">
        <v>8</v>
      </c>
      <c r="L426" s="37">
        <v>7</v>
      </c>
      <c r="M426" s="37" t="s">
        <v>1</v>
      </c>
    </row>
    <row r="427" spans="2:13" x14ac:dyDescent="0.25">
      <c r="B427" s="48">
        <v>424</v>
      </c>
      <c r="C427" s="33">
        <v>209390317</v>
      </c>
      <c r="D427" s="43" t="str">
        <f t="shared" si="30"/>
        <v>2-0939-0317</v>
      </c>
      <c r="E427" s="46" t="s">
        <v>367</v>
      </c>
      <c r="F427" s="43" t="str">
        <f t="shared" si="31"/>
        <v>MILTON ISAAC</v>
      </c>
      <c r="G427" s="43" t="str">
        <f t="shared" si="32"/>
        <v>MILTON</v>
      </c>
      <c r="H427" s="43" t="str">
        <f t="shared" si="33"/>
        <v>JIMENEZ CARRANZA</v>
      </c>
      <c r="I427" s="43" t="str">
        <f t="shared" si="34"/>
        <v>MILTON JIMENEZ CARRANZA</v>
      </c>
      <c r="J427" s="35" t="s">
        <v>2243</v>
      </c>
      <c r="K427" s="37">
        <v>8</v>
      </c>
      <c r="L427" s="37">
        <v>7</v>
      </c>
      <c r="M427" s="37" t="s">
        <v>1</v>
      </c>
    </row>
    <row r="428" spans="2:13" x14ac:dyDescent="0.25">
      <c r="B428" s="48">
        <v>425</v>
      </c>
      <c r="C428" s="33">
        <v>209430451</v>
      </c>
      <c r="D428" s="43" t="str">
        <f t="shared" si="30"/>
        <v>2-0943-0451</v>
      </c>
      <c r="E428" s="46" t="s">
        <v>368</v>
      </c>
      <c r="F428" s="43" t="str">
        <f t="shared" si="31"/>
        <v>KATHERINE DANIELA</v>
      </c>
      <c r="G428" s="43" t="str">
        <f t="shared" si="32"/>
        <v>KATHERINE</v>
      </c>
      <c r="H428" s="43" t="str">
        <f t="shared" si="33"/>
        <v>MATAMOROS CASTILLO</v>
      </c>
      <c r="I428" s="43" t="str">
        <f t="shared" si="34"/>
        <v>KATHERINE MATAMOROS CASTILLO</v>
      </c>
      <c r="J428" s="35" t="s">
        <v>2243</v>
      </c>
      <c r="K428" s="37">
        <v>8</v>
      </c>
      <c r="L428" s="37">
        <v>7</v>
      </c>
      <c r="M428" s="37" t="s">
        <v>1</v>
      </c>
    </row>
    <row r="429" spans="2:13" x14ac:dyDescent="0.25">
      <c r="B429" s="46">
        <v>426</v>
      </c>
      <c r="C429" s="33">
        <v>209400865</v>
      </c>
      <c r="D429" s="43" t="str">
        <f t="shared" si="30"/>
        <v>2-0940-0865</v>
      </c>
      <c r="E429" s="46" t="s">
        <v>369</v>
      </c>
      <c r="F429" s="43" t="str">
        <f t="shared" si="31"/>
        <v>MATHIAS</v>
      </c>
      <c r="G429" s="43" t="str">
        <f t="shared" si="32"/>
        <v>MATHIAS</v>
      </c>
      <c r="H429" s="43" t="str">
        <f t="shared" si="33"/>
        <v>MORA CALVO</v>
      </c>
      <c r="I429" s="43" t="str">
        <f t="shared" si="34"/>
        <v>MATHIAS MORA CALVO</v>
      </c>
      <c r="J429" s="35" t="s">
        <v>2243</v>
      </c>
      <c r="K429" s="37">
        <v>8</v>
      </c>
      <c r="L429" s="37">
        <v>7</v>
      </c>
      <c r="M429" s="37" t="s">
        <v>1</v>
      </c>
    </row>
    <row r="430" spans="2:13" x14ac:dyDescent="0.25">
      <c r="B430" s="48">
        <v>427</v>
      </c>
      <c r="C430" s="33">
        <v>402900031</v>
      </c>
      <c r="D430" s="43" t="str">
        <f t="shared" si="30"/>
        <v>4-0290-0031</v>
      </c>
      <c r="E430" s="38" t="s">
        <v>370</v>
      </c>
      <c r="F430" s="43" t="str">
        <f t="shared" si="31"/>
        <v>JOSELLINE DANIELA</v>
      </c>
      <c r="G430" s="43" t="str">
        <f t="shared" si="32"/>
        <v>JOSELLINE</v>
      </c>
      <c r="H430" s="43" t="str">
        <f t="shared" si="33"/>
        <v>OBANDO RODRIGUEZ</v>
      </c>
      <c r="I430" s="43" t="str">
        <f t="shared" si="34"/>
        <v>JOSELLINE OBANDO RODRIGUEZ</v>
      </c>
      <c r="J430" s="35" t="s">
        <v>2243</v>
      </c>
      <c r="K430" s="37">
        <v>8</v>
      </c>
      <c r="L430" s="37">
        <v>7</v>
      </c>
      <c r="M430" s="37" t="s">
        <v>1</v>
      </c>
    </row>
    <row r="431" spans="2:13" x14ac:dyDescent="0.25">
      <c r="B431" s="48">
        <v>428</v>
      </c>
      <c r="C431" s="39">
        <v>504940534</v>
      </c>
      <c r="D431" s="43" t="str">
        <f t="shared" si="30"/>
        <v>5-0494-0534</v>
      </c>
      <c r="E431" s="49" t="s">
        <v>371</v>
      </c>
      <c r="F431" s="43" t="str">
        <f t="shared" si="31"/>
        <v>RONALD JESUS</v>
      </c>
      <c r="G431" s="43" t="str">
        <f t="shared" si="32"/>
        <v>RONALD</v>
      </c>
      <c r="H431" s="43" t="str">
        <f t="shared" si="33"/>
        <v>PEREZ MEZA</v>
      </c>
      <c r="I431" s="43" t="str">
        <f t="shared" si="34"/>
        <v>RONALD PEREZ MEZA</v>
      </c>
      <c r="J431" s="35" t="s">
        <v>2243</v>
      </c>
      <c r="K431" s="37">
        <v>8</v>
      </c>
      <c r="L431" s="37">
        <v>7</v>
      </c>
      <c r="M431" s="37" t="s">
        <v>1</v>
      </c>
    </row>
    <row r="432" spans="2:13" x14ac:dyDescent="0.25">
      <c r="B432" s="46">
        <v>429</v>
      </c>
      <c r="C432" s="38">
        <v>402900908</v>
      </c>
      <c r="D432" s="43" t="str">
        <f t="shared" si="30"/>
        <v>4-0290-0908</v>
      </c>
      <c r="E432" s="38" t="s">
        <v>373</v>
      </c>
      <c r="F432" s="43" t="str">
        <f t="shared" si="31"/>
        <v>ANDRES JOEL</v>
      </c>
      <c r="G432" s="43" t="str">
        <f t="shared" si="32"/>
        <v>ANDRES</v>
      </c>
      <c r="H432" s="43" t="str">
        <f t="shared" si="33"/>
        <v>RAMIREZ MONGE</v>
      </c>
      <c r="I432" s="43" t="str">
        <f t="shared" si="34"/>
        <v>ANDRES RAMIREZ MONGE</v>
      </c>
      <c r="J432" s="35" t="s">
        <v>2243</v>
      </c>
      <c r="K432" s="37">
        <v>8</v>
      </c>
      <c r="L432" s="37">
        <v>7</v>
      </c>
      <c r="M432" s="37" t="s">
        <v>1</v>
      </c>
    </row>
    <row r="433" spans="2:13" x14ac:dyDescent="0.25">
      <c r="B433" s="48">
        <v>430</v>
      </c>
      <c r="C433" s="33">
        <v>209520036</v>
      </c>
      <c r="D433" s="43" t="str">
        <f t="shared" si="30"/>
        <v>2-0952-0036</v>
      </c>
      <c r="E433" s="38" t="s">
        <v>376</v>
      </c>
      <c r="F433" s="43" t="str">
        <f t="shared" si="31"/>
        <v>JEFFERSON DANIEL</v>
      </c>
      <c r="G433" s="43" t="str">
        <f t="shared" si="32"/>
        <v>JEFFERSON</v>
      </c>
      <c r="H433" s="43" t="str">
        <f t="shared" si="33"/>
        <v>RODRIGUEZ ARTAVIA</v>
      </c>
      <c r="I433" s="43" t="str">
        <f t="shared" si="34"/>
        <v>JEFFERSON RODRIGUEZ ARTAVIA</v>
      </c>
      <c r="J433" s="35" t="s">
        <v>2243</v>
      </c>
      <c r="K433" s="37">
        <v>8</v>
      </c>
      <c r="L433" s="37">
        <v>7</v>
      </c>
      <c r="M433" s="37" t="s">
        <v>1</v>
      </c>
    </row>
    <row r="434" spans="2:13" x14ac:dyDescent="0.25">
      <c r="B434" s="48">
        <v>431</v>
      </c>
      <c r="C434" s="38">
        <v>209290905</v>
      </c>
      <c r="D434" s="43" t="str">
        <f t="shared" si="30"/>
        <v>2-0929-0905</v>
      </c>
      <c r="E434" s="38" t="s">
        <v>375</v>
      </c>
      <c r="F434" s="43" t="str">
        <f t="shared" si="31"/>
        <v>ITHAN ANDRES</v>
      </c>
      <c r="G434" s="43" t="str">
        <f t="shared" si="32"/>
        <v>ITHAN</v>
      </c>
      <c r="H434" s="43" t="str">
        <f t="shared" si="33"/>
        <v>ROJAS VILLALOBOS</v>
      </c>
      <c r="I434" s="43" t="str">
        <f t="shared" si="34"/>
        <v>ITHAN ROJAS VILLALOBOS</v>
      </c>
      <c r="J434" s="35" t="s">
        <v>2243</v>
      </c>
      <c r="K434" s="37">
        <v>8</v>
      </c>
      <c r="L434" s="37">
        <v>7</v>
      </c>
      <c r="M434" s="37" t="s">
        <v>1</v>
      </c>
    </row>
    <row r="435" spans="2:13" x14ac:dyDescent="0.25">
      <c r="B435" s="46">
        <v>432</v>
      </c>
      <c r="C435" s="33">
        <v>209400366</v>
      </c>
      <c r="D435" s="43" t="str">
        <f t="shared" si="30"/>
        <v>2-0940-0366</v>
      </c>
      <c r="E435" s="38" t="s">
        <v>374</v>
      </c>
      <c r="F435" s="43" t="str">
        <f t="shared" si="31"/>
        <v>KRISTEL VALERIA</v>
      </c>
      <c r="G435" s="43" t="str">
        <f t="shared" si="32"/>
        <v>KRISTEL</v>
      </c>
      <c r="H435" s="43" t="str">
        <f t="shared" si="33"/>
        <v>ROSALES GONZALEZ</v>
      </c>
      <c r="I435" s="43" t="str">
        <f t="shared" si="34"/>
        <v>KRISTEL ROSALES GONZALEZ</v>
      </c>
      <c r="J435" s="35" t="s">
        <v>2243</v>
      </c>
      <c r="K435" s="37">
        <v>8</v>
      </c>
      <c r="L435" s="37">
        <v>7</v>
      </c>
      <c r="M435" s="37" t="s">
        <v>1</v>
      </c>
    </row>
    <row r="436" spans="2:13" x14ac:dyDescent="0.25">
      <c r="B436" s="48">
        <v>433</v>
      </c>
      <c r="C436" s="33">
        <v>209380435</v>
      </c>
      <c r="D436" s="43" t="str">
        <f t="shared" si="30"/>
        <v>2-0938-0435</v>
      </c>
      <c r="E436" s="46" t="s">
        <v>377</v>
      </c>
      <c r="F436" s="43" t="str">
        <f t="shared" si="31"/>
        <v>JOSE MANUEL</v>
      </c>
      <c r="G436" s="43" t="str">
        <f t="shared" si="32"/>
        <v>JOSE</v>
      </c>
      <c r="H436" s="43" t="str">
        <f t="shared" si="33"/>
        <v>AVILES ESPINOSA</v>
      </c>
      <c r="I436" s="43" t="str">
        <f t="shared" si="34"/>
        <v>JOSE AVILES ESPINOSA</v>
      </c>
      <c r="J436" s="35" t="s">
        <v>2243</v>
      </c>
      <c r="K436" s="37">
        <v>8</v>
      </c>
      <c r="L436" s="37">
        <v>7</v>
      </c>
      <c r="M436" s="37" t="s">
        <v>0</v>
      </c>
    </row>
    <row r="437" spans="2:13" x14ac:dyDescent="0.25">
      <c r="B437" s="48">
        <v>434</v>
      </c>
      <c r="C437" s="33">
        <v>209500406</v>
      </c>
      <c r="D437" s="43" t="str">
        <f t="shared" si="30"/>
        <v>2-0950-0406</v>
      </c>
      <c r="E437" s="46" t="s">
        <v>378</v>
      </c>
      <c r="F437" s="43" t="str">
        <f t="shared" si="31"/>
        <v>ARWEN ALINA</v>
      </c>
      <c r="G437" s="43" t="str">
        <f t="shared" si="32"/>
        <v>ARWEN</v>
      </c>
      <c r="H437" s="43" t="str">
        <f t="shared" si="33"/>
        <v>BONILLA PALACIOS</v>
      </c>
      <c r="I437" s="43" t="str">
        <f t="shared" si="34"/>
        <v>ARWEN BONILLA PALACIOS</v>
      </c>
      <c r="J437" s="35" t="s">
        <v>2243</v>
      </c>
      <c r="K437" s="37">
        <v>8</v>
      </c>
      <c r="L437" s="37">
        <v>7</v>
      </c>
      <c r="M437" s="37" t="s">
        <v>0</v>
      </c>
    </row>
    <row r="438" spans="2:13" x14ac:dyDescent="0.25">
      <c r="B438" s="46">
        <v>435</v>
      </c>
      <c r="C438" s="33">
        <v>209420341</v>
      </c>
      <c r="D438" s="43" t="str">
        <f t="shared" si="30"/>
        <v>2-0942-0341</v>
      </c>
      <c r="E438" s="46" t="s">
        <v>379</v>
      </c>
      <c r="F438" s="43" t="str">
        <f t="shared" si="31"/>
        <v>SANTIAGO</v>
      </c>
      <c r="G438" s="43" t="str">
        <f t="shared" si="32"/>
        <v>SANTIAGO</v>
      </c>
      <c r="H438" s="43" t="str">
        <f t="shared" si="33"/>
        <v>CHACON ALFARO</v>
      </c>
      <c r="I438" s="43" t="str">
        <f t="shared" si="34"/>
        <v>SANTIAGO CHACON ALFARO</v>
      </c>
      <c r="J438" s="35" t="s">
        <v>2243</v>
      </c>
      <c r="K438" s="37">
        <v>8</v>
      </c>
      <c r="L438" s="37">
        <v>7</v>
      </c>
      <c r="M438" s="37" t="s">
        <v>0</v>
      </c>
    </row>
    <row r="439" spans="2:13" x14ac:dyDescent="0.25">
      <c r="B439" s="48">
        <v>436</v>
      </c>
      <c r="C439" s="33">
        <v>703610697</v>
      </c>
      <c r="D439" s="43" t="str">
        <f t="shared" si="30"/>
        <v>7-0361-0697</v>
      </c>
      <c r="E439" s="46" t="s">
        <v>380</v>
      </c>
      <c r="F439" s="43" t="str">
        <f t="shared" si="31"/>
        <v>SAMIRA</v>
      </c>
      <c r="G439" s="43" t="str">
        <f t="shared" si="32"/>
        <v>SAMIRA</v>
      </c>
      <c r="H439" s="43" t="str">
        <f t="shared" si="33"/>
        <v>COOPER CRUZ</v>
      </c>
      <c r="I439" s="43" t="str">
        <f t="shared" si="34"/>
        <v>SAMIRA COOPER CRUZ</v>
      </c>
      <c r="J439" s="35" t="s">
        <v>2243</v>
      </c>
      <c r="K439" s="37">
        <v>8</v>
      </c>
      <c r="L439" s="37">
        <v>7</v>
      </c>
      <c r="M439" s="37" t="s">
        <v>0</v>
      </c>
    </row>
    <row r="440" spans="2:13" x14ac:dyDescent="0.25">
      <c r="B440" s="48">
        <v>437</v>
      </c>
      <c r="C440" s="38">
        <v>306010041</v>
      </c>
      <c r="D440" s="43" t="str">
        <f t="shared" si="30"/>
        <v>3-0601-0041</v>
      </c>
      <c r="E440" s="38" t="s">
        <v>381</v>
      </c>
      <c r="F440" s="43" t="str">
        <f t="shared" si="31"/>
        <v>ALLEN LEONARDO</v>
      </c>
      <c r="G440" s="43" t="str">
        <f t="shared" si="32"/>
        <v>ALLEN</v>
      </c>
      <c r="H440" s="43" t="str">
        <f t="shared" si="33"/>
        <v>FONSECA CHAVES</v>
      </c>
      <c r="I440" s="43" t="str">
        <f t="shared" si="34"/>
        <v>ALLEN FONSECA CHAVES</v>
      </c>
      <c r="J440" s="35" t="s">
        <v>2243</v>
      </c>
      <c r="K440" s="37">
        <v>8</v>
      </c>
      <c r="L440" s="37">
        <v>7</v>
      </c>
      <c r="M440" s="37" t="s">
        <v>0</v>
      </c>
    </row>
    <row r="441" spans="2:13" x14ac:dyDescent="0.25">
      <c r="B441" s="46">
        <v>438</v>
      </c>
      <c r="C441" s="38">
        <v>402900638</v>
      </c>
      <c r="D441" s="43" t="str">
        <f t="shared" si="30"/>
        <v>4-0290-0638</v>
      </c>
      <c r="E441" s="38" t="s">
        <v>382</v>
      </c>
      <c r="F441" s="43" t="str">
        <f t="shared" si="31"/>
        <v>DANA GABRIELA</v>
      </c>
      <c r="G441" s="43" t="str">
        <f t="shared" si="32"/>
        <v>DANA</v>
      </c>
      <c r="H441" s="43" t="str">
        <f t="shared" si="33"/>
        <v>GUEVARA GUEVARA</v>
      </c>
      <c r="I441" s="43" t="str">
        <f t="shared" si="34"/>
        <v>DANA GUEVARA GUEVARA</v>
      </c>
      <c r="J441" s="35" t="s">
        <v>2243</v>
      </c>
      <c r="K441" s="37">
        <v>8</v>
      </c>
      <c r="L441" s="37">
        <v>7</v>
      </c>
      <c r="M441" s="37" t="s">
        <v>0</v>
      </c>
    </row>
    <row r="442" spans="2:13" x14ac:dyDescent="0.25">
      <c r="B442" s="48">
        <v>439</v>
      </c>
      <c r="C442" s="33">
        <v>209410423</v>
      </c>
      <c r="D442" s="43" t="str">
        <f t="shared" si="30"/>
        <v>2-0941-0423</v>
      </c>
      <c r="E442" s="46" t="s">
        <v>383</v>
      </c>
      <c r="F442" s="43" t="str">
        <f t="shared" si="31"/>
        <v>SANTIAGO</v>
      </c>
      <c r="G442" s="43" t="str">
        <f t="shared" si="32"/>
        <v>SANTIAGO</v>
      </c>
      <c r="H442" s="43" t="str">
        <f t="shared" si="33"/>
        <v>LOPEZ PICADO</v>
      </c>
      <c r="I442" s="43" t="str">
        <f t="shared" si="34"/>
        <v>SANTIAGO LOPEZ PICADO</v>
      </c>
      <c r="J442" s="35" t="s">
        <v>2243</v>
      </c>
      <c r="K442" s="37">
        <v>8</v>
      </c>
      <c r="L442" s="37">
        <v>7</v>
      </c>
      <c r="M442" s="37" t="s">
        <v>0</v>
      </c>
    </row>
    <row r="443" spans="2:13" x14ac:dyDescent="0.25">
      <c r="B443" s="48">
        <v>440</v>
      </c>
      <c r="C443" s="38">
        <v>402900827</v>
      </c>
      <c r="D443" s="43" t="str">
        <f t="shared" si="30"/>
        <v>4-0290-0827</v>
      </c>
      <c r="E443" s="38" t="s">
        <v>384</v>
      </c>
      <c r="F443" s="43" t="str">
        <f t="shared" si="31"/>
        <v>ALEJANDRO</v>
      </c>
      <c r="G443" s="43" t="str">
        <f t="shared" si="32"/>
        <v>ALEJANDRO</v>
      </c>
      <c r="H443" s="43" t="str">
        <f t="shared" si="33"/>
        <v>MIRANDA ARAYA</v>
      </c>
      <c r="I443" s="43" t="str">
        <f t="shared" si="34"/>
        <v>ALEJANDRO MIRANDA ARAYA</v>
      </c>
      <c r="J443" s="35" t="s">
        <v>2243</v>
      </c>
      <c r="K443" s="37">
        <v>8</v>
      </c>
      <c r="L443" s="37">
        <v>7</v>
      </c>
      <c r="M443" s="37" t="s">
        <v>0</v>
      </c>
    </row>
    <row r="444" spans="2:13" x14ac:dyDescent="0.25">
      <c r="B444" s="46">
        <v>441</v>
      </c>
      <c r="C444" s="38">
        <v>402900026</v>
      </c>
      <c r="D444" s="43" t="str">
        <f t="shared" si="30"/>
        <v>4-0290-0026</v>
      </c>
      <c r="E444" s="38" t="s">
        <v>385</v>
      </c>
      <c r="F444" s="43" t="str">
        <f t="shared" si="31"/>
        <v>SIMON</v>
      </c>
      <c r="G444" s="43" t="str">
        <f t="shared" si="32"/>
        <v>SIMON</v>
      </c>
      <c r="H444" s="43" t="str">
        <f t="shared" si="33"/>
        <v>MIRANDA SANCHO</v>
      </c>
      <c r="I444" s="43" t="str">
        <f t="shared" si="34"/>
        <v>SIMON MIRANDA SANCHO</v>
      </c>
      <c r="J444" s="35" t="s">
        <v>2243</v>
      </c>
      <c r="K444" s="37">
        <v>8</v>
      </c>
      <c r="L444" s="37">
        <v>7</v>
      </c>
      <c r="M444" s="37" t="s">
        <v>0</v>
      </c>
    </row>
    <row r="445" spans="2:13" x14ac:dyDescent="0.25">
      <c r="B445" s="48">
        <v>442</v>
      </c>
      <c r="C445" s="38">
        <v>402930784</v>
      </c>
      <c r="D445" s="43" t="str">
        <f t="shared" si="30"/>
        <v>4-0293-0784</v>
      </c>
      <c r="E445" s="38" t="s">
        <v>386</v>
      </c>
      <c r="F445" s="43" t="str">
        <f t="shared" si="31"/>
        <v>YIRLANY CAMILA</v>
      </c>
      <c r="G445" s="43" t="str">
        <f t="shared" si="32"/>
        <v>YIRLANY</v>
      </c>
      <c r="H445" s="43" t="str">
        <f t="shared" si="33"/>
        <v>PICADO HERNANDEZ</v>
      </c>
      <c r="I445" s="43" t="str">
        <f t="shared" si="34"/>
        <v>YIRLANY PICADO HERNANDEZ</v>
      </c>
      <c r="J445" s="35" t="s">
        <v>2243</v>
      </c>
      <c r="K445" s="37">
        <v>8</v>
      </c>
      <c r="L445" s="37">
        <v>7</v>
      </c>
      <c r="M445" s="37" t="s">
        <v>0</v>
      </c>
    </row>
    <row r="446" spans="2:13" x14ac:dyDescent="0.25">
      <c r="B446" s="48">
        <v>443</v>
      </c>
      <c r="C446" s="33">
        <v>209440965</v>
      </c>
      <c r="D446" s="43" t="str">
        <f t="shared" si="30"/>
        <v>2-0944-0965</v>
      </c>
      <c r="E446" s="46" t="s">
        <v>387</v>
      </c>
      <c r="F446" s="43" t="str">
        <f t="shared" si="31"/>
        <v>ADRIAN ALONSO</v>
      </c>
      <c r="G446" s="43" t="str">
        <f t="shared" si="32"/>
        <v>ADRIAN</v>
      </c>
      <c r="H446" s="43" t="str">
        <f t="shared" si="33"/>
        <v>RODRIGUEZ CARBALLO</v>
      </c>
      <c r="I446" s="43" t="str">
        <f t="shared" si="34"/>
        <v>ADRIAN RODRIGUEZ CARBALLO</v>
      </c>
      <c r="J446" s="35" t="s">
        <v>2243</v>
      </c>
      <c r="K446" s="37">
        <v>8</v>
      </c>
      <c r="L446" s="37">
        <v>7</v>
      </c>
      <c r="M446" s="37" t="s">
        <v>0</v>
      </c>
    </row>
    <row r="447" spans="2:13" x14ac:dyDescent="0.25">
      <c r="B447" s="46">
        <v>444</v>
      </c>
      <c r="C447" s="33">
        <v>402930471</v>
      </c>
      <c r="D447" s="43" t="str">
        <f t="shared" si="30"/>
        <v>4-0293-0471</v>
      </c>
      <c r="E447" s="46" t="s">
        <v>2226</v>
      </c>
      <c r="F447" s="43" t="str">
        <f t="shared" si="31"/>
        <v>LEANDRO</v>
      </c>
      <c r="G447" s="43" t="str">
        <f t="shared" si="32"/>
        <v>LEANDRO</v>
      </c>
      <c r="H447" s="43" t="str">
        <f t="shared" si="33"/>
        <v>RODRIGUEZ SALAZAR</v>
      </c>
      <c r="I447" s="43" t="str">
        <f t="shared" si="34"/>
        <v>LEANDRO RODRIGUEZ SALAZAR</v>
      </c>
      <c r="J447" s="35" t="s">
        <v>2243</v>
      </c>
      <c r="K447" s="37">
        <v>8</v>
      </c>
      <c r="L447" s="37">
        <v>7</v>
      </c>
      <c r="M447" s="37" t="s">
        <v>0</v>
      </c>
    </row>
    <row r="448" spans="2:13" x14ac:dyDescent="0.25">
      <c r="B448" s="48">
        <v>445</v>
      </c>
      <c r="C448" s="38">
        <v>402940506</v>
      </c>
      <c r="D448" s="43" t="str">
        <f t="shared" si="30"/>
        <v>4-0294-0506</v>
      </c>
      <c r="E448" s="38" t="s">
        <v>388</v>
      </c>
      <c r="F448" s="43" t="str">
        <f t="shared" si="31"/>
        <v>FABIOLA MARIA</v>
      </c>
      <c r="G448" s="43" t="str">
        <f t="shared" si="32"/>
        <v>FABIOLA</v>
      </c>
      <c r="H448" s="43" t="str">
        <f t="shared" si="33"/>
        <v>SALAS BRENES</v>
      </c>
      <c r="I448" s="43" t="str">
        <f t="shared" si="34"/>
        <v>FABIOLA SALAS BRENES</v>
      </c>
      <c r="J448" s="35" t="s">
        <v>2243</v>
      </c>
      <c r="K448" s="37">
        <v>8</v>
      </c>
      <c r="L448" s="37">
        <v>7</v>
      </c>
      <c r="M448" s="37" t="s">
        <v>0</v>
      </c>
    </row>
    <row r="449" spans="2:13" x14ac:dyDescent="0.25">
      <c r="B449" s="48">
        <v>446</v>
      </c>
      <c r="C449" s="38">
        <v>402900729</v>
      </c>
      <c r="D449" s="43" t="str">
        <f t="shared" si="30"/>
        <v>4-0290-0729</v>
      </c>
      <c r="E449" s="38" t="s">
        <v>389</v>
      </c>
      <c r="F449" s="43" t="str">
        <f t="shared" si="31"/>
        <v>KENDALL ALONSO</v>
      </c>
      <c r="G449" s="43" t="str">
        <f t="shared" si="32"/>
        <v>KENDALL</v>
      </c>
      <c r="H449" s="43" t="str">
        <f t="shared" si="33"/>
        <v>SANDI ARGUEDAS</v>
      </c>
      <c r="I449" s="43" t="str">
        <f t="shared" si="34"/>
        <v>KENDALL SANDI ARGUEDAS</v>
      </c>
      <c r="J449" s="35" t="s">
        <v>2243</v>
      </c>
      <c r="K449" s="37">
        <v>8</v>
      </c>
      <c r="L449" s="37">
        <v>7</v>
      </c>
      <c r="M449" s="37" t="s">
        <v>0</v>
      </c>
    </row>
    <row r="450" spans="2:13" x14ac:dyDescent="0.25">
      <c r="B450" s="46">
        <v>447</v>
      </c>
      <c r="C450" s="39">
        <v>209430103</v>
      </c>
      <c r="D450" s="43" t="str">
        <f t="shared" si="30"/>
        <v>2-0943-0103</v>
      </c>
      <c r="E450" s="49" t="s">
        <v>390</v>
      </c>
      <c r="F450" s="43" t="str">
        <f t="shared" si="31"/>
        <v>JOHAN DAVID</v>
      </c>
      <c r="G450" s="43" t="str">
        <f t="shared" si="32"/>
        <v>JOHAN</v>
      </c>
      <c r="H450" s="43" t="str">
        <f t="shared" si="33"/>
        <v>SOTO CUBERO</v>
      </c>
      <c r="I450" s="43" t="str">
        <f t="shared" si="34"/>
        <v>JOHAN SOTO CUBERO</v>
      </c>
      <c r="J450" s="35" t="s">
        <v>2243</v>
      </c>
      <c r="K450" s="37">
        <v>8</v>
      </c>
      <c r="L450" s="37">
        <v>7</v>
      </c>
      <c r="M450" s="37" t="s">
        <v>0</v>
      </c>
    </row>
    <row r="451" spans="2:13" x14ac:dyDescent="0.25">
      <c r="B451" s="48">
        <v>448</v>
      </c>
      <c r="C451" s="45">
        <v>209250991</v>
      </c>
      <c r="D451" s="43" t="str">
        <f t="shared" si="30"/>
        <v>2-0925-0991</v>
      </c>
      <c r="E451" s="45" t="s">
        <v>391</v>
      </c>
      <c r="F451" s="43" t="str">
        <f t="shared" si="31"/>
        <v>JHOSUA DAVID</v>
      </c>
      <c r="G451" s="43" t="str">
        <f t="shared" si="32"/>
        <v>JHOSUA</v>
      </c>
      <c r="H451" s="43" t="str">
        <f t="shared" si="33"/>
        <v>ALVAREZ JIMENEZ</v>
      </c>
      <c r="I451" s="43" t="str">
        <f t="shared" si="34"/>
        <v>JHOSUA ALVAREZ JIMENEZ</v>
      </c>
      <c r="J451" s="35" t="s">
        <v>2243</v>
      </c>
      <c r="K451" s="37">
        <v>9</v>
      </c>
      <c r="L451" s="37">
        <v>1</v>
      </c>
      <c r="M451" s="37" t="s">
        <v>1</v>
      </c>
    </row>
    <row r="452" spans="2:13" x14ac:dyDescent="0.25">
      <c r="B452" s="48">
        <v>449</v>
      </c>
      <c r="C452" s="38">
        <v>402860380</v>
      </c>
      <c r="D452" s="43" t="str">
        <f t="shared" ref="D452:D515" si="35">IF(LEN(C452)=9,_xlfn.CONCAT(MID(C452,1,1),"-",MID(C452,2,4),"-",MID(C452,6,4)),TEXT(C452,"000000000000"))</f>
        <v>4-0286-0380</v>
      </c>
      <c r="E452" s="38" t="s">
        <v>392</v>
      </c>
      <c r="F452" s="43" t="str">
        <f t="shared" si="31"/>
        <v>DEREK ANDRES</v>
      </c>
      <c r="G452" s="43" t="str">
        <f t="shared" si="32"/>
        <v>DEREK</v>
      </c>
      <c r="H452" s="43" t="str">
        <f t="shared" si="33"/>
        <v>ARIAS ALFARO</v>
      </c>
      <c r="I452" s="43" t="str">
        <f t="shared" si="34"/>
        <v>DEREK ARIAS ALFARO</v>
      </c>
      <c r="J452" s="35" t="s">
        <v>2243</v>
      </c>
      <c r="K452" s="37">
        <v>9</v>
      </c>
      <c r="L452" s="37">
        <v>1</v>
      </c>
      <c r="M452" s="37" t="s">
        <v>1</v>
      </c>
    </row>
    <row r="453" spans="2:13" x14ac:dyDescent="0.25">
      <c r="B453" s="46">
        <v>450</v>
      </c>
      <c r="C453" s="38">
        <v>402890182</v>
      </c>
      <c r="D453" s="43" t="str">
        <f t="shared" si="35"/>
        <v>4-0289-0182</v>
      </c>
      <c r="E453" s="38" t="s">
        <v>394</v>
      </c>
      <c r="F453" s="43" t="str">
        <f t="shared" ref="F453:F516" si="36">RIGHT(E453,LEN(E453)-SEARCH(" ",E453,SEARCH(" ",E453)+1))</f>
        <v>LAUREN JANIEL</v>
      </c>
      <c r="G453" s="43" t="str">
        <f t="shared" ref="G453:G516" si="37">IFERROR(LEFT(F453,SEARCH(" ",F453,1)-1),F453)</f>
        <v>LAUREN</v>
      </c>
      <c r="H453" s="43" t="str">
        <f t="shared" ref="H453:H516" si="38">LEFT(E453,SEARCH(" ",E453,SEARCH(" ",E453)+1)-1)</f>
        <v>CAMACHO MORA</v>
      </c>
      <c r="I453" s="43" t="str">
        <f t="shared" ref="I453:I516" si="39">_xlfn.CONCAT(G453," ",H453)</f>
        <v>LAUREN CAMACHO MORA</v>
      </c>
      <c r="J453" s="35" t="s">
        <v>2243</v>
      </c>
      <c r="K453" s="37">
        <v>9</v>
      </c>
      <c r="L453" s="37">
        <v>1</v>
      </c>
      <c r="M453" s="37" t="s">
        <v>1</v>
      </c>
    </row>
    <row r="454" spans="2:13" x14ac:dyDescent="0.25">
      <c r="B454" s="48">
        <v>451</v>
      </c>
      <c r="C454" s="38">
        <v>402890911</v>
      </c>
      <c r="D454" s="43" t="str">
        <f t="shared" si="35"/>
        <v>4-0289-0911</v>
      </c>
      <c r="E454" s="38" t="s">
        <v>527</v>
      </c>
      <c r="F454" s="43" t="str">
        <f t="shared" si="36"/>
        <v>RUBI SAHAR</v>
      </c>
      <c r="G454" s="43" t="str">
        <f t="shared" si="37"/>
        <v>RUBI</v>
      </c>
      <c r="H454" s="43" t="str">
        <f t="shared" si="38"/>
        <v>CASTRO GONZALEZ</v>
      </c>
      <c r="I454" s="43" t="str">
        <f t="shared" si="39"/>
        <v>RUBI CASTRO GONZALEZ</v>
      </c>
      <c r="J454" s="35" t="s">
        <v>2243</v>
      </c>
      <c r="K454" s="37">
        <v>9</v>
      </c>
      <c r="L454" s="37">
        <v>1</v>
      </c>
      <c r="M454" s="37" t="s">
        <v>1</v>
      </c>
    </row>
    <row r="455" spans="2:13" x14ac:dyDescent="0.25">
      <c r="B455" s="48">
        <v>452</v>
      </c>
      <c r="C455" s="50">
        <v>209320954</v>
      </c>
      <c r="D455" s="43" t="str">
        <f t="shared" si="35"/>
        <v>2-0932-0954</v>
      </c>
      <c r="E455" s="50" t="s">
        <v>478</v>
      </c>
      <c r="F455" s="43" t="str">
        <f t="shared" si="36"/>
        <v>FELIPE</v>
      </c>
      <c r="G455" s="43" t="str">
        <f t="shared" si="37"/>
        <v>FELIPE</v>
      </c>
      <c r="H455" s="43" t="str">
        <f t="shared" si="38"/>
        <v>ESQUIVEL ROJAS</v>
      </c>
      <c r="I455" s="43" t="str">
        <f t="shared" si="39"/>
        <v>FELIPE ESQUIVEL ROJAS</v>
      </c>
      <c r="J455" s="35" t="s">
        <v>2243</v>
      </c>
      <c r="K455" s="37">
        <v>9</v>
      </c>
      <c r="L455" s="37">
        <v>1</v>
      </c>
      <c r="M455" s="37" t="s">
        <v>1</v>
      </c>
    </row>
    <row r="456" spans="2:13" x14ac:dyDescent="0.25">
      <c r="B456" s="46">
        <v>453</v>
      </c>
      <c r="C456" s="46">
        <v>209190657</v>
      </c>
      <c r="D456" s="43" t="str">
        <f t="shared" si="35"/>
        <v>2-0919-0657</v>
      </c>
      <c r="E456" s="32" t="s">
        <v>397</v>
      </c>
      <c r="F456" s="43" t="str">
        <f t="shared" si="36"/>
        <v>JOHN SCHNEIDER NS</v>
      </c>
      <c r="G456" s="43" t="str">
        <f t="shared" si="37"/>
        <v>JOHN</v>
      </c>
      <c r="H456" s="43" t="str">
        <f t="shared" si="38"/>
        <v>GOMEZ GUEVARA</v>
      </c>
      <c r="I456" s="43" t="str">
        <f t="shared" si="39"/>
        <v>JOHN GOMEZ GUEVARA</v>
      </c>
      <c r="J456" s="35" t="s">
        <v>2243</v>
      </c>
      <c r="K456" s="37">
        <v>9</v>
      </c>
      <c r="L456" s="37">
        <v>1</v>
      </c>
      <c r="M456" s="37" t="s">
        <v>1</v>
      </c>
    </row>
    <row r="457" spans="2:13" x14ac:dyDescent="0.25">
      <c r="B457" s="48">
        <v>454</v>
      </c>
      <c r="C457" s="38">
        <v>402850861</v>
      </c>
      <c r="D457" s="43" t="str">
        <f t="shared" si="35"/>
        <v>4-0285-0861</v>
      </c>
      <c r="E457" s="38" t="s">
        <v>398</v>
      </c>
      <c r="F457" s="43" t="str">
        <f t="shared" si="36"/>
        <v>YURGUEN RANCES</v>
      </c>
      <c r="G457" s="43" t="str">
        <f t="shared" si="37"/>
        <v>YURGUEN</v>
      </c>
      <c r="H457" s="43" t="str">
        <f t="shared" si="38"/>
        <v>HERNANDEZ MONGE</v>
      </c>
      <c r="I457" s="43" t="str">
        <f t="shared" si="39"/>
        <v>YURGUEN HERNANDEZ MONGE</v>
      </c>
      <c r="J457" s="35" t="s">
        <v>2243</v>
      </c>
      <c r="K457" s="37">
        <v>9</v>
      </c>
      <c r="L457" s="37">
        <v>1</v>
      </c>
      <c r="M457" s="37" t="s">
        <v>1</v>
      </c>
    </row>
    <row r="458" spans="2:13" x14ac:dyDescent="0.25">
      <c r="B458" s="48">
        <v>455</v>
      </c>
      <c r="C458" s="33">
        <v>209300800</v>
      </c>
      <c r="D458" s="43" t="str">
        <f t="shared" si="35"/>
        <v>2-0930-0800</v>
      </c>
      <c r="E458" s="38" t="s">
        <v>399</v>
      </c>
      <c r="F458" s="43" t="str">
        <f t="shared" si="36"/>
        <v>FABIANA</v>
      </c>
      <c r="G458" s="43" t="str">
        <f t="shared" si="37"/>
        <v>FABIANA</v>
      </c>
      <c r="H458" s="43" t="str">
        <f t="shared" si="38"/>
        <v>MARIN JIMENEZ</v>
      </c>
      <c r="I458" s="43" t="str">
        <f t="shared" si="39"/>
        <v>FABIANA MARIN JIMENEZ</v>
      </c>
      <c r="J458" s="35" t="s">
        <v>2243</v>
      </c>
      <c r="K458" s="37">
        <v>9</v>
      </c>
      <c r="L458" s="37">
        <v>1</v>
      </c>
      <c r="M458" s="37" t="s">
        <v>1</v>
      </c>
    </row>
    <row r="459" spans="2:13" x14ac:dyDescent="0.25">
      <c r="B459" s="46">
        <v>456</v>
      </c>
      <c r="C459" s="33">
        <v>209100455</v>
      </c>
      <c r="D459" s="43" t="str">
        <f t="shared" si="35"/>
        <v>2-0910-0455</v>
      </c>
      <c r="E459" s="35" t="s">
        <v>2227</v>
      </c>
      <c r="F459" s="43" t="str">
        <f t="shared" si="36"/>
        <v>MARYAN MICHELLE</v>
      </c>
      <c r="G459" s="43" t="str">
        <f t="shared" si="37"/>
        <v>MARYAN</v>
      </c>
      <c r="H459" s="43" t="str">
        <f t="shared" si="38"/>
        <v>MARTINEZ ORDEÑANA</v>
      </c>
      <c r="I459" s="43" t="str">
        <f t="shared" si="39"/>
        <v>MARYAN MARTINEZ ORDEÑANA</v>
      </c>
      <c r="J459" s="35" t="s">
        <v>2243</v>
      </c>
      <c r="K459" s="37">
        <v>9</v>
      </c>
      <c r="L459" s="37">
        <v>1</v>
      </c>
      <c r="M459" s="37" t="s">
        <v>1</v>
      </c>
    </row>
    <row r="460" spans="2:13" x14ac:dyDescent="0.25">
      <c r="B460" s="48">
        <v>457</v>
      </c>
      <c r="C460" s="38">
        <v>209280590</v>
      </c>
      <c r="D460" s="43" t="str">
        <f t="shared" si="35"/>
        <v>2-0928-0590</v>
      </c>
      <c r="E460" s="38" t="s">
        <v>400</v>
      </c>
      <c r="F460" s="43" t="str">
        <f t="shared" si="36"/>
        <v>FABIOLA</v>
      </c>
      <c r="G460" s="43" t="str">
        <f t="shared" si="37"/>
        <v>FABIOLA</v>
      </c>
      <c r="H460" s="43" t="str">
        <f t="shared" si="38"/>
        <v>MENDOZA MONTERO</v>
      </c>
      <c r="I460" s="43" t="str">
        <f t="shared" si="39"/>
        <v>FABIOLA MENDOZA MONTERO</v>
      </c>
      <c r="J460" s="35" t="s">
        <v>2243</v>
      </c>
      <c r="K460" s="37">
        <v>9</v>
      </c>
      <c r="L460" s="37">
        <v>1</v>
      </c>
      <c r="M460" s="37" t="s">
        <v>1</v>
      </c>
    </row>
    <row r="461" spans="2:13" x14ac:dyDescent="0.25">
      <c r="B461" s="48">
        <v>458</v>
      </c>
      <c r="C461" s="38">
        <v>209330220</v>
      </c>
      <c r="D461" s="43" t="str">
        <f t="shared" si="35"/>
        <v>2-0933-0220</v>
      </c>
      <c r="E461" s="38" t="s">
        <v>401</v>
      </c>
      <c r="F461" s="43" t="str">
        <f t="shared" si="36"/>
        <v>LIBNI BETSABETH</v>
      </c>
      <c r="G461" s="43" t="str">
        <f t="shared" si="37"/>
        <v>LIBNI</v>
      </c>
      <c r="H461" s="43" t="str">
        <f t="shared" si="38"/>
        <v>MOREIRA CALERO</v>
      </c>
      <c r="I461" s="43" t="str">
        <f t="shared" si="39"/>
        <v>LIBNI MOREIRA CALERO</v>
      </c>
      <c r="J461" s="35" t="s">
        <v>2243</v>
      </c>
      <c r="K461" s="37">
        <v>9</v>
      </c>
      <c r="L461" s="37">
        <v>1</v>
      </c>
      <c r="M461" s="37" t="s">
        <v>1</v>
      </c>
    </row>
    <row r="462" spans="2:13" x14ac:dyDescent="0.25">
      <c r="B462" s="46">
        <v>459</v>
      </c>
      <c r="C462" s="33">
        <v>209050494</v>
      </c>
      <c r="D462" s="43" t="str">
        <f t="shared" si="35"/>
        <v>2-0905-0494</v>
      </c>
      <c r="E462" s="38" t="s">
        <v>402</v>
      </c>
      <c r="F462" s="43" t="str">
        <f t="shared" si="36"/>
        <v>SAMUEL ENRIQUE</v>
      </c>
      <c r="G462" s="43" t="str">
        <f t="shared" si="37"/>
        <v>SAMUEL</v>
      </c>
      <c r="H462" s="43" t="str">
        <f t="shared" si="38"/>
        <v>MOREIRA CALERO</v>
      </c>
      <c r="I462" s="43" t="str">
        <f t="shared" si="39"/>
        <v>SAMUEL MOREIRA CALERO</v>
      </c>
      <c r="J462" s="35" t="s">
        <v>2243</v>
      </c>
      <c r="K462" s="37">
        <v>9</v>
      </c>
      <c r="L462" s="37">
        <v>1</v>
      </c>
      <c r="M462" s="37" t="s">
        <v>1</v>
      </c>
    </row>
    <row r="463" spans="2:13" x14ac:dyDescent="0.25">
      <c r="B463" s="48">
        <v>460</v>
      </c>
      <c r="C463" s="38">
        <v>605270267</v>
      </c>
      <c r="D463" s="43" t="str">
        <f t="shared" si="35"/>
        <v>6-0527-0267</v>
      </c>
      <c r="E463" s="38" t="s">
        <v>403</v>
      </c>
      <c r="F463" s="43" t="str">
        <f t="shared" si="36"/>
        <v>EMILY RACHEL</v>
      </c>
      <c r="G463" s="43" t="str">
        <f t="shared" si="37"/>
        <v>EMILY</v>
      </c>
      <c r="H463" s="43" t="str">
        <f t="shared" si="38"/>
        <v>PALACIOS ROJAS</v>
      </c>
      <c r="I463" s="43" t="str">
        <f t="shared" si="39"/>
        <v>EMILY PALACIOS ROJAS</v>
      </c>
      <c r="J463" s="35" t="s">
        <v>2243</v>
      </c>
      <c r="K463" s="37">
        <v>9</v>
      </c>
      <c r="L463" s="37">
        <v>1</v>
      </c>
      <c r="M463" s="37" t="s">
        <v>1</v>
      </c>
    </row>
    <row r="464" spans="2:13" x14ac:dyDescent="0.25">
      <c r="B464" s="48">
        <v>461</v>
      </c>
      <c r="C464" s="52">
        <v>209120140</v>
      </c>
      <c r="D464" s="43" t="str">
        <f t="shared" si="35"/>
        <v>2-0912-0140</v>
      </c>
      <c r="E464" s="50" t="s">
        <v>2228</v>
      </c>
      <c r="F464" s="43" t="str">
        <f t="shared" si="36"/>
        <v>IAN ALEJANDRO</v>
      </c>
      <c r="G464" s="43" t="str">
        <f t="shared" si="37"/>
        <v>IAN</v>
      </c>
      <c r="H464" s="43" t="str">
        <f t="shared" si="38"/>
        <v>RODRIGUEZ ROJO</v>
      </c>
      <c r="I464" s="43" t="str">
        <f t="shared" si="39"/>
        <v>IAN RODRIGUEZ ROJO</v>
      </c>
      <c r="J464" s="35" t="s">
        <v>2243</v>
      </c>
      <c r="K464" s="37">
        <v>9</v>
      </c>
      <c r="L464" s="37">
        <v>1</v>
      </c>
      <c r="M464" s="37" t="s">
        <v>1</v>
      </c>
    </row>
    <row r="465" spans="2:13" x14ac:dyDescent="0.25">
      <c r="B465" s="46">
        <v>462</v>
      </c>
      <c r="C465" s="38">
        <v>402890429</v>
      </c>
      <c r="D465" s="43" t="str">
        <f t="shared" si="35"/>
        <v>4-0289-0429</v>
      </c>
      <c r="E465" s="38" t="s">
        <v>404</v>
      </c>
      <c r="F465" s="43" t="str">
        <f t="shared" si="36"/>
        <v>DENILSON ANDRES</v>
      </c>
      <c r="G465" s="43" t="str">
        <f t="shared" si="37"/>
        <v>DENILSON</v>
      </c>
      <c r="H465" s="43" t="str">
        <f t="shared" si="38"/>
        <v>ROJAS UGALDE</v>
      </c>
      <c r="I465" s="43" t="str">
        <f t="shared" si="39"/>
        <v>DENILSON ROJAS UGALDE</v>
      </c>
      <c r="J465" s="35" t="s">
        <v>2243</v>
      </c>
      <c r="K465" s="37">
        <v>9</v>
      </c>
      <c r="L465" s="37">
        <v>1</v>
      </c>
      <c r="M465" s="37" t="s">
        <v>1</v>
      </c>
    </row>
    <row r="466" spans="2:13" x14ac:dyDescent="0.25">
      <c r="B466" s="48">
        <v>463</v>
      </c>
      <c r="C466" s="38">
        <v>209130045</v>
      </c>
      <c r="D466" s="43" t="str">
        <f t="shared" si="35"/>
        <v>2-0913-0045</v>
      </c>
      <c r="E466" s="38" t="s">
        <v>405</v>
      </c>
      <c r="F466" s="43" t="str">
        <f t="shared" si="36"/>
        <v>AARON</v>
      </c>
      <c r="G466" s="43" t="str">
        <f t="shared" si="37"/>
        <v>AARON</v>
      </c>
      <c r="H466" s="43" t="str">
        <f t="shared" si="38"/>
        <v>SIBAJA BONILLA</v>
      </c>
      <c r="I466" s="43" t="str">
        <f t="shared" si="39"/>
        <v>AARON SIBAJA BONILLA</v>
      </c>
      <c r="J466" s="35" t="s">
        <v>2243</v>
      </c>
      <c r="K466" s="37">
        <v>9</v>
      </c>
      <c r="L466" s="37">
        <v>1</v>
      </c>
      <c r="M466" s="37" t="s">
        <v>1</v>
      </c>
    </row>
    <row r="467" spans="2:13" x14ac:dyDescent="0.25">
      <c r="B467" s="48">
        <v>464</v>
      </c>
      <c r="C467" s="48">
        <v>120770390</v>
      </c>
      <c r="D467" s="43" t="str">
        <f t="shared" si="35"/>
        <v>1-2077-0390</v>
      </c>
      <c r="E467" s="50" t="s">
        <v>406</v>
      </c>
      <c r="F467" s="43" t="str">
        <f t="shared" si="36"/>
        <v>NAZARETH</v>
      </c>
      <c r="G467" s="43" t="str">
        <f t="shared" si="37"/>
        <v>NAZARETH</v>
      </c>
      <c r="H467" s="43" t="str">
        <f t="shared" si="38"/>
        <v>BERROCAL MONTERO</v>
      </c>
      <c r="I467" s="43" t="str">
        <f t="shared" si="39"/>
        <v>NAZARETH BERROCAL MONTERO</v>
      </c>
      <c r="J467" s="35" t="s">
        <v>2243</v>
      </c>
      <c r="K467" s="37">
        <v>9</v>
      </c>
      <c r="L467" s="37">
        <v>1</v>
      </c>
      <c r="M467" s="37" t="s">
        <v>0</v>
      </c>
    </row>
    <row r="468" spans="2:13" x14ac:dyDescent="0.25">
      <c r="B468" s="46">
        <v>465</v>
      </c>
      <c r="C468" s="50">
        <v>402870222</v>
      </c>
      <c r="D468" s="43" t="str">
        <f t="shared" si="35"/>
        <v>4-0287-0222</v>
      </c>
      <c r="E468" s="38" t="s">
        <v>451</v>
      </c>
      <c r="F468" s="43" t="str">
        <f t="shared" si="36"/>
        <v>TAMARA</v>
      </c>
      <c r="G468" s="43" t="str">
        <f t="shared" si="37"/>
        <v>TAMARA</v>
      </c>
      <c r="H468" s="43" t="str">
        <f t="shared" si="38"/>
        <v>CENTENO BARRANTES</v>
      </c>
      <c r="I468" s="43" t="str">
        <f t="shared" si="39"/>
        <v>TAMARA CENTENO BARRANTES</v>
      </c>
      <c r="J468" s="35" t="s">
        <v>2243</v>
      </c>
      <c r="K468" s="37">
        <v>9</v>
      </c>
      <c r="L468" s="37">
        <v>1</v>
      </c>
      <c r="M468" s="37" t="s">
        <v>0</v>
      </c>
    </row>
    <row r="469" spans="2:13" x14ac:dyDescent="0.25">
      <c r="B469" s="48">
        <v>466</v>
      </c>
      <c r="C469" s="50">
        <v>402880850</v>
      </c>
      <c r="D469" s="43" t="str">
        <f t="shared" si="35"/>
        <v>4-0288-0850</v>
      </c>
      <c r="E469" s="50" t="s">
        <v>408</v>
      </c>
      <c r="F469" s="43" t="str">
        <f t="shared" si="36"/>
        <v>MARIA NOELIA</v>
      </c>
      <c r="G469" s="43" t="str">
        <f t="shared" si="37"/>
        <v>MARIA</v>
      </c>
      <c r="H469" s="43" t="str">
        <f t="shared" si="38"/>
        <v>GUILLEN CASTRO</v>
      </c>
      <c r="I469" s="43" t="str">
        <f t="shared" si="39"/>
        <v>MARIA GUILLEN CASTRO</v>
      </c>
      <c r="J469" s="35" t="s">
        <v>2243</v>
      </c>
      <c r="K469" s="37">
        <v>9</v>
      </c>
      <c r="L469" s="37">
        <v>1</v>
      </c>
      <c r="M469" s="37" t="s">
        <v>0</v>
      </c>
    </row>
    <row r="470" spans="2:13" x14ac:dyDescent="0.25">
      <c r="B470" s="48">
        <v>467</v>
      </c>
      <c r="C470" s="38">
        <v>209370053</v>
      </c>
      <c r="D470" s="43" t="str">
        <f t="shared" si="35"/>
        <v>2-0937-0053</v>
      </c>
      <c r="E470" s="38" t="s">
        <v>409</v>
      </c>
      <c r="F470" s="43" t="str">
        <f t="shared" si="36"/>
        <v>AXEL GUSTAVO</v>
      </c>
      <c r="G470" s="43" t="str">
        <f t="shared" si="37"/>
        <v>AXEL</v>
      </c>
      <c r="H470" s="43" t="str">
        <f t="shared" si="38"/>
        <v>JIMENEZ MENDEZ</v>
      </c>
      <c r="I470" s="43" t="str">
        <f t="shared" si="39"/>
        <v>AXEL JIMENEZ MENDEZ</v>
      </c>
      <c r="J470" s="35" t="s">
        <v>2243</v>
      </c>
      <c r="K470" s="37">
        <v>9</v>
      </c>
      <c r="L470" s="37">
        <v>1</v>
      </c>
      <c r="M470" s="37" t="s">
        <v>0</v>
      </c>
    </row>
    <row r="471" spans="2:13" x14ac:dyDescent="0.25">
      <c r="B471" s="46">
        <v>468</v>
      </c>
      <c r="C471" s="38">
        <v>209360340</v>
      </c>
      <c r="D471" s="43" t="str">
        <f t="shared" si="35"/>
        <v>2-0936-0340</v>
      </c>
      <c r="E471" s="38" t="s">
        <v>410</v>
      </c>
      <c r="F471" s="43" t="str">
        <f t="shared" si="36"/>
        <v>RASHELL CAMILA</v>
      </c>
      <c r="G471" s="43" t="str">
        <f t="shared" si="37"/>
        <v>RASHELL</v>
      </c>
      <c r="H471" s="43" t="str">
        <f t="shared" si="38"/>
        <v>MARTINEZ SANCHEZ</v>
      </c>
      <c r="I471" s="43" t="str">
        <f t="shared" si="39"/>
        <v>RASHELL MARTINEZ SANCHEZ</v>
      </c>
      <c r="J471" s="35" t="s">
        <v>2243</v>
      </c>
      <c r="K471" s="37">
        <v>9</v>
      </c>
      <c r="L471" s="37">
        <v>1</v>
      </c>
      <c r="M471" s="37" t="s">
        <v>0</v>
      </c>
    </row>
    <row r="472" spans="2:13" x14ac:dyDescent="0.25">
      <c r="B472" s="48">
        <v>469</v>
      </c>
      <c r="C472" s="38">
        <v>209340477</v>
      </c>
      <c r="D472" s="43" t="str">
        <f t="shared" si="35"/>
        <v>2-0934-0477</v>
      </c>
      <c r="E472" s="38" t="s">
        <v>411</v>
      </c>
      <c r="F472" s="43" t="str">
        <f t="shared" si="36"/>
        <v>DIEGO ESTEBAN</v>
      </c>
      <c r="G472" s="43" t="str">
        <f t="shared" si="37"/>
        <v>DIEGO</v>
      </c>
      <c r="H472" s="43" t="str">
        <f t="shared" si="38"/>
        <v>MONTERO BARRANTES</v>
      </c>
      <c r="I472" s="43" t="str">
        <f t="shared" si="39"/>
        <v>DIEGO MONTERO BARRANTES</v>
      </c>
      <c r="J472" s="35" t="s">
        <v>2243</v>
      </c>
      <c r="K472" s="37">
        <v>9</v>
      </c>
      <c r="L472" s="37">
        <v>1</v>
      </c>
      <c r="M472" s="37" t="s">
        <v>0</v>
      </c>
    </row>
    <row r="473" spans="2:13" x14ac:dyDescent="0.25">
      <c r="B473" s="48">
        <v>470</v>
      </c>
      <c r="C473" s="38">
        <v>120370133</v>
      </c>
      <c r="D473" s="43" t="str">
        <f t="shared" si="35"/>
        <v>1-2037-0133</v>
      </c>
      <c r="E473" s="38" t="s">
        <v>412</v>
      </c>
      <c r="F473" s="43" t="str">
        <f t="shared" si="36"/>
        <v>ARIANA ISABEL</v>
      </c>
      <c r="G473" s="43" t="str">
        <f t="shared" si="37"/>
        <v>ARIANA</v>
      </c>
      <c r="H473" s="43" t="str">
        <f t="shared" si="38"/>
        <v>NAVARRO PADILLA</v>
      </c>
      <c r="I473" s="43" t="str">
        <f t="shared" si="39"/>
        <v>ARIANA NAVARRO PADILLA</v>
      </c>
      <c r="J473" s="35" t="s">
        <v>2243</v>
      </c>
      <c r="K473" s="37">
        <v>9</v>
      </c>
      <c r="L473" s="37">
        <v>1</v>
      </c>
      <c r="M473" s="37" t="s">
        <v>0</v>
      </c>
    </row>
    <row r="474" spans="2:13" x14ac:dyDescent="0.25">
      <c r="B474" s="46">
        <v>471</v>
      </c>
      <c r="C474" s="50">
        <v>209340172</v>
      </c>
      <c r="D474" s="43" t="str">
        <f t="shared" si="35"/>
        <v>2-0934-0172</v>
      </c>
      <c r="E474" s="50" t="s">
        <v>413</v>
      </c>
      <c r="F474" s="43" t="str">
        <f t="shared" si="36"/>
        <v>ASHLEY</v>
      </c>
      <c r="G474" s="43" t="str">
        <f t="shared" si="37"/>
        <v>ASHLEY</v>
      </c>
      <c r="H474" s="43" t="str">
        <f t="shared" si="38"/>
        <v>QUIROS MORA</v>
      </c>
      <c r="I474" s="43" t="str">
        <f t="shared" si="39"/>
        <v>ASHLEY QUIROS MORA</v>
      </c>
      <c r="J474" s="35" t="s">
        <v>2243</v>
      </c>
      <c r="K474" s="37">
        <v>9</v>
      </c>
      <c r="L474" s="37">
        <v>1</v>
      </c>
      <c r="M474" s="37" t="s">
        <v>0</v>
      </c>
    </row>
    <row r="475" spans="2:13" x14ac:dyDescent="0.25">
      <c r="B475" s="48">
        <v>472</v>
      </c>
      <c r="C475" s="51">
        <v>120860867</v>
      </c>
      <c r="D475" s="43" t="str">
        <f t="shared" si="35"/>
        <v>1-2086-0867</v>
      </c>
      <c r="E475" s="51" t="s">
        <v>414</v>
      </c>
      <c r="F475" s="43" t="str">
        <f t="shared" si="36"/>
        <v>PABLO ANDRES</v>
      </c>
      <c r="G475" s="43" t="str">
        <f t="shared" si="37"/>
        <v>PABLO</v>
      </c>
      <c r="H475" s="43" t="str">
        <f t="shared" si="38"/>
        <v>QUIROS RAMIREZ</v>
      </c>
      <c r="I475" s="43" t="str">
        <f t="shared" si="39"/>
        <v>PABLO QUIROS RAMIREZ</v>
      </c>
      <c r="J475" s="35" t="s">
        <v>2243</v>
      </c>
      <c r="K475" s="37">
        <v>9</v>
      </c>
      <c r="L475" s="37">
        <v>1</v>
      </c>
      <c r="M475" s="37" t="s">
        <v>0</v>
      </c>
    </row>
    <row r="476" spans="2:13" x14ac:dyDescent="0.25">
      <c r="B476" s="48">
        <v>473</v>
      </c>
      <c r="C476" s="52">
        <v>209020531</v>
      </c>
      <c r="D476" s="43" t="str">
        <f t="shared" si="35"/>
        <v>2-0902-0531</v>
      </c>
      <c r="E476" s="50" t="s">
        <v>2229</v>
      </c>
      <c r="F476" s="43" t="str">
        <f t="shared" si="36"/>
        <v>DIXON HAMPIER</v>
      </c>
      <c r="G476" s="43" t="str">
        <f t="shared" si="37"/>
        <v>DIXON</v>
      </c>
      <c r="H476" s="43" t="str">
        <f t="shared" si="38"/>
        <v>QUIROS ZUÑIGA</v>
      </c>
      <c r="I476" s="43" t="str">
        <f t="shared" si="39"/>
        <v>DIXON QUIROS ZUÑIGA</v>
      </c>
      <c r="J476" s="35" t="s">
        <v>2243</v>
      </c>
      <c r="K476" s="37">
        <v>9</v>
      </c>
      <c r="L476" s="37">
        <v>1</v>
      </c>
      <c r="M476" s="37" t="s">
        <v>0</v>
      </c>
    </row>
    <row r="477" spans="2:13" x14ac:dyDescent="0.25">
      <c r="B477" s="46">
        <v>474</v>
      </c>
      <c r="C477" s="46">
        <v>209170161</v>
      </c>
      <c r="D477" s="43" t="str">
        <f t="shared" si="35"/>
        <v>2-0917-0161</v>
      </c>
      <c r="E477" s="32" t="s">
        <v>415</v>
      </c>
      <c r="F477" s="43" t="str">
        <f t="shared" si="36"/>
        <v>ASHLEY DARIELA</v>
      </c>
      <c r="G477" s="43" t="str">
        <f t="shared" si="37"/>
        <v>ASHLEY</v>
      </c>
      <c r="H477" s="43" t="str">
        <f t="shared" si="38"/>
        <v>RODRIGUEZ LUNA</v>
      </c>
      <c r="I477" s="43" t="str">
        <f t="shared" si="39"/>
        <v>ASHLEY RODRIGUEZ LUNA</v>
      </c>
      <c r="J477" s="35" t="s">
        <v>2243</v>
      </c>
      <c r="K477" s="37">
        <v>9</v>
      </c>
      <c r="L477" s="37">
        <v>1</v>
      </c>
      <c r="M477" s="37" t="s">
        <v>0</v>
      </c>
    </row>
    <row r="478" spans="2:13" x14ac:dyDescent="0.25">
      <c r="B478" s="48">
        <v>475</v>
      </c>
      <c r="C478" s="38">
        <v>402850877</v>
      </c>
      <c r="D478" s="43" t="str">
        <f t="shared" si="35"/>
        <v>4-0285-0877</v>
      </c>
      <c r="E478" s="38" t="s">
        <v>416</v>
      </c>
      <c r="F478" s="43" t="str">
        <f t="shared" si="36"/>
        <v>SAMANTHA</v>
      </c>
      <c r="G478" s="43" t="str">
        <f t="shared" si="37"/>
        <v>SAMANTHA</v>
      </c>
      <c r="H478" s="43" t="str">
        <f t="shared" si="38"/>
        <v>SALAZAR VIQUEZ</v>
      </c>
      <c r="I478" s="43" t="str">
        <f t="shared" si="39"/>
        <v>SAMANTHA SALAZAR VIQUEZ</v>
      </c>
      <c r="J478" s="35" t="s">
        <v>2243</v>
      </c>
      <c r="K478" s="37">
        <v>9</v>
      </c>
      <c r="L478" s="37">
        <v>1</v>
      </c>
      <c r="M478" s="37" t="s">
        <v>0</v>
      </c>
    </row>
    <row r="479" spans="2:13" x14ac:dyDescent="0.25">
      <c r="B479" s="48">
        <v>476</v>
      </c>
      <c r="C479" s="50">
        <v>209250930</v>
      </c>
      <c r="D479" s="43" t="str">
        <f t="shared" si="35"/>
        <v>2-0925-0930</v>
      </c>
      <c r="E479" s="50" t="s">
        <v>417</v>
      </c>
      <c r="F479" s="43" t="str">
        <f t="shared" si="36"/>
        <v>SEBASTIAN FABRICIO</v>
      </c>
      <c r="G479" s="43" t="str">
        <f t="shared" si="37"/>
        <v>SEBASTIAN</v>
      </c>
      <c r="H479" s="43" t="str">
        <f t="shared" si="38"/>
        <v>VEGA LOPEZ</v>
      </c>
      <c r="I479" s="43" t="str">
        <f t="shared" si="39"/>
        <v>SEBASTIAN VEGA LOPEZ</v>
      </c>
      <c r="J479" s="35" t="s">
        <v>2243</v>
      </c>
      <c r="K479" s="37">
        <v>9</v>
      </c>
      <c r="L479" s="37">
        <v>1</v>
      </c>
      <c r="M479" s="37" t="s">
        <v>0</v>
      </c>
    </row>
    <row r="480" spans="2:13" x14ac:dyDescent="0.25">
      <c r="B480" s="46">
        <v>477</v>
      </c>
      <c r="C480" s="50">
        <v>209250645</v>
      </c>
      <c r="D480" s="43" t="str">
        <f t="shared" si="35"/>
        <v>2-0925-0645</v>
      </c>
      <c r="E480" s="50" t="s">
        <v>418</v>
      </c>
      <c r="F480" s="43" t="str">
        <f t="shared" si="36"/>
        <v>KENNETH DAVID</v>
      </c>
      <c r="G480" s="43" t="str">
        <f t="shared" si="37"/>
        <v>KENNETH</v>
      </c>
      <c r="H480" s="43" t="str">
        <f t="shared" si="38"/>
        <v>ZAMORA RODRIGUEZ</v>
      </c>
      <c r="I480" s="43" t="str">
        <f t="shared" si="39"/>
        <v>KENNETH ZAMORA RODRIGUEZ</v>
      </c>
      <c r="J480" s="35" t="s">
        <v>2243</v>
      </c>
      <c r="K480" s="37">
        <v>9</v>
      </c>
      <c r="L480" s="37">
        <v>1</v>
      </c>
      <c r="M480" s="37" t="s">
        <v>0</v>
      </c>
    </row>
    <row r="481" spans="2:13" x14ac:dyDescent="0.25">
      <c r="B481" s="48">
        <v>478</v>
      </c>
      <c r="C481" s="50">
        <v>120930942</v>
      </c>
      <c r="D481" s="43" t="str">
        <f t="shared" si="35"/>
        <v>1-2093-0942</v>
      </c>
      <c r="E481" s="50" t="s">
        <v>419</v>
      </c>
      <c r="F481" s="43" t="str">
        <f t="shared" si="36"/>
        <v>NICOLAS ANTONIO</v>
      </c>
      <c r="G481" s="43" t="str">
        <f t="shared" si="37"/>
        <v>NICOLAS</v>
      </c>
      <c r="H481" s="43" t="str">
        <f t="shared" si="38"/>
        <v>ZUÑIGA CORTES</v>
      </c>
      <c r="I481" s="43" t="str">
        <f t="shared" si="39"/>
        <v>NICOLAS ZUÑIGA CORTES</v>
      </c>
      <c r="J481" s="35" t="s">
        <v>2243</v>
      </c>
      <c r="K481" s="37">
        <v>9</v>
      </c>
      <c r="L481" s="37">
        <v>1</v>
      </c>
      <c r="M481" s="37" t="s">
        <v>0</v>
      </c>
    </row>
    <row r="482" spans="2:13" x14ac:dyDescent="0.25">
      <c r="B482" s="48">
        <v>479</v>
      </c>
      <c r="C482" s="38">
        <v>402860804</v>
      </c>
      <c r="D482" s="43" t="str">
        <f t="shared" si="35"/>
        <v>4-0286-0804</v>
      </c>
      <c r="E482" s="38" t="s">
        <v>420</v>
      </c>
      <c r="F482" s="43" t="str">
        <f t="shared" si="36"/>
        <v>JOSE ANDRES</v>
      </c>
      <c r="G482" s="43" t="str">
        <f t="shared" si="37"/>
        <v>JOSE</v>
      </c>
      <c r="H482" s="43" t="str">
        <f t="shared" si="38"/>
        <v>AGUILAR ESQUIVEL</v>
      </c>
      <c r="I482" s="43" t="str">
        <f t="shared" si="39"/>
        <v>JOSE AGUILAR ESQUIVEL</v>
      </c>
      <c r="J482" s="35" t="s">
        <v>2243</v>
      </c>
      <c r="K482" s="37">
        <v>9</v>
      </c>
      <c r="L482" s="37">
        <v>2</v>
      </c>
      <c r="M482" s="37" t="s">
        <v>1</v>
      </c>
    </row>
    <row r="483" spans="2:13" x14ac:dyDescent="0.25">
      <c r="B483" s="46">
        <v>480</v>
      </c>
      <c r="C483" s="38">
        <v>402870903</v>
      </c>
      <c r="D483" s="43" t="str">
        <f t="shared" si="35"/>
        <v>4-0287-0903</v>
      </c>
      <c r="E483" s="38" t="s">
        <v>421</v>
      </c>
      <c r="F483" s="43" t="str">
        <f t="shared" si="36"/>
        <v>ANDRES JOSUE</v>
      </c>
      <c r="G483" s="43" t="str">
        <f t="shared" si="37"/>
        <v>ANDRES</v>
      </c>
      <c r="H483" s="43" t="str">
        <f t="shared" si="38"/>
        <v>ARIAS ZUÑIGA</v>
      </c>
      <c r="I483" s="43" t="str">
        <f t="shared" si="39"/>
        <v>ANDRES ARIAS ZUÑIGA</v>
      </c>
      <c r="J483" s="35" t="s">
        <v>2243</v>
      </c>
      <c r="K483" s="37">
        <v>9</v>
      </c>
      <c r="L483" s="37">
        <v>2</v>
      </c>
      <c r="M483" s="37" t="s">
        <v>1</v>
      </c>
    </row>
    <row r="484" spans="2:13" x14ac:dyDescent="0.25">
      <c r="B484" s="48">
        <v>481</v>
      </c>
      <c r="C484" s="41">
        <v>209110975</v>
      </c>
      <c r="D484" s="43" t="str">
        <f t="shared" si="35"/>
        <v>2-0911-0975</v>
      </c>
      <c r="E484" s="41" t="s">
        <v>422</v>
      </c>
      <c r="F484" s="43" t="str">
        <f t="shared" si="36"/>
        <v>AYKEL</v>
      </c>
      <c r="G484" s="43" t="str">
        <f t="shared" si="37"/>
        <v>AYKEL</v>
      </c>
      <c r="H484" s="43" t="str">
        <f t="shared" si="38"/>
        <v>ARTAVIA ARAYA</v>
      </c>
      <c r="I484" s="43" t="str">
        <f t="shared" si="39"/>
        <v>AYKEL ARTAVIA ARAYA</v>
      </c>
      <c r="J484" s="35" t="s">
        <v>2243</v>
      </c>
      <c r="K484" s="37">
        <v>9</v>
      </c>
      <c r="L484" s="37">
        <v>2</v>
      </c>
      <c r="M484" s="37" t="s">
        <v>1</v>
      </c>
    </row>
    <row r="485" spans="2:13" x14ac:dyDescent="0.25">
      <c r="B485" s="48">
        <v>482</v>
      </c>
      <c r="C485" s="38">
        <v>209370533</v>
      </c>
      <c r="D485" s="43" t="str">
        <f t="shared" si="35"/>
        <v>2-0937-0533</v>
      </c>
      <c r="E485" s="38" t="s">
        <v>423</v>
      </c>
      <c r="F485" s="43" t="str">
        <f t="shared" si="36"/>
        <v>NICOLE YARIELA</v>
      </c>
      <c r="G485" s="43" t="str">
        <f t="shared" si="37"/>
        <v>NICOLE</v>
      </c>
      <c r="H485" s="43" t="str">
        <f t="shared" si="38"/>
        <v>CAMBRONERO CESPEDES</v>
      </c>
      <c r="I485" s="43" t="str">
        <f t="shared" si="39"/>
        <v>NICOLE CAMBRONERO CESPEDES</v>
      </c>
      <c r="J485" s="35" t="s">
        <v>2243</v>
      </c>
      <c r="K485" s="37">
        <v>9</v>
      </c>
      <c r="L485" s="37">
        <v>2</v>
      </c>
      <c r="M485" s="37" t="s">
        <v>1</v>
      </c>
    </row>
    <row r="486" spans="2:13" x14ac:dyDescent="0.25">
      <c r="B486" s="46">
        <v>483</v>
      </c>
      <c r="C486" s="38">
        <v>209370293</v>
      </c>
      <c r="D486" s="43" t="str">
        <f t="shared" si="35"/>
        <v>2-0937-0293</v>
      </c>
      <c r="E486" s="38" t="s">
        <v>424</v>
      </c>
      <c r="F486" s="43" t="str">
        <f t="shared" si="36"/>
        <v>ALANA DESIREE</v>
      </c>
      <c r="G486" s="43" t="str">
        <f t="shared" si="37"/>
        <v>ALANA</v>
      </c>
      <c r="H486" s="43" t="str">
        <f t="shared" si="38"/>
        <v>CESPEDES UGALDE</v>
      </c>
      <c r="I486" s="43" t="str">
        <f t="shared" si="39"/>
        <v>ALANA CESPEDES UGALDE</v>
      </c>
      <c r="J486" s="35" t="s">
        <v>2243</v>
      </c>
      <c r="K486" s="37">
        <v>9</v>
      </c>
      <c r="L486" s="37">
        <v>2</v>
      </c>
      <c r="M486" s="37" t="s">
        <v>1</v>
      </c>
    </row>
    <row r="487" spans="2:13" x14ac:dyDescent="0.25">
      <c r="B487" s="48">
        <v>484</v>
      </c>
      <c r="C487" s="38">
        <v>209350661</v>
      </c>
      <c r="D487" s="43" t="str">
        <f t="shared" si="35"/>
        <v>2-0935-0661</v>
      </c>
      <c r="E487" s="38" t="s">
        <v>425</v>
      </c>
      <c r="F487" s="43" t="str">
        <f t="shared" si="36"/>
        <v>LINDSEY CAMILA</v>
      </c>
      <c r="G487" s="43" t="str">
        <f t="shared" si="37"/>
        <v>LINDSEY</v>
      </c>
      <c r="H487" s="43" t="str">
        <f t="shared" si="38"/>
        <v>DIAZ CABRERA</v>
      </c>
      <c r="I487" s="43" t="str">
        <f t="shared" si="39"/>
        <v>LINDSEY DIAZ CABRERA</v>
      </c>
      <c r="J487" s="35" t="s">
        <v>2243</v>
      </c>
      <c r="K487" s="37">
        <v>9</v>
      </c>
      <c r="L487" s="37">
        <v>2</v>
      </c>
      <c r="M487" s="37" t="s">
        <v>1</v>
      </c>
    </row>
    <row r="488" spans="2:13" x14ac:dyDescent="0.25">
      <c r="B488" s="48">
        <v>485</v>
      </c>
      <c r="C488" s="38">
        <v>209280828</v>
      </c>
      <c r="D488" s="43" t="str">
        <f t="shared" si="35"/>
        <v>2-0928-0828</v>
      </c>
      <c r="E488" s="38" t="s">
        <v>426</v>
      </c>
      <c r="F488" s="43" t="str">
        <f t="shared" si="36"/>
        <v>ALEX GABRIEL</v>
      </c>
      <c r="G488" s="43" t="str">
        <f t="shared" si="37"/>
        <v>ALEX</v>
      </c>
      <c r="H488" s="43" t="str">
        <f t="shared" si="38"/>
        <v>GONZALEZ MORA</v>
      </c>
      <c r="I488" s="43" t="str">
        <f t="shared" si="39"/>
        <v>ALEX GONZALEZ MORA</v>
      </c>
      <c r="J488" s="35" t="s">
        <v>2243</v>
      </c>
      <c r="K488" s="37">
        <v>9</v>
      </c>
      <c r="L488" s="37">
        <v>2</v>
      </c>
      <c r="M488" s="37" t="s">
        <v>1</v>
      </c>
    </row>
    <row r="489" spans="2:13" x14ac:dyDescent="0.25">
      <c r="B489" s="46">
        <v>486</v>
      </c>
      <c r="C489" s="46">
        <v>120320610</v>
      </c>
      <c r="D489" s="43" t="str">
        <f t="shared" si="35"/>
        <v>1-2032-0610</v>
      </c>
      <c r="E489" s="32" t="s">
        <v>427</v>
      </c>
      <c r="F489" s="43" t="str">
        <f t="shared" si="36"/>
        <v>MARIA FERNANDA</v>
      </c>
      <c r="G489" s="43" t="str">
        <f t="shared" si="37"/>
        <v>MARIA</v>
      </c>
      <c r="H489" s="43" t="str">
        <f t="shared" si="38"/>
        <v>HERNANDEZ MORA</v>
      </c>
      <c r="I489" s="43" t="str">
        <f t="shared" si="39"/>
        <v>MARIA HERNANDEZ MORA</v>
      </c>
      <c r="J489" s="35" t="s">
        <v>2243</v>
      </c>
      <c r="K489" s="37">
        <v>9</v>
      </c>
      <c r="L489" s="37">
        <v>2</v>
      </c>
      <c r="M489" s="37" t="s">
        <v>1</v>
      </c>
    </row>
    <row r="490" spans="2:13" x14ac:dyDescent="0.25">
      <c r="B490" s="48">
        <v>487</v>
      </c>
      <c r="C490" s="38">
        <v>209260994</v>
      </c>
      <c r="D490" s="43" t="str">
        <f t="shared" si="35"/>
        <v>2-0926-0994</v>
      </c>
      <c r="E490" s="38" t="s">
        <v>428</v>
      </c>
      <c r="F490" s="43" t="str">
        <f t="shared" si="36"/>
        <v>IAN DAVID</v>
      </c>
      <c r="G490" s="43" t="str">
        <f t="shared" si="37"/>
        <v>IAN</v>
      </c>
      <c r="H490" s="43" t="str">
        <f t="shared" si="38"/>
        <v>JIMENEZ ZAMORA</v>
      </c>
      <c r="I490" s="43" t="str">
        <f t="shared" si="39"/>
        <v>IAN JIMENEZ ZAMORA</v>
      </c>
      <c r="J490" s="35" t="s">
        <v>2243</v>
      </c>
      <c r="K490" s="37">
        <v>9</v>
      </c>
      <c r="L490" s="37">
        <v>2</v>
      </c>
      <c r="M490" s="37" t="s">
        <v>1</v>
      </c>
    </row>
    <row r="491" spans="2:13" x14ac:dyDescent="0.25">
      <c r="B491" s="48">
        <v>488</v>
      </c>
      <c r="C491" s="38">
        <v>402890703</v>
      </c>
      <c r="D491" s="43" t="str">
        <f t="shared" si="35"/>
        <v>4-0289-0703</v>
      </c>
      <c r="E491" s="38" t="s">
        <v>429</v>
      </c>
      <c r="F491" s="43" t="str">
        <f t="shared" si="36"/>
        <v>SAMANTHA DE LOS ANGELES</v>
      </c>
      <c r="G491" s="43" t="str">
        <f t="shared" si="37"/>
        <v>SAMANTHA</v>
      </c>
      <c r="H491" s="43" t="str">
        <f t="shared" si="38"/>
        <v>MESEN SALAZAR</v>
      </c>
      <c r="I491" s="43" t="str">
        <f t="shared" si="39"/>
        <v>SAMANTHA MESEN SALAZAR</v>
      </c>
      <c r="J491" s="35" t="s">
        <v>2243</v>
      </c>
      <c r="K491" s="37">
        <v>9</v>
      </c>
      <c r="L491" s="37">
        <v>2</v>
      </c>
      <c r="M491" s="37" t="s">
        <v>1</v>
      </c>
    </row>
    <row r="492" spans="2:13" x14ac:dyDescent="0.25">
      <c r="B492" s="46">
        <v>489</v>
      </c>
      <c r="C492" s="38">
        <v>402880790</v>
      </c>
      <c r="D492" s="43" t="str">
        <f t="shared" si="35"/>
        <v>4-0288-0790</v>
      </c>
      <c r="E492" s="38" t="s">
        <v>430</v>
      </c>
      <c r="F492" s="43" t="str">
        <f t="shared" si="36"/>
        <v>DYLAN JESUS</v>
      </c>
      <c r="G492" s="43" t="str">
        <f t="shared" si="37"/>
        <v>DYLAN</v>
      </c>
      <c r="H492" s="43" t="str">
        <f t="shared" si="38"/>
        <v>PEREZ GOMEZ</v>
      </c>
      <c r="I492" s="43" t="str">
        <f t="shared" si="39"/>
        <v>DYLAN PEREZ GOMEZ</v>
      </c>
      <c r="J492" s="35" t="s">
        <v>2243</v>
      </c>
      <c r="K492" s="37">
        <v>9</v>
      </c>
      <c r="L492" s="37">
        <v>2</v>
      </c>
      <c r="M492" s="37" t="s">
        <v>1</v>
      </c>
    </row>
    <row r="493" spans="2:13" x14ac:dyDescent="0.25">
      <c r="B493" s="48">
        <v>490</v>
      </c>
      <c r="C493" s="38">
        <v>209300795</v>
      </c>
      <c r="D493" s="43" t="str">
        <f t="shared" si="35"/>
        <v>2-0930-0795</v>
      </c>
      <c r="E493" s="38" t="s">
        <v>431</v>
      </c>
      <c r="F493" s="43" t="str">
        <f t="shared" si="36"/>
        <v>SARA</v>
      </c>
      <c r="G493" s="43" t="str">
        <f t="shared" si="37"/>
        <v>SARA</v>
      </c>
      <c r="H493" s="43" t="str">
        <f t="shared" si="38"/>
        <v>RODRIGUEZ ARAYA</v>
      </c>
      <c r="I493" s="43" t="str">
        <f t="shared" si="39"/>
        <v>SARA RODRIGUEZ ARAYA</v>
      </c>
      <c r="J493" s="35" t="s">
        <v>2243</v>
      </c>
      <c r="K493" s="37">
        <v>9</v>
      </c>
      <c r="L493" s="37">
        <v>2</v>
      </c>
      <c r="M493" s="37" t="s">
        <v>1</v>
      </c>
    </row>
    <row r="494" spans="2:13" x14ac:dyDescent="0.25">
      <c r="B494" s="48">
        <v>491</v>
      </c>
      <c r="C494" s="38">
        <v>402870751</v>
      </c>
      <c r="D494" s="43" t="str">
        <f t="shared" si="35"/>
        <v>4-0287-0751</v>
      </c>
      <c r="E494" s="38" t="s">
        <v>432</v>
      </c>
      <c r="F494" s="43" t="str">
        <f t="shared" si="36"/>
        <v>MARIANA</v>
      </c>
      <c r="G494" s="43" t="str">
        <f t="shared" si="37"/>
        <v>MARIANA</v>
      </c>
      <c r="H494" s="43" t="str">
        <f t="shared" si="38"/>
        <v>ROJAS ZUMBADO</v>
      </c>
      <c r="I494" s="43" t="str">
        <f t="shared" si="39"/>
        <v>MARIANA ROJAS ZUMBADO</v>
      </c>
      <c r="J494" s="35" t="s">
        <v>2243</v>
      </c>
      <c r="K494" s="37">
        <v>9</v>
      </c>
      <c r="L494" s="37">
        <v>2</v>
      </c>
      <c r="M494" s="37" t="s">
        <v>1</v>
      </c>
    </row>
    <row r="495" spans="2:13" x14ac:dyDescent="0.25">
      <c r="B495" s="46">
        <v>492</v>
      </c>
      <c r="C495" s="38">
        <v>209340259</v>
      </c>
      <c r="D495" s="43" t="str">
        <f t="shared" si="35"/>
        <v>2-0934-0259</v>
      </c>
      <c r="E495" s="38" t="s">
        <v>433</v>
      </c>
      <c r="F495" s="43" t="str">
        <f t="shared" si="36"/>
        <v>KIMBERLY NATALIA</v>
      </c>
      <c r="G495" s="43" t="str">
        <f t="shared" si="37"/>
        <v>KIMBERLY</v>
      </c>
      <c r="H495" s="43" t="str">
        <f t="shared" si="38"/>
        <v>SILVA RUIZ</v>
      </c>
      <c r="I495" s="43" t="str">
        <f t="shared" si="39"/>
        <v>KIMBERLY SILVA RUIZ</v>
      </c>
      <c r="J495" s="35" t="s">
        <v>2243</v>
      </c>
      <c r="K495" s="37">
        <v>9</v>
      </c>
      <c r="L495" s="37">
        <v>2</v>
      </c>
      <c r="M495" s="37" t="s">
        <v>1</v>
      </c>
    </row>
    <row r="496" spans="2:13" x14ac:dyDescent="0.25">
      <c r="B496" s="48">
        <v>493</v>
      </c>
      <c r="C496" s="38">
        <v>209320875</v>
      </c>
      <c r="D496" s="43" t="str">
        <f t="shared" si="35"/>
        <v>2-0932-0875</v>
      </c>
      <c r="E496" s="38" t="s">
        <v>434</v>
      </c>
      <c r="F496" s="43" t="str">
        <f t="shared" si="36"/>
        <v>ABIGAIL</v>
      </c>
      <c r="G496" s="43" t="str">
        <f t="shared" si="37"/>
        <v>ABIGAIL</v>
      </c>
      <c r="H496" s="43" t="str">
        <f t="shared" si="38"/>
        <v>VENEGAS SOLANO</v>
      </c>
      <c r="I496" s="43" t="str">
        <f t="shared" si="39"/>
        <v>ABIGAIL VENEGAS SOLANO</v>
      </c>
      <c r="J496" s="35" t="s">
        <v>2243</v>
      </c>
      <c r="K496" s="37">
        <v>9</v>
      </c>
      <c r="L496" s="37">
        <v>2</v>
      </c>
      <c r="M496" s="37" t="s">
        <v>1</v>
      </c>
    </row>
    <row r="497" spans="2:13" x14ac:dyDescent="0.25">
      <c r="B497" s="48">
        <v>494</v>
      </c>
      <c r="C497" s="38">
        <v>209320086</v>
      </c>
      <c r="D497" s="43" t="str">
        <f t="shared" si="35"/>
        <v>2-0932-0086</v>
      </c>
      <c r="E497" s="38" t="s">
        <v>435</v>
      </c>
      <c r="F497" s="43" t="str">
        <f t="shared" si="36"/>
        <v>DANNA PAOLA</v>
      </c>
      <c r="G497" s="43" t="str">
        <f t="shared" si="37"/>
        <v>DANNA</v>
      </c>
      <c r="H497" s="43" t="str">
        <f t="shared" si="38"/>
        <v>BERROCAL SEGURA</v>
      </c>
      <c r="I497" s="43" t="str">
        <f t="shared" si="39"/>
        <v>DANNA BERROCAL SEGURA</v>
      </c>
      <c r="J497" s="35" t="s">
        <v>2243</v>
      </c>
      <c r="K497" s="37">
        <v>9</v>
      </c>
      <c r="L497" s="37">
        <v>2</v>
      </c>
      <c r="M497" s="37" t="s">
        <v>0</v>
      </c>
    </row>
    <row r="498" spans="2:13" x14ac:dyDescent="0.25">
      <c r="B498" s="46">
        <v>495</v>
      </c>
      <c r="C498" s="38">
        <v>209340618</v>
      </c>
      <c r="D498" s="43" t="str">
        <f t="shared" si="35"/>
        <v>2-0934-0618</v>
      </c>
      <c r="E498" s="38" t="s">
        <v>436</v>
      </c>
      <c r="F498" s="43" t="str">
        <f t="shared" si="36"/>
        <v>BIANCA LUCIA</v>
      </c>
      <c r="G498" s="43" t="str">
        <f t="shared" si="37"/>
        <v>BIANCA</v>
      </c>
      <c r="H498" s="43" t="str">
        <f t="shared" si="38"/>
        <v>CARVAJAL FERNANDEZ</v>
      </c>
      <c r="I498" s="43" t="str">
        <f t="shared" si="39"/>
        <v>BIANCA CARVAJAL FERNANDEZ</v>
      </c>
      <c r="J498" s="35" t="s">
        <v>2243</v>
      </c>
      <c r="K498" s="37">
        <v>9</v>
      </c>
      <c r="L498" s="37">
        <v>2</v>
      </c>
      <c r="M498" s="37" t="s">
        <v>0</v>
      </c>
    </row>
    <row r="499" spans="2:13" x14ac:dyDescent="0.25">
      <c r="B499" s="48">
        <v>496</v>
      </c>
      <c r="C499" s="38">
        <v>120730617</v>
      </c>
      <c r="D499" s="43" t="str">
        <f t="shared" si="35"/>
        <v>1-2073-0617</v>
      </c>
      <c r="E499" s="38" t="s">
        <v>437</v>
      </c>
      <c r="F499" s="43" t="str">
        <f t="shared" si="36"/>
        <v>SEBASTIAN</v>
      </c>
      <c r="G499" s="43" t="str">
        <f t="shared" si="37"/>
        <v>SEBASTIAN</v>
      </c>
      <c r="H499" s="43" t="str">
        <f t="shared" si="38"/>
        <v>CHAVES ARAYA</v>
      </c>
      <c r="I499" s="43" t="str">
        <f t="shared" si="39"/>
        <v>SEBASTIAN CHAVES ARAYA</v>
      </c>
      <c r="J499" s="35" t="s">
        <v>2243</v>
      </c>
      <c r="K499" s="37">
        <v>9</v>
      </c>
      <c r="L499" s="37">
        <v>2</v>
      </c>
      <c r="M499" s="37" t="s">
        <v>0</v>
      </c>
    </row>
    <row r="500" spans="2:13" x14ac:dyDescent="0.25">
      <c r="B500" s="48">
        <v>497</v>
      </c>
      <c r="C500" s="38">
        <v>209260195</v>
      </c>
      <c r="D500" s="43" t="str">
        <f t="shared" si="35"/>
        <v>2-0926-0195</v>
      </c>
      <c r="E500" s="38" t="s">
        <v>438</v>
      </c>
      <c r="F500" s="43" t="str">
        <f t="shared" si="36"/>
        <v>DENNET</v>
      </c>
      <c r="G500" s="43" t="str">
        <f t="shared" si="37"/>
        <v>DENNET</v>
      </c>
      <c r="H500" s="43" t="str">
        <f t="shared" si="38"/>
        <v>FERNANDEZ GOMEZ</v>
      </c>
      <c r="I500" s="43" t="str">
        <f t="shared" si="39"/>
        <v>DENNET FERNANDEZ GOMEZ</v>
      </c>
      <c r="J500" s="35" t="s">
        <v>2243</v>
      </c>
      <c r="K500" s="37">
        <v>9</v>
      </c>
      <c r="L500" s="37">
        <v>2</v>
      </c>
      <c r="M500" s="37" t="s">
        <v>0</v>
      </c>
    </row>
    <row r="501" spans="2:13" x14ac:dyDescent="0.25">
      <c r="B501" s="46">
        <v>498</v>
      </c>
      <c r="C501" s="33">
        <v>209290171</v>
      </c>
      <c r="D501" s="43" t="str">
        <f t="shared" si="35"/>
        <v>2-0929-0171</v>
      </c>
      <c r="E501" s="38" t="s">
        <v>2230</v>
      </c>
      <c r="F501" s="43" t="str">
        <f t="shared" si="36"/>
        <v>HANKAN LAN</v>
      </c>
      <c r="G501" s="43" t="str">
        <f t="shared" si="37"/>
        <v>HANKAN</v>
      </c>
      <c r="H501" s="43" t="str">
        <f t="shared" si="38"/>
        <v>GARSIA BLANDON</v>
      </c>
      <c r="I501" s="43" t="str">
        <f t="shared" si="39"/>
        <v>HANKAN GARSIA BLANDON</v>
      </c>
      <c r="J501" s="35" t="s">
        <v>2243</v>
      </c>
      <c r="K501" s="37">
        <v>9</v>
      </c>
      <c r="L501" s="37">
        <v>2</v>
      </c>
      <c r="M501" s="37" t="s">
        <v>0</v>
      </c>
    </row>
    <row r="502" spans="2:13" x14ac:dyDescent="0.25">
      <c r="B502" s="48">
        <v>499</v>
      </c>
      <c r="C502" s="38">
        <v>209300989</v>
      </c>
      <c r="D502" s="43" t="str">
        <f t="shared" si="35"/>
        <v>2-0930-0989</v>
      </c>
      <c r="E502" s="38" t="s">
        <v>439</v>
      </c>
      <c r="F502" s="43" t="str">
        <f t="shared" si="36"/>
        <v>JONATHAN DANIEL</v>
      </c>
      <c r="G502" s="43" t="str">
        <f t="shared" si="37"/>
        <v>JONATHAN</v>
      </c>
      <c r="H502" s="43" t="str">
        <f t="shared" si="38"/>
        <v>GUTIERREZ ESCOTO</v>
      </c>
      <c r="I502" s="43" t="str">
        <f t="shared" si="39"/>
        <v>JONATHAN GUTIERREZ ESCOTO</v>
      </c>
      <c r="J502" s="35" t="s">
        <v>2243</v>
      </c>
      <c r="K502" s="37">
        <v>9</v>
      </c>
      <c r="L502" s="37">
        <v>2</v>
      </c>
      <c r="M502" s="37" t="s">
        <v>0</v>
      </c>
    </row>
    <row r="503" spans="2:13" x14ac:dyDescent="0.25">
      <c r="B503" s="48">
        <v>500</v>
      </c>
      <c r="C503" s="38">
        <v>209310393</v>
      </c>
      <c r="D503" s="43" t="str">
        <f t="shared" si="35"/>
        <v>2-0931-0393</v>
      </c>
      <c r="E503" s="38" t="s">
        <v>440</v>
      </c>
      <c r="F503" s="43" t="str">
        <f t="shared" si="36"/>
        <v>GAEL ALEJANDRO</v>
      </c>
      <c r="G503" s="43" t="str">
        <f t="shared" si="37"/>
        <v>GAEL</v>
      </c>
      <c r="H503" s="43" t="str">
        <f t="shared" si="38"/>
        <v>JIMENEZ MIRANDA</v>
      </c>
      <c r="I503" s="43" t="str">
        <f t="shared" si="39"/>
        <v>GAEL JIMENEZ MIRANDA</v>
      </c>
      <c r="J503" s="35" t="s">
        <v>2243</v>
      </c>
      <c r="K503" s="37">
        <v>9</v>
      </c>
      <c r="L503" s="37">
        <v>2</v>
      </c>
      <c r="M503" s="37" t="s">
        <v>0</v>
      </c>
    </row>
    <row r="504" spans="2:13" x14ac:dyDescent="0.25">
      <c r="B504" s="46">
        <v>501</v>
      </c>
      <c r="C504" s="38">
        <v>209280137</v>
      </c>
      <c r="D504" s="43" t="str">
        <f t="shared" si="35"/>
        <v>2-0928-0137</v>
      </c>
      <c r="E504" s="38" t="s">
        <v>441</v>
      </c>
      <c r="F504" s="43" t="str">
        <f t="shared" si="36"/>
        <v>JORDY DAVID</v>
      </c>
      <c r="G504" s="43" t="str">
        <f t="shared" si="37"/>
        <v>JORDY</v>
      </c>
      <c r="H504" s="43" t="str">
        <f t="shared" si="38"/>
        <v>MARTINEZ UMAÑA</v>
      </c>
      <c r="I504" s="43" t="str">
        <f t="shared" si="39"/>
        <v>JORDY MARTINEZ UMAÑA</v>
      </c>
      <c r="J504" s="35" t="s">
        <v>2243</v>
      </c>
      <c r="K504" s="37">
        <v>9</v>
      </c>
      <c r="L504" s="37">
        <v>2</v>
      </c>
      <c r="M504" s="37" t="s">
        <v>0</v>
      </c>
    </row>
    <row r="505" spans="2:13" x14ac:dyDescent="0.25">
      <c r="B505" s="48">
        <v>502</v>
      </c>
      <c r="C505" s="38">
        <v>402890694</v>
      </c>
      <c r="D505" s="43" t="str">
        <f t="shared" si="35"/>
        <v>4-0289-0694</v>
      </c>
      <c r="E505" s="38" t="s">
        <v>443</v>
      </c>
      <c r="F505" s="43" t="str">
        <f t="shared" si="36"/>
        <v>NICOLAS ANDRES</v>
      </c>
      <c r="G505" s="43" t="str">
        <f t="shared" si="37"/>
        <v>NICOLAS</v>
      </c>
      <c r="H505" s="43" t="str">
        <f t="shared" si="38"/>
        <v>NUÑEZ CHAVES</v>
      </c>
      <c r="I505" s="43" t="str">
        <f t="shared" si="39"/>
        <v>NICOLAS NUÑEZ CHAVES</v>
      </c>
      <c r="J505" s="35" t="s">
        <v>2243</v>
      </c>
      <c r="K505" s="37">
        <v>9</v>
      </c>
      <c r="L505" s="37">
        <v>2</v>
      </c>
      <c r="M505" s="37" t="s">
        <v>0</v>
      </c>
    </row>
    <row r="506" spans="2:13" x14ac:dyDescent="0.25">
      <c r="B506" s="48">
        <v>503</v>
      </c>
      <c r="C506" s="38">
        <v>209270755</v>
      </c>
      <c r="D506" s="43" t="str">
        <f t="shared" si="35"/>
        <v>2-0927-0755</v>
      </c>
      <c r="E506" s="38" t="s">
        <v>444</v>
      </c>
      <c r="F506" s="43" t="str">
        <f t="shared" si="36"/>
        <v>ASHLY SOFIA</v>
      </c>
      <c r="G506" s="43" t="str">
        <f t="shared" si="37"/>
        <v>ASHLY</v>
      </c>
      <c r="H506" s="43" t="str">
        <f t="shared" si="38"/>
        <v>QUIROS PEREZ</v>
      </c>
      <c r="I506" s="43" t="str">
        <f t="shared" si="39"/>
        <v>ASHLY QUIROS PEREZ</v>
      </c>
      <c r="J506" s="35" t="s">
        <v>2243</v>
      </c>
      <c r="K506" s="37">
        <v>9</v>
      </c>
      <c r="L506" s="37">
        <v>2</v>
      </c>
      <c r="M506" s="37" t="s">
        <v>0</v>
      </c>
    </row>
    <row r="507" spans="2:13" x14ac:dyDescent="0.25">
      <c r="B507" s="46">
        <v>504</v>
      </c>
      <c r="C507" s="38">
        <v>402870775</v>
      </c>
      <c r="D507" s="43" t="str">
        <f t="shared" si="35"/>
        <v>4-0287-0775</v>
      </c>
      <c r="E507" s="38" t="s">
        <v>445</v>
      </c>
      <c r="F507" s="43" t="str">
        <f t="shared" si="36"/>
        <v>ARIANA</v>
      </c>
      <c r="G507" s="43" t="str">
        <f t="shared" si="37"/>
        <v>ARIANA</v>
      </c>
      <c r="H507" s="43" t="str">
        <f t="shared" si="38"/>
        <v>RODRIGUEZ SANCHEZ</v>
      </c>
      <c r="I507" s="43" t="str">
        <f t="shared" si="39"/>
        <v>ARIANA RODRIGUEZ SANCHEZ</v>
      </c>
      <c r="J507" s="35" t="s">
        <v>2243</v>
      </c>
      <c r="K507" s="37">
        <v>9</v>
      </c>
      <c r="L507" s="37">
        <v>2</v>
      </c>
      <c r="M507" s="37" t="s">
        <v>0</v>
      </c>
    </row>
    <row r="508" spans="2:13" x14ac:dyDescent="0.25">
      <c r="B508" s="48">
        <v>505</v>
      </c>
      <c r="C508" s="38">
        <v>402870645</v>
      </c>
      <c r="D508" s="43" t="str">
        <f t="shared" si="35"/>
        <v>4-0287-0645</v>
      </c>
      <c r="E508" s="38" t="s">
        <v>446</v>
      </c>
      <c r="F508" s="43" t="str">
        <f t="shared" si="36"/>
        <v>MATHIAS</v>
      </c>
      <c r="G508" s="43" t="str">
        <f t="shared" si="37"/>
        <v>MATHIAS</v>
      </c>
      <c r="H508" s="43" t="str">
        <f t="shared" si="38"/>
        <v>UGALDE CORTES</v>
      </c>
      <c r="I508" s="43" t="str">
        <f t="shared" si="39"/>
        <v>MATHIAS UGALDE CORTES</v>
      </c>
      <c r="J508" s="35" t="s">
        <v>2243</v>
      </c>
      <c r="K508" s="37">
        <v>9</v>
      </c>
      <c r="L508" s="37">
        <v>2</v>
      </c>
      <c r="M508" s="37" t="s">
        <v>0</v>
      </c>
    </row>
    <row r="509" spans="2:13" x14ac:dyDescent="0.25">
      <c r="B509" s="48">
        <v>506</v>
      </c>
      <c r="C509" s="38">
        <v>209340021</v>
      </c>
      <c r="D509" s="43" t="str">
        <f t="shared" si="35"/>
        <v>2-0934-0021</v>
      </c>
      <c r="E509" s="38" t="s">
        <v>447</v>
      </c>
      <c r="F509" s="43" t="str">
        <f t="shared" si="36"/>
        <v>MARIANGEL</v>
      </c>
      <c r="G509" s="43" t="str">
        <f t="shared" si="37"/>
        <v>MARIANGEL</v>
      </c>
      <c r="H509" s="43" t="str">
        <f t="shared" si="38"/>
        <v>ZUÑIGA PANIAGUA</v>
      </c>
      <c r="I509" s="43" t="str">
        <f t="shared" si="39"/>
        <v>MARIANGEL ZUÑIGA PANIAGUA</v>
      </c>
      <c r="J509" s="35" t="s">
        <v>2243</v>
      </c>
      <c r="K509" s="37">
        <v>9</v>
      </c>
      <c r="L509" s="37">
        <v>2</v>
      </c>
      <c r="M509" s="37" t="s">
        <v>0</v>
      </c>
    </row>
    <row r="510" spans="2:13" x14ac:dyDescent="0.25">
      <c r="B510" s="46">
        <v>507</v>
      </c>
      <c r="C510" s="50">
        <v>209260547</v>
      </c>
      <c r="D510" s="43" t="str">
        <f t="shared" si="35"/>
        <v>2-0926-0547</v>
      </c>
      <c r="E510" s="50" t="s">
        <v>448</v>
      </c>
      <c r="F510" s="43" t="str">
        <f t="shared" si="36"/>
        <v>ARIADNE BELEN</v>
      </c>
      <c r="G510" s="43" t="str">
        <f t="shared" si="37"/>
        <v>ARIADNE</v>
      </c>
      <c r="H510" s="43" t="str">
        <f t="shared" si="38"/>
        <v>ALVARADO SALAS</v>
      </c>
      <c r="I510" s="43" t="str">
        <f t="shared" si="39"/>
        <v>ARIADNE ALVARADO SALAS</v>
      </c>
      <c r="J510" s="35" t="s">
        <v>2243</v>
      </c>
      <c r="K510" s="37">
        <v>9</v>
      </c>
      <c r="L510" s="37">
        <v>3</v>
      </c>
      <c r="M510" s="37" t="s">
        <v>1</v>
      </c>
    </row>
    <row r="511" spans="2:13" x14ac:dyDescent="0.25">
      <c r="B511" s="48">
        <v>508</v>
      </c>
      <c r="C511" s="38">
        <v>120990418</v>
      </c>
      <c r="D511" s="43" t="str">
        <f t="shared" si="35"/>
        <v>1-2099-0418</v>
      </c>
      <c r="E511" s="38" t="s">
        <v>393</v>
      </c>
      <c r="F511" s="43" t="str">
        <f t="shared" si="36"/>
        <v>JOSUE DE JESUS</v>
      </c>
      <c r="G511" s="43" t="str">
        <f t="shared" si="37"/>
        <v>JOSUE</v>
      </c>
      <c r="H511" s="43" t="str">
        <f t="shared" si="38"/>
        <v>ARIAS ROJAS</v>
      </c>
      <c r="I511" s="43" t="str">
        <f t="shared" si="39"/>
        <v>JOSUE ARIAS ROJAS</v>
      </c>
      <c r="J511" s="35" t="s">
        <v>2243</v>
      </c>
      <c r="K511" s="37">
        <v>9</v>
      </c>
      <c r="L511" s="37">
        <v>3</v>
      </c>
      <c r="M511" s="37" t="s">
        <v>1</v>
      </c>
    </row>
    <row r="512" spans="2:13" x14ac:dyDescent="0.25">
      <c r="B512" s="48">
        <v>509</v>
      </c>
      <c r="C512" s="50">
        <v>209310702</v>
      </c>
      <c r="D512" s="43" t="str">
        <f t="shared" si="35"/>
        <v>2-0931-0702</v>
      </c>
      <c r="E512" s="50" t="s">
        <v>449</v>
      </c>
      <c r="F512" s="43" t="str">
        <f t="shared" si="36"/>
        <v>ALEJANDRO</v>
      </c>
      <c r="G512" s="43" t="str">
        <f t="shared" si="37"/>
        <v>ALEJANDRO</v>
      </c>
      <c r="H512" s="43" t="str">
        <f t="shared" si="38"/>
        <v>ARROYO DELGADO</v>
      </c>
      <c r="I512" s="43" t="str">
        <f t="shared" si="39"/>
        <v>ALEJANDRO ARROYO DELGADO</v>
      </c>
      <c r="J512" s="35" t="s">
        <v>2243</v>
      </c>
      <c r="K512" s="37">
        <v>9</v>
      </c>
      <c r="L512" s="37">
        <v>3</v>
      </c>
      <c r="M512" s="37" t="s">
        <v>1</v>
      </c>
    </row>
    <row r="513" spans="2:13" x14ac:dyDescent="0.25">
      <c r="B513" s="46">
        <v>510</v>
      </c>
      <c r="C513" s="51">
        <v>402880605</v>
      </c>
      <c r="D513" s="43" t="str">
        <f t="shared" si="35"/>
        <v>4-0288-0605</v>
      </c>
      <c r="E513" s="51" t="s">
        <v>450</v>
      </c>
      <c r="F513" s="43" t="str">
        <f t="shared" si="36"/>
        <v>TAMARA CAMILA</v>
      </c>
      <c r="G513" s="43" t="str">
        <f t="shared" si="37"/>
        <v>TAMARA</v>
      </c>
      <c r="H513" s="43" t="str">
        <f t="shared" si="38"/>
        <v>CAMPOS BRENES</v>
      </c>
      <c r="I513" s="43" t="str">
        <f t="shared" si="39"/>
        <v>TAMARA CAMPOS BRENES</v>
      </c>
      <c r="J513" s="35" t="s">
        <v>2243</v>
      </c>
      <c r="K513" s="37">
        <v>9</v>
      </c>
      <c r="L513" s="37">
        <v>3</v>
      </c>
      <c r="M513" s="37" t="s">
        <v>1</v>
      </c>
    </row>
    <row r="514" spans="2:13" x14ac:dyDescent="0.25">
      <c r="B514" s="48">
        <v>511</v>
      </c>
      <c r="C514" s="38">
        <v>209330564</v>
      </c>
      <c r="D514" s="43" t="str">
        <f t="shared" si="35"/>
        <v>2-0933-0564</v>
      </c>
      <c r="E514" s="38" t="s">
        <v>395</v>
      </c>
      <c r="F514" s="43" t="str">
        <f t="shared" si="36"/>
        <v>MATHIAS JAFET</v>
      </c>
      <c r="G514" s="43" t="str">
        <f t="shared" si="37"/>
        <v>MATHIAS</v>
      </c>
      <c r="H514" s="43" t="str">
        <f t="shared" si="38"/>
        <v>CHACON LOBO</v>
      </c>
      <c r="I514" s="43" t="str">
        <f t="shared" si="39"/>
        <v>MATHIAS CHACON LOBO</v>
      </c>
      <c r="J514" s="35" t="s">
        <v>2243</v>
      </c>
      <c r="K514" s="37">
        <v>9</v>
      </c>
      <c r="L514" s="37">
        <v>3</v>
      </c>
      <c r="M514" s="37" t="s">
        <v>1</v>
      </c>
    </row>
    <row r="515" spans="2:13" x14ac:dyDescent="0.25">
      <c r="B515" s="48">
        <v>512</v>
      </c>
      <c r="C515" s="50">
        <v>120830662</v>
      </c>
      <c r="D515" s="43" t="str">
        <f t="shared" si="35"/>
        <v>1-2083-0662</v>
      </c>
      <c r="E515" s="50" t="s">
        <v>453</v>
      </c>
      <c r="F515" s="43" t="str">
        <f t="shared" si="36"/>
        <v>DAVID GERARDO</v>
      </c>
      <c r="G515" s="43" t="str">
        <f t="shared" si="37"/>
        <v>DAVID</v>
      </c>
      <c r="H515" s="43" t="str">
        <f t="shared" si="38"/>
        <v>HERNANDEZ RETANA</v>
      </c>
      <c r="I515" s="43" t="str">
        <f t="shared" si="39"/>
        <v>DAVID HERNANDEZ RETANA</v>
      </c>
      <c r="J515" s="35" t="s">
        <v>2243</v>
      </c>
      <c r="K515" s="37">
        <v>9</v>
      </c>
      <c r="L515" s="37">
        <v>3</v>
      </c>
      <c r="M515" s="37" t="s">
        <v>1</v>
      </c>
    </row>
    <row r="516" spans="2:13" x14ac:dyDescent="0.25">
      <c r="B516" s="46">
        <v>513</v>
      </c>
      <c r="C516" s="52">
        <v>120530859</v>
      </c>
      <c r="D516" s="43" t="str">
        <f t="shared" ref="D516:D579" si="40">IF(LEN(C516)=9,_xlfn.CONCAT(MID(C516,1,1),"-",MID(C516,2,4),"-",MID(C516,6,4)),TEXT(C516,"000000000000"))</f>
        <v>1-2053-0859</v>
      </c>
      <c r="E516" s="52" t="s">
        <v>666</v>
      </c>
      <c r="F516" s="43" t="str">
        <f t="shared" si="36"/>
        <v>ALLISON JIMENA</v>
      </c>
      <c r="G516" s="43" t="str">
        <f t="shared" si="37"/>
        <v>ALLISON</v>
      </c>
      <c r="H516" s="43" t="str">
        <f t="shared" si="38"/>
        <v>JIMENEZ ARAYA</v>
      </c>
      <c r="I516" s="43" t="str">
        <f t="shared" si="39"/>
        <v>ALLISON JIMENEZ ARAYA</v>
      </c>
      <c r="J516" s="35" t="s">
        <v>2243</v>
      </c>
      <c r="K516" s="37">
        <v>9</v>
      </c>
      <c r="L516" s="37">
        <v>3</v>
      </c>
      <c r="M516" s="37" t="s">
        <v>1</v>
      </c>
    </row>
    <row r="517" spans="2:13" x14ac:dyDescent="0.25">
      <c r="B517" s="48">
        <v>514</v>
      </c>
      <c r="C517" s="38">
        <v>209290259</v>
      </c>
      <c r="D517" s="43" t="str">
        <f t="shared" si="40"/>
        <v>2-0929-0259</v>
      </c>
      <c r="E517" s="38" t="s">
        <v>455</v>
      </c>
      <c r="F517" s="43" t="str">
        <f t="shared" ref="F517:F580" si="41">RIGHT(E517,LEN(E517)-SEARCH(" ",E517,SEARCH(" ",E517)+1))</f>
        <v>NAOMY PRISCILLA</v>
      </c>
      <c r="G517" s="43" t="str">
        <f t="shared" ref="G517:G580" si="42">IFERROR(LEFT(F517,SEARCH(" ",F517,1)-1),F517)</f>
        <v>NAOMY</v>
      </c>
      <c r="H517" s="43" t="str">
        <f t="shared" ref="H517:H580" si="43">LEFT(E517,SEARCH(" ",E517,SEARCH(" ",E517)+1)-1)</f>
        <v>MESEN VARGAS</v>
      </c>
      <c r="I517" s="43" t="str">
        <f t="shared" ref="I517:I580" si="44">_xlfn.CONCAT(G517," ",H517)</f>
        <v>NAOMY MESEN VARGAS</v>
      </c>
      <c r="J517" s="35" t="s">
        <v>2243</v>
      </c>
      <c r="K517" s="37">
        <v>9</v>
      </c>
      <c r="L517" s="37">
        <v>3</v>
      </c>
      <c r="M517" s="37" t="s">
        <v>1</v>
      </c>
    </row>
    <row r="518" spans="2:13" x14ac:dyDescent="0.25">
      <c r="B518" s="48">
        <v>515</v>
      </c>
      <c r="C518" s="33">
        <v>209290260</v>
      </c>
      <c r="D518" s="43" t="str">
        <f t="shared" si="40"/>
        <v>2-0929-0260</v>
      </c>
      <c r="E518" s="38" t="s">
        <v>454</v>
      </c>
      <c r="F518" s="43" t="str">
        <f t="shared" si="41"/>
        <v>VALERY JAQUELINE</v>
      </c>
      <c r="G518" s="43" t="str">
        <f t="shared" si="42"/>
        <v>VALERY</v>
      </c>
      <c r="H518" s="43" t="str">
        <f t="shared" si="43"/>
        <v>MESEN VARGAS</v>
      </c>
      <c r="I518" s="43" t="str">
        <f t="shared" si="44"/>
        <v>VALERY MESEN VARGAS</v>
      </c>
      <c r="J518" s="35" t="s">
        <v>2243</v>
      </c>
      <c r="K518" s="37">
        <v>9</v>
      </c>
      <c r="L518" s="37">
        <v>3</v>
      </c>
      <c r="M518" s="37" t="s">
        <v>1</v>
      </c>
    </row>
    <row r="519" spans="2:13" x14ac:dyDescent="0.25">
      <c r="B519" s="46">
        <v>516</v>
      </c>
      <c r="C519" s="50">
        <v>209340884</v>
      </c>
      <c r="D519" s="43" t="str">
        <f t="shared" si="40"/>
        <v>2-0934-0884</v>
      </c>
      <c r="E519" s="50" t="s">
        <v>456</v>
      </c>
      <c r="F519" s="43" t="str">
        <f t="shared" si="41"/>
        <v>EMILY MASSIEL</v>
      </c>
      <c r="G519" s="43" t="str">
        <f t="shared" si="42"/>
        <v>EMILY</v>
      </c>
      <c r="H519" s="43" t="str">
        <f t="shared" si="43"/>
        <v>MORERA MONTERO</v>
      </c>
      <c r="I519" s="43" t="str">
        <f t="shared" si="44"/>
        <v>EMILY MORERA MONTERO</v>
      </c>
      <c r="J519" s="35" t="s">
        <v>2243</v>
      </c>
      <c r="K519" s="37">
        <v>9</v>
      </c>
      <c r="L519" s="37">
        <v>3</v>
      </c>
      <c r="M519" s="37" t="s">
        <v>1</v>
      </c>
    </row>
    <row r="520" spans="2:13" x14ac:dyDescent="0.25">
      <c r="B520" s="48">
        <v>517</v>
      </c>
      <c r="C520" s="38">
        <v>209310164</v>
      </c>
      <c r="D520" s="43" t="str">
        <f t="shared" si="40"/>
        <v>2-0931-0164</v>
      </c>
      <c r="E520" s="38" t="s">
        <v>457</v>
      </c>
      <c r="F520" s="43" t="str">
        <f t="shared" si="41"/>
        <v>JOSUE</v>
      </c>
      <c r="G520" s="43" t="str">
        <f t="shared" si="42"/>
        <v>JOSUE</v>
      </c>
      <c r="H520" s="43" t="str">
        <f t="shared" si="43"/>
        <v>RUIZ GONZALEZ</v>
      </c>
      <c r="I520" s="43" t="str">
        <f t="shared" si="44"/>
        <v>JOSUE RUIZ GONZALEZ</v>
      </c>
      <c r="J520" s="35" t="s">
        <v>2243</v>
      </c>
      <c r="K520" s="37">
        <v>9</v>
      </c>
      <c r="L520" s="37">
        <v>3</v>
      </c>
      <c r="M520" s="37" t="s">
        <v>1</v>
      </c>
    </row>
    <row r="521" spans="2:13" x14ac:dyDescent="0.25">
      <c r="B521" s="48">
        <v>518</v>
      </c>
      <c r="C521" s="52">
        <v>209350976</v>
      </c>
      <c r="D521" s="43" t="str">
        <f t="shared" si="40"/>
        <v>2-0935-0976</v>
      </c>
      <c r="E521" s="50" t="s">
        <v>2231</v>
      </c>
      <c r="F521" s="43" t="str">
        <f t="shared" si="41"/>
        <v>MARIAM CELESTE</v>
      </c>
      <c r="G521" s="43" t="str">
        <f t="shared" si="42"/>
        <v>MARIAM</v>
      </c>
      <c r="H521" s="43" t="str">
        <f t="shared" si="43"/>
        <v>SANCHEZ ULLOA</v>
      </c>
      <c r="I521" s="43" t="str">
        <f t="shared" si="44"/>
        <v>MARIAM SANCHEZ ULLOA</v>
      </c>
      <c r="J521" s="35" t="s">
        <v>2243</v>
      </c>
      <c r="K521" s="37">
        <v>9</v>
      </c>
      <c r="L521" s="37">
        <v>3</v>
      </c>
      <c r="M521" s="37" t="s">
        <v>1</v>
      </c>
    </row>
    <row r="522" spans="2:13" x14ac:dyDescent="0.25">
      <c r="B522" s="46">
        <v>519</v>
      </c>
      <c r="C522" s="50">
        <v>209290890</v>
      </c>
      <c r="D522" s="43" t="str">
        <f t="shared" si="40"/>
        <v>2-0929-0890</v>
      </c>
      <c r="E522" s="50" t="s">
        <v>458</v>
      </c>
      <c r="F522" s="43" t="str">
        <f t="shared" si="41"/>
        <v>KEVIN AARON</v>
      </c>
      <c r="G522" s="43" t="str">
        <f t="shared" si="42"/>
        <v>KEVIN</v>
      </c>
      <c r="H522" s="43" t="str">
        <f t="shared" si="43"/>
        <v>VILLALOBOS CAMPOS</v>
      </c>
      <c r="I522" s="43" t="str">
        <f t="shared" si="44"/>
        <v>KEVIN VILLALOBOS CAMPOS</v>
      </c>
      <c r="J522" s="35" t="s">
        <v>2243</v>
      </c>
      <c r="K522" s="37">
        <v>9</v>
      </c>
      <c r="L522" s="37">
        <v>3</v>
      </c>
      <c r="M522" s="37" t="s">
        <v>1</v>
      </c>
    </row>
    <row r="523" spans="2:13" x14ac:dyDescent="0.25">
      <c r="B523" s="48">
        <v>520</v>
      </c>
      <c r="C523" s="50">
        <v>402890621</v>
      </c>
      <c r="D523" s="43" t="str">
        <f t="shared" si="40"/>
        <v>4-0289-0621</v>
      </c>
      <c r="E523" s="50" t="s">
        <v>459</v>
      </c>
      <c r="F523" s="43" t="str">
        <f t="shared" si="41"/>
        <v>FRANCO DAVID</v>
      </c>
      <c r="G523" s="43" t="str">
        <f t="shared" si="42"/>
        <v>FRANCO</v>
      </c>
      <c r="H523" s="43" t="str">
        <f t="shared" si="43"/>
        <v>ZUÑIGA VALLE</v>
      </c>
      <c r="I523" s="43" t="str">
        <f t="shared" si="44"/>
        <v>FRANCO ZUÑIGA VALLE</v>
      </c>
      <c r="J523" s="35" t="s">
        <v>2243</v>
      </c>
      <c r="K523" s="37">
        <v>9</v>
      </c>
      <c r="L523" s="37">
        <v>3</v>
      </c>
      <c r="M523" s="37" t="s">
        <v>1</v>
      </c>
    </row>
    <row r="524" spans="2:13" x14ac:dyDescent="0.25">
      <c r="B524" s="48">
        <v>521</v>
      </c>
      <c r="C524" s="38">
        <v>209320842</v>
      </c>
      <c r="D524" s="43" t="str">
        <f t="shared" si="40"/>
        <v>2-0932-0842</v>
      </c>
      <c r="E524" s="38" t="s">
        <v>460</v>
      </c>
      <c r="F524" s="43" t="str">
        <f t="shared" si="41"/>
        <v>SANTIAGO</v>
      </c>
      <c r="G524" s="43" t="str">
        <f t="shared" si="42"/>
        <v>SANTIAGO</v>
      </c>
      <c r="H524" s="43" t="str">
        <f t="shared" si="43"/>
        <v>ALVAREZ CHAVARRIA</v>
      </c>
      <c r="I524" s="43" t="str">
        <f t="shared" si="44"/>
        <v>SANTIAGO ALVAREZ CHAVARRIA</v>
      </c>
      <c r="J524" s="35" t="s">
        <v>2243</v>
      </c>
      <c r="K524" s="37">
        <v>9</v>
      </c>
      <c r="L524" s="37">
        <v>3</v>
      </c>
      <c r="M524" s="37" t="s">
        <v>0</v>
      </c>
    </row>
    <row r="525" spans="2:13" x14ac:dyDescent="0.25">
      <c r="B525" s="46">
        <v>522</v>
      </c>
      <c r="C525" s="38">
        <v>209370076</v>
      </c>
      <c r="D525" s="43" t="str">
        <f t="shared" si="40"/>
        <v>2-0937-0076</v>
      </c>
      <c r="E525" s="38" t="s">
        <v>461</v>
      </c>
      <c r="F525" s="43" t="str">
        <f t="shared" si="41"/>
        <v>AXEL</v>
      </c>
      <c r="G525" s="43" t="str">
        <f t="shared" si="42"/>
        <v>AXEL</v>
      </c>
      <c r="H525" s="43" t="str">
        <f t="shared" si="43"/>
        <v>ALVAREZ LOPEZ</v>
      </c>
      <c r="I525" s="43" t="str">
        <f t="shared" si="44"/>
        <v>AXEL ALVAREZ LOPEZ</v>
      </c>
      <c r="J525" s="35" t="s">
        <v>2243</v>
      </c>
      <c r="K525" s="37">
        <v>9</v>
      </c>
      <c r="L525" s="37">
        <v>3</v>
      </c>
      <c r="M525" s="37" t="s">
        <v>0</v>
      </c>
    </row>
    <row r="526" spans="2:13" x14ac:dyDescent="0.25">
      <c r="B526" s="48">
        <v>523</v>
      </c>
      <c r="C526" s="52">
        <v>209280085</v>
      </c>
      <c r="D526" s="43" t="str">
        <f t="shared" si="40"/>
        <v>2-0928-0085</v>
      </c>
      <c r="E526" s="50" t="s">
        <v>2232</v>
      </c>
      <c r="F526" s="43" t="str">
        <f t="shared" si="41"/>
        <v>KYARA</v>
      </c>
      <c r="G526" s="43" t="str">
        <f t="shared" si="42"/>
        <v>KYARA</v>
      </c>
      <c r="H526" s="43" t="str">
        <f t="shared" si="43"/>
        <v>CAMBRONERO MOYA</v>
      </c>
      <c r="I526" s="43" t="str">
        <f t="shared" si="44"/>
        <v>KYARA CAMBRONERO MOYA</v>
      </c>
      <c r="J526" s="35" t="s">
        <v>2243</v>
      </c>
      <c r="K526" s="37">
        <v>9</v>
      </c>
      <c r="L526" s="37">
        <v>3</v>
      </c>
      <c r="M526" s="37" t="s">
        <v>0</v>
      </c>
    </row>
    <row r="527" spans="2:13" x14ac:dyDescent="0.25">
      <c r="B527" s="48">
        <v>524</v>
      </c>
      <c r="C527" s="38">
        <v>120790563</v>
      </c>
      <c r="D527" s="43" t="str">
        <f t="shared" si="40"/>
        <v>1-2079-0563</v>
      </c>
      <c r="E527" s="38" t="s">
        <v>462</v>
      </c>
      <c r="F527" s="43" t="str">
        <f t="shared" si="41"/>
        <v>BRANDON ANDRES</v>
      </c>
      <c r="G527" s="43" t="str">
        <f t="shared" si="42"/>
        <v>BRANDON</v>
      </c>
      <c r="H527" s="43" t="str">
        <f t="shared" si="43"/>
        <v>CARVAJAL ROBLES</v>
      </c>
      <c r="I527" s="43" t="str">
        <f t="shared" si="44"/>
        <v>BRANDON CARVAJAL ROBLES</v>
      </c>
      <c r="J527" s="35" t="s">
        <v>2243</v>
      </c>
      <c r="K527" s="37">
        <v>9</v>
      </c>
      <c r="L527" s="37">
        <v>3</v>
      </c>
      <c r="M527" s="37" t="s">
        <v>0</v>
      </c>
    </row>
    <row r="528" spans="2:13" x14ac:dyDescent="0.25">
      <c r="B528" s="46">
        <v>525</v>
      </c>
      <c r="C528" s="38">
        <v>504780974</v>
      </c>
      <c r="D528" s="43" t="str">
        <f t="shared" si="40"/>
        <v>5-0478-0974</v>
      </c>
      <c r="E528" s="38" t="s">
        <v>464</v>
      </c>
      <c r="F528" s="43" t="str">
        <f t="shared" si="41"/>
        <v>DAIMARELI FRANCISCA</v>
      </c>
      <c r="G528" s="43" t="str">
        <f t="shared" si="42"/>
        <v>DAIMARELI</v>
      </c>
      <c r="H528" s="43" t="str">
        <f t="shared" si="43"/>
        <v>CHAVES DELGADO</v>
      </c>
      <c r="I528" s="43" t="str">
        <f t="shared" si="44"/>
        <v>DAIMARELI CHAVES DELGADO</v>
      </c>
      <c r="J528" s="35" t="s">
        <v>2243</v>
      </c>
      <c r="K528" s="37">
        <v>9</v>
      </c>
      <c r="L528" s="37">
        <v>3</v>
      </c>
      <c r="M528" s="37" t="s">
        <v>0</v>
      </c>
    </row>
    <row r="529" spans="2:13" x14ac:dyDescent="0.25">
      <c r="B529" s="48">
        <v>526</v>
      </c>
      <c r="C529" s="50">
        <v>209300230</v>
      </c>
      <c r="D529" s="43" t="str">
        <f t="shared" si="40"/>
        <v>2-0930-0230</v>
      </c>
      <c r="E529" s="50" t="s">
        <v>524</v>
      </c>
      <c r="F529" s="43" t="str">
        <f t="shared" si="41"/>
        <v>FABIAN MATHIAS</v>
      </c>
      <c r="G529" s="43" t="str">
        <f t="shared" si="42"/>
        <v>FABIAN</v>
      </c>
      <c r="H529" s="43" t="str">
        <f t="shared" si="43"/>
        <v>FALLAS CAMPOS</v>
      </c>
      <c r="I529" s="43" t="str">
        <f t="shared" si="44"/>
        <v>FABIAN FALLAS CAMPOS</v>
      </c>
      <c r="J529" s="35" t="s">
        <v>2243</v>
      </c>
      <c r="K529" s="37">
        <v>9</v>
      </c>
      <c r="L529" s="37">
        <v>3</v>
      </c>
      <c r="M529" s="37" t="s">
        <v>0</v>
      </c>
    </row>
    <row r="530" spans="2:13" x14ac:dyDescent="0.25">
      <c r="B530" s="48">
        <v>527</v>
      </c>
      <c r="C530" s="33">
        <v>402890599</v>
      </c>
      <c r="D530" s="43" t="str">
        <f t="shared" si="40"/>
        <v>4-0289-0599</v>
      </c>
      <c r="E530" s="33" t="s">
        <v>465</v>
      </c>
      <c r="F530" s="43" t="str">
        <f t="shared" si="41"/>
        <v>KAROL DANIELA</v>
      </c>
      <c r="G530" s="43" t="str">
        <f t="shared" si="42"/>
        <v>KAROL</v>
      </c>
      <c r="H530" s="43" t="str">
        <f t="shared" si="43"/>
        <v>FERNANDEZ FERNANDEZ</v>
      </c>
      <c r="I530" s="43" t="str">
        <f t="shared" si="44"/>
        <v>KAROL FERNANDEZ FERNANDEZ</v>
      </c>
      <c r="J530" s="35" t="s">
        <v>2243</v>
      </c>
      <c r="K530" s="37">
        <v>9</v>
      </c>
      <c r="L530" s="37">
        <v>3</v>
      </c>
      <c r="M530" s="37" t="s">
        <v>0</v>
      </c>
    </row>
    <row r="531" spans="2:13" x14ac:dyDescent="0.25">
      <c r="B531" s="46">
        <v>528</v>
      </c>
      <c r="C531" s="38">
        <v>209370294</v>
      </c>
      <c r="D531" s="43" t="str">
        <f t="shared" si="40"/>
        <v>2-0937-0294</v>
      </c>
      <c r="E531" s="38" t="s">
        <v>466</v>
      </c>
      <c r="F531" s="43" t="str">
        <f t="shared" si="41"/>
        <v>IAN ANDRES</v>
      </c>
      <c r="G531" s="43" t="str">
        <f t="shared" si="42"/>
        <v>IAN</v>
      </c>
      <c r="H531" s="43" t="str">
        <f t="shared" si="43"/>
        <v>GUTIERREZ ZAMORA</v>
      </c>
      <c r="I531" s="43" t="str">
        <f t="shared" si="44"/>
        <v>IAN GUTIERREZ ZAMORA</v>
      </c>
      <c r="J531" s="35" t="s">
        <v>2243</v>
      </c>
      <c r="K531" s="37">
        <v>9</v>
      </c>
      <c r="L531" s="37">
        <v>3</v>
      </c>
      <c r="M531" s="37" t="s">
        <v>0</v>
      </c>
    </row>
    <row r="532" spans="2:13" x14ac:dyDescent="0.25">
      <c r="B532" s="48">
        <v>529</v>
      </c>
      <c r="C532" s="38">
        <v>209260010</v>
      </c>
      <c r="D532" s="43" t="str">
        <f t="shared" si="40"/>
        <v>2-0926-0010</v>
      </c>
      <c r="E532" s="38" t="s">
        <v>467</v>
      </c>
      <c r="F532" s="43" t="str">
        <f t="shared" si="41"/>
        <v>FIORELA</v>
      </c>
      <c r="G532" s="43" t="str">
        <f t="shared" si="42"/>
        <v>FIORELA</v>
      </c>
      <c r="H532" s="43" t="str">
        <f t="shared" si="43"/>
        <v>HERNANDEZ GARBANZO</v>
      </c>
      <c r="I532" s="43" t="str">
        <f t="shared" si="44"/>
        <v>FIORELA HERNANDEZ GARBANZO</v>
      </c>
      <c r="J532" s="35" t="s">
        <v>2243</v>
      </c>
      <c r="K532" s="37">
        <v>9</v>
      </c>
      <c r="L532" s="37">
        <v>3</v>
      </c>
      <c r="M532" s="37" t="s">
        <v>0</v>
      </c>
    </row>
    <row r="533" spans="2:13" x14ac:dyDescent="0.25">
      <c r="B533" s="48">
        <v>530</v>
      </c>
      <c r="C533" s="38">
        <v>209280835</v>
      </c>
      <c r="D533" s="43" t="str">
        <f t="shared" si="40"/>
        <v>2-0928-0835</v>
      </c>
      <c r="E533" s="38" t="s">
        <v>469</v>
      </c>
      <c r="F533" s="43" t="str">
        <f t="shared" si="41"/>
        <v>DARIANY</v>
      </c>
      <c r="G533" s="43" t="str">
        <f t="shared" si="42"/>
        <v>DARIANY</v>
      </c>
      <c r="H533" s="43" t="str">
        <f t="shared" si="43"/>
        <v>JIMENEZ MONTERO</v>
      </c>
      <c r="I533" s="43" t="str">
        <f t="shared" si="44"/>
        <v>DARIANY JIMENEZ MONTERO</v>
      </c>
      <c r="J533" s="35" t="s">
        <v>2243</v>
      </c>
      <c r="K533" s="37">
        <v>9</v>
      </c>
      <c r="L533" s="37">
        <v>3</v>
      </c>
      <c r="M533" s="37" t="s">
        <v>0</v>
      </c>
    </row>
    <row r="534" spans="2:13" x14ac:dyDescent="0.25">
      <c r="B534" s="46">
        <v>531</v>
      </c>
      <c r="C534" s="38">
        <v>209350222</v>
      </c>
      <c r="D534" s="43" t="str">
        <f t="shared" si="40"/>
        <v>2-0935-0222</v>
      </c>
      <c r="E534" s="38" t="s">
        <v>468</v>
      </c>
      <c r="F534" s="43" t="str">
        <f t="shared" si="41"/>
        <v>ALINA</v>
      </c>
      <c r="G534" s="43" t="str">
        <f t="shared" si="42"/>
        <v>ALINA</v>
      </c>
      <c r="H534" s="43" t="str">
        <f t="shared" si="43"/>
        <v>JIMENEZ RAMIREZ</v>
      </c>
      <c r="I534" s="43" t="str">
        <f t="shared" si="44"/>
        <v>ALINA JIMENEZ RAMIREZ</v>
      </c>
      <c r="J534" s="35" t="s">
        <v>2243</v>
      </c>
      <c r="K534" s="37">
        <v>9</v>
      </c>
      <c r="L534" s="37">
        <v>3</v>
      </c>
      <c r="M534" s="37" t="s">
        <v>0</v>
      </c>
    </row>
    <row r="535" spans="2:13" x14ac:dyDescent="0.25">
      <c r="B535" s="48">
        <v>532</v>
      </c>
      <c r="C535" s="38">
        <v>209370186</v>
      </c>
      <c r="D535" s="43" t="str">
        <f t="shared" si="40"/>
        <v>2-0937-0186</v>
      </c>
      <c r="E535" s="38" t="s">
        <v>470</v>
      </c>
      <c r="F535" s="43" t="str">
        <f t="shared" si="41"/>
        <v>DYLAN JOSUE</v>
      </c>
      <c r="G535" s="43" t="str">
        <f t="shared" si="42"/>
        <v>DYLAN</v>
      </c>
      <c r="H535" s="43" t="str">
        <f t="shared" si="43"/>
        <v>MAYORGA LOPEZ</v>
      </c>
      <c r="I535" s="43" t="str">
        <f t="shared" si="44"/>
        <v>DYLAN MAYORGA LOPEZ</v>
      </c>
      <c r="J535" s="35" t="s">
        <v>2243</v>
      </c>
      <c r="K535" s="37">
        <v>9</v>
      </c>
      <c r="L535" s="37">
        <v>3</v>
      </c>
      <c r="M535" s="37" t="s">
        <v>0</v>
      </c>
    </row>
    <row r="536" spans="2:13" x14ac:dyDescent="0.25">
      <c r="B536" s="48">
        <v>533</v>
      </c>
      <c r="C536" s="38">
        <v>209260768</v>
      </c>
      <c r="D536" s="43" t="str">
        <f t="shared" si="40"/>
        <v>2-0926-0768</v>
      </c>
      <c r="E536" s="38" t="s">
        <v>471</v>
      </c>
      <c r="F536" s="43" t="str">
        <f t="shared" si="41"/>
        <v>EVANYELI NAOMI</v>
      </c>
      <c r="G536" s="43" t="str">
        <f t="shared" si="42"/>
        <v>EVANYELI</v>
      </c>
      <c r="H536" s="43" t="str">
        <f t="shared" si="43"/>
        <v>MONTERO SIBAJA</v>
      </c>
      <c r="I536" s="43" t="str">
        <f t="shared" si="44"/>
        <v>EVANYELI MONTERO SIBAJA</v>
      </c>
      <c r="J536" s="35" t="s">
        <v>2243</v>
      </c>
      <c r="K536" s="37">
        <v>9</v>
      </c>
      <c r="L536" s="37">
        <v>3</v>
      </c>
      <c r="M536" s="37" t="s">
        <v>0</v>
      </c>
    </row>
    <row r="537" spans="2:13" x14ac:dyDescent="0.25">
      <c r="B537" s="46">
        <v>534</v>
      </c>
      <c r="C537" s="39">
        <v>209080473</v>
      </c>
      <c r="D537" s="43" t="str">
        <f t="shared" si="40"/>
        <v>2-0908-0473</v>
      </c>
      <c r="E537" s="45" t="s">
        <v>472</v>
      </c>
      <c r="F537" s="43" t="str">
        <f t="shared" si="41"/>
        <v>YARETH VALENTIN</v>
      </c>
      <c r="G537" s="43" t="str">
        <f t="shared" si="42"/>
        <v>YARETH</v>
      </c>
      <c r="H537" s="43" t="str">
        <f t="shared" si="43"/>
        <v>NUÑEZ SIBAJA</v>
      </c>
      <c r="I537" s="43" t="str">
        <f t="shared" si="44"/>
        <v>YARETH NUÑEZ SIBAJA</v>
      </c>
      <c r="J537" s="35" t="s">
        <v>2243</v>
      </c>
      <c r="K537" s="37">
        <v>9</v>
      </c>
      <c r="L537" s="37">
        <v>3</v>
      </c>
      <c r="M537" s="37" t="s">
        <v>0</v>
      </c>
    </row>
    <row r="538" spans="2:13" x14ac:dyDescent="0.25">
      <c r="B538" s="48">
        <v>535</v>
      </c>
      <c r="C538" s="39">
        <v>209080172</v>
      </c>
      <c r="D538" s="43" t="str">
        <f t="shared" si="40"/>
        <v>2-0908-0172</v>
      </c>
      <c r="E538" s="34" t="s">
        <v>473</v>
      </c>
      <c r="F538" s="43" t="str">
        <f t="shared" si="41"/>
        <v>JOHAN ELIAN NS</v>
      </c>
      <c r="G538" s="43" t="str">
        <f t="shared" si="42"/>
        <v>JOHAN</v>
      </c>
      <c r="H538" s="43" t="str">
        <f t="shared" si="43"/>
        <v>RODRIGUEZ TREJOS</v>
      </c>
      <c r="I538" s="43" t="str">
        <f t="shared" si="44"/>
        <v>JOHAN RODRIGUEZ TREJOS</v>
      </c>
      <c r="J538" s="35" t="s">
        <v>2243</v>
      </c>
      <c r="K538" s="37">
        <v>9</v>
      </c>
      <c r="L538" s="37">
        <v>3</v>
      </c>
      <c r="M538" s="37" t="s">
        <v>0</v>
      </c>
    </row>
    <row r="539" spans="2:13" x14ac:dyDescent="0.25">
      <c r="B539" s="48">
        <v>536</v>
      </c>
      <c r="C539" s="50">
        <v>209320253</v>
      </c>
      <c r="D539" s="43" t="str">
        <f t="shared" si="40"/>
        <v>2-0932-0253</v>
      </c>
      <c r="E539" s="38" t="s">
        <v>474</v>
      </c>
      <c r="F539" s="43" t="str">
        <f t="shared" si="41"/>
        <v>YULIANA MARIA</v>
      </c>
      <c r="G539" s="43" t="str">
        <f t="shared" si="42"/>
        <v>YULIANA</v>
      </c>
      <c r="H539" s="43" t="str">
        <f t="shared" si="43"/>
        <v>ALFARO HERNANDEZ</v>
      </c>
      <c r="I539" s="43" t="str">
        <f t="shared" si="44"/>
        <v>YULIANA ALFARO HERNANDEZ</v>
      </c>
      <c r="J539" s="35" t="s">
        <v>2243</v>
      </c>
      <c r="K539" s="37">
        <v>9</v>
      </c>
      <c r="L539" s="37">
        <v>4</v>
      </c>
      <c r="M539" s="37" t="s">
        <v>1</v>
      </c>
    </row>
    <row r="540" spans="2:13" x14ac:dyDescent="0.25">
      <c r="B540" s="46">
        <v>537</v>
      </c>
      <c r="C540" s="38">
        <v>209270427</v>
      </c>
      <c r="D540" s="43" t="str">
        <f t="shared" si="40"/>
        <v>2-0927-0427</v>
      </c>
      <c r="E540" s="38" t="s">
        <v>475</v>
      </c>
      <c r="F540" s="43" t="str">
        <f t="shared" si="41"/>
        <v>VALERIA SOFIA</v>
      </c>
      <c r="G540" s="43" t="str">
        <f t="shared" si="42"/>
        <v>VALERIA</v>
      </c>
      <c r="H540" s="43" t="str">
        <f t="shared" si="43"/>
        <v>ARROYO PEREZ</v>
      </c>
      <c r="I540" s="43" t="str">
        <f t="shared" si="44"/>
        <v>VALERIA ARROYO PEREZ</v>
      </c>
      <c r="J540" s="35" t="s">
        <v>2243</v>
      </c>
      <c r="K540" s="37">
        <v>9</v>
      </c>
      <c r="L540" s="37">
        <v>4</v>
      </c>
      <c r="M540" s="37" t="s">
        <v>1</v>
      </c>
    </row>
    <row r="541" spans="2:13" x14ac:dyDescent="0.25">
      <c r="B541" s="48">
        <v>538</v>
      </c>
      <c r="C541" s="41">
        <v>209340614</v>
      </c>
      <c r="D541" s="43" t="str">
        <f t="shared" si="40"/>
        <v>2-0934-0614</v>
      </c>
      <c r="E541" s="34" t="s">
        <v>476</v>
      </c>
      <c r="F541" s="43" t="str">
        <f t="shared" si="41"/>
        <v>YENDEL AARON</v>
      </c>
      <c r="G541" s="43" t="str">
        <f t="shared" si="42"/>
        <v>YENDEL</v>
      </c>
      <c r="H541" s="43" t="str">
        <f t="shared" si="43"/>
        <v>CAMPOS CONEJO</v>
      </c>
      <c r="I541" s="43" t="str">
        <f t="shared" si="44"/>
        <v>YENDEL CAMPOS CONEJO</v>
      </c>
      <c r="J541" s="35" t="s">
        <v>2243</v>
      </c>
      <c r="K541" s="37">
        <v>9</v>
      </c>
      <c r="L541" s="37">
        <v>4</v>
      </c>
      <c r="M541" s="37" t="s">
        <v>1</v>
      </c>
    </row>
    <row r="542" spans="2:13" x14ac:dyDescent="0.25">
      <c r="B542" s="48">
        <v>539</v>
      </c>
      <c r="C542" s="38">
        <v>210930405</v>
      </c>
      <c r="D542" s="43" t="str">
        <f t="shared" si="40"/>
        <v>2-1093-0405</v>
      </c>
      <c r="E542" s="38" t="s">
        <v>477</v>
      </c>
      <c r="F542" s="43" t="str">
        <f t="shared" si="41"/>
        <v>BRENDA</v>
      </c>
      <c r="G542" s="43" t="str">
        <f t="shared" si="42"/>
        <v>BRENDA</v>
      </c>
      <c r="H542" s="43" t="str">
        <f t="shared" si="43"/>
        <v>CHANG MORALES</v>
      </c>
      <c r="I542" s="43" t="str">
        <f t="shared" si="44"/>
        <v>BRENDA CHANG MORALES</v>
      </c>
      <c r="J542" s="35" t="s">
        <v>2243</v>
      </c>
      <c r="K542" s="37">
        <v>9</v>
      </c>
      <c r="L542" s="37">
        <v>4</v>
      </c>
      <c r="M542" s="37" t="s">
        <v>1</v>
      </c>
    </row>
    <row r="543" spans="2:13" x14ac:dyDescent="0.25">
      <c r="B543" s="46">
        <v>540</v>
      </c>
      <c r="C543" s="33">
        <v>402850338</v>
      </c>
      <c r="D543" s="43" t="str">
        <f t="shared" si="40"/>
        <v>4-0285-0338</v>
      </c>
      <c r="E543" s="33" t="s">
        <v>632</v>
      </c>
      <c r="F543" s="43" t="str">
        <f t="shared" si="41"/>
        <v>HILLARY VALENTINA</v>
      </c>
      <c r="G543" s="43" t="str">
        <f t="shared" si="42"/>
        <v>HILLARY</v>
      </c>
      <c r="H543" s="43" t="str">
        <f t="shared" si="43"/>
        <v>CHAVES RIVERS</v>
      </c>
      <c r="I543" s="43" t="str">
        <f t="shared" si="44"/>
        <v>HILLARY CHAVES RIVERS</v>
      </c>
      <c r="J543" s="35" t="s">
        <v>2243</v>
      </c>
      <c r="K543" s="37">
        <v>9</v>
      </c>
      <c r="L543" s="37">
        <v>4</v>
      </c>
      <c r="M543" s="37" t="s">
        <v>1</v>
      </c>
    </row>
    <row r="544" spans="2:13" x14ac:dyDescent="0.25">
      <c r="B544" s="48">
        <v>541</v>
      </c>
      <c r="C544" s="38">
        <v>209280830</v>
      </c>
      <c r="D544" s="43" t="str">
        <f t="shared" si="40"/>
        <v>2-0928-0830</v>
      </c>
      <c r="E544" s="38" t="s">
        <v>479</v>
      </c>
      <c r="F544" s="43" t="str">
        <f t="shared" si="41"/>
        <v>ARON DANIEL</v>
      </c>
      <c r="G544" s="43" t="str">
        <f t="shared" si="42"/>
        <v>ARON</v>
      </c>
      <c r="H544" s="43" t="str">
        <f t="shared" si="43"/>
        <v>GONZALEZ CHACON</v>
      </c>
      <c r="I544" s="43" t="str">
        <f t="shared" si="44"/>
        <v>ARON GONZALEZ CHACON</v>
      </c>
      <c r="J544" s="35" t="s">
        <v>2243</v>
      </c>
      <c r="K544" s="37">
        <v>9</v>
      </c>
      <c r="L544" s="37">
        <v>4</v>
      </c>
      <c r="M544" s="37" t="s">
        <v>1</v>
      </c>
    </row>
    <row r="545" spans="2:13" x14ac:dyDescent="0.25">
      <c r="B545" s="48">
        <v>542</v>
      </c>
      <c r="C545" s="38">
        <v>120950326</v>
      </c>
      <c r="D545" s="43" t="str">
        <f t="shared" si="40"/>
        <v>1-2095-0326</v>
      </c>
      <c r="E545" s="38" t="s">
        <v>480</v>
      </c>
      <c r="F545" s="43" t="str">
        <f t="shared" si="41"/>
        <v>EYNGEL AARON</v>
      </c>
      <c r="G545" s="43" t="str">
        <f t="shared" si="42"/>
        <v>EYNGEL</v>
      </c>
      <c r="H545" s="43" t="str">
        <f t="shared" si="43"/>
        <v>HERRERA CAMPOS</v>
      </c>
      <c r="I545" s="43" t="str">
        <f t="shared" si="44"/>
        <v>EYNGEL HERRERA CAMPOS</v>
      </c>
      <c r="J545" s="35" t="s">
        <v>2243</v>
      </c>
      <c r="K545" s="37">
        <v>9</v>
      </c>
      <c r="L545" s="37">
        <v>4</v>
      </c>
      <c r="M545" s="37" t="s">
        <v>1</v>
      </c>
    </row>
    <row r="546" spans="2:13" x14ac:dyDescent="0.25">
      <c r="B546" s="46">
        <v>543</v>
      </c>
      <c r="C546" s="38">
        <v>209320360</v>
      </c>
      <c r="D546" s="43" t="str">
        <f t="shared" si="40"/>
        <v>2-0932-0360</v>
      </c>
      <c r="E546" s="38" t="s">
        <v>481</v>
      </c>
      <c r="F546" s="43" t="str">
        <f t="shared" si="41"/>
        <v>KEISY FABIANA</v>
      </c>
      <c r="G546" s="43" t="str">
        <f t="shared" si="42"/>
        <v>KEISY</v>
      </c>
      <c r="H546" s="43" t="str">
        <f t="shared" si="43"/>
        <v>LOPEZ DIAZ</v>
      </c>
      <c r="I546" s="43" t="str">
        <f t="shared" si="44"/>
        <v>KEISY LOPEZ DIAZ</v>
      </c>
      <c r="J546" s="35" t="s">
        <v>2243</v>
      </c>
      <c r="K546" s="37">
        <v>9</v>
      </c>
      <c r="L546" s="37">
        <v>4</v>
      </c>
      <c r="M546" s="37" t="s">
        <v>1</v>
      </c>
    </row>
    <row r="547" spans="2:13" x14ac:dyDescent="0.25">
      <c r="B547" s="48">
        <v>544</v>
      </c>
      <c r="C547" s="50">
        <v>402870396</v>
      </c>
      <c r="D547" s="43" t="str">
        <f t="shared" si="40"/>
        <v>4-0287-0396</v>
      </c>
      <c r="E547" s="50" t="s">
        <v>482</v>
      </c>
      <c r="F547" s="43" t="str">
        <f t="shared" si="41"/>
        <v>ANDREW</v>
      </c>
      <c r="G547" s="43" t="str">
        <f t="shared" si="42"/>
        <v>ANDREW</v>
      </c>
      <c r="H547" s="43" t="str">
        <f t="shared" si="43"/>
        <v>MOREIRA UMAÑA</v>
      </c>
      <c r="I547" s="43" t="str">
        <f t="shared" si="44"/>
        <v>ANDREW MOREIRA UMAÑA</v>
      </c>
      <c r="J547" s="35" t="s">
        <v>2243</v>
      </c>
      <c r="K547" s="37">
        <v>9</v>
      </c>
      <c r="L547" s="37">
        <v>4</v>
      </c>
      <c r="M547" s="37" t="s">
        <v>1</v>
      </c>
    </row>
    <row r="548" spans="2:13" x14ac:dyDescent="0.25">
      <c r="B548" s="48">
        <v>545</v>
      </c>
      <c r="C548" s="38">
        <v>402880283</v>
      </c>
      <c r="D548" s="43" t="str">
        <f t="shared" si="40"/>
        <v>4-0288-0283</v>
      </c>
      <c r="E548" s="38" t="s">
        <v>483</v>
      </c>
      <c r="F548" s="43" t="str">
        <f t="shared" si="41"/>
        <v>SANTIAGO</v>
      </c>
      <c r="G548" s="43" t="str">
        <f t="shared" si="42"/>
        <v>SANTIAGO</v>
      </c>
      <c r="H548" s="43" t="str">
        <f t="shared" si="43"/>
        <v>PEREZ MOLINA</v>
      </c>
      <c r="I548" s="43" t="str">
        <f t="shared" si="44"/>
        <v>SANTIAGO PEREZ MOLINA</v>
      </c>
      <c r="J548" s="35" t="s">
        <v>2243</v>
      </c>
      <c r="K548" s="37">
        <v>9</v>
      </c>
      <c r="L548" s="37">
        <v>4</v>
      </c>
      <c r="M548" s="37" t="s">
        <v>1</v>
      </c>
    </row>
    <row r="549" spans="2:13" x14ac:dyDescent="0.25">
      <c r="B549" s="46">
        <v>546</v>
      </c>
      <c r="C549" s="38">
        <v>209280960</v>
      </c>
      <c r="D549" s="43" t="str">
        <f t="shared" si="40"/>
        <v>2-0928-0960</v>
      </c>
      <c r="E549" s="38" t="s">
        <v>484</v>
      </c>
      <c r="F549" s="43" t="str">
        <f t="shared" si="41"/>
        <v>JIMENA SOFIA</v>
      </c>
      <c r="G549" s="43" t="str">
        <f t="shared" si="42"/>
        <v>JIMENA</v>
      </c>
      <c r="H549" s="43" t="str">
        <f t="shared" si="43"/>
        <v>PEREZ ZUÑIGA</v>
      </c>
      <c r="I549" s="43" t="str">
        <f t="shared" si="44"/>
        <v>JIMENA PEREZ ZUÑIGA</v>
      </c>
      <c r="J549" s="35" t="s">
        <v>2243</v>
      </c>
      <c r="K549" s="37">
        <v>9</v>
      </c>
      <c r="L549" s="37">
        <v>4</v>
      </c>
      <c r="M549" s="37" t="s">
        <v>1</v>
      </c>
    </row>
    <row r="550" spans="2:13" x14ac:dyDescent="0.25">
      <c r="B550" s="48">
        <v>547</v>
      </c>
      <c r="C550" s="50">
        <v>209070502</v>
      </c>
      <c r="D550" s="43" t="str">
        <f t="shared" si="40"/>
        <v>2-0907-0502</v>
      </c>
      <c r="E550" s="50" t="s">
        <v>485</v>
      </c>
      <c r="F550" s="43" t="str">
        <f t="shared" si="41"/>
        <v>ISMAEL</v>
      </c>
      <c r="G550" s="43" t="str">
        <f t="shared" si="42"/>
        <v>ISMAEL</v>
      </c>
      <c r="H550" s="43" t="str">
        <f t="shared" si="43"/>
        <v>RODRIGUEZ BARRANTES</v>
      </c>
      <c r="I550" s="43" t="str">
        <f t="shared" si="44"/>
        <v>ISMAEL RODRIGUEZ BARRANTES</v>
      </c>
      <c r="J550" s="35" t="s">
        <v>2243</v>
      </c>
      <c r="K550" s="37">
        <v>9</v>
      </c>
      <c r="L550" s="37">
        <v>4</v>
      </c>
      <c r="M550" s="37" t="s">
        <v>1</v>
      </c>
    </row>
    <row r="551" spans="2:13" x14ac:dyDescent="0.25">
      <c r="B551" s="48">
        <v>548</v>
      </c>
      <c r="C551" s="38">
        <v>402850979</v>
      </c>
      <c r="D551" s="43" t="str">
        <f t="shared" si="40"/>
        <v>4-0285-0979</v>
      </c>
      <c r="E551" s="38" t="s">
        <v>486</v>
      </c>
      <c r="F551" s="43" t="str">
        <f t="shared" si="41"/>
        <v>JEREMY</v>
      </c>
      <c r="G551" s="43" t="str">
        <f t="shared" si="42"/>
        <v>JEREMY</v>
      </c>
      <c r="H551" s="43" t="str">
        <f t="shared" si="43"/>
        <v>RODRIGUEZ BARRIENTOS</v>
      </c>
      <c r="I551" s="43" t="str">
        <f t="shared" si="44"/>
        <v>JEREMY RODRIGUEZ BARRIENTOS</v>
      </c>
      <c r="J551" s="35" t="s">
        <v>2243</v>
      </c>
      <c r="K551" s="37">
        <v>9</v>
      </c>
      <c r="L551" s="37">
        <v>4</v>
      </c>
      <c r="M551" s="37" t="s">
        <v>1</v>
      </c>
    </row>
    <row r="552" spans="2:13" x14ac:dyDescent="0.25">
      <c r="B552" s="46">
        <v>549</v>
      </c>
      <c r="C552" s="38">
        <v>120910054</v>
      </c>
      <c r="D552" s="43" t="str">
        <f t="shared" si="40"/>
        <v>1-2091-0054</v>
      </c>
      <c r="E552" s="38" t="s">
        <v>487</v>
      </c>
      <c r="F552" s="43" t="str">
        <f t="shared" si="41"/>
        <v>FIORELLA</v>
      </c>
      <c r="G552" s="43" t="str">
        <f t="shared" si="42"/>
        <v>FIORELLA</v>
      </c>
      <c r="H552" s="43" t="str">
        <f t="shared" si="43"/>
        <v>SALAS BOGANTES</v>
      </c>
      <c r="I552" s="43" t="str">
        <f t="shared" si="44"/>
        <v>FIORELLA SALAS BOGANTES</v>
      </c>
      <c r="J552" s="35" t="s">
        <v>2243</v>
      </c>
      <c r="K552" s="37">
        <v>9</v>
      </c>
      <c r="L552" s="37">
        <v>4</v>
      </c>
      <c r="M552" s="37" t="s">
        <v>1</v>
      </c>
    </row>
    <row r="553" spans="2:13" x14ac:dyDescent="0.25">
      <c r="B553" s="48">
        <v>550</v>
      </c>
      <c r="C553" s="38">
        <v>901250616</v>
      </c>
      <c r="D553" s="43" t="str">
        <f t="shared" si="40"/>
        <v>9-0125-0616</v>
      </c>
      <c r="E553" s="38" t="s">
        <v>488</v>
      </c>
      <c r="F553" s="43" t="str">
        <f t="shared" si="41"/>
        <v>ENZO IGNACIO</v>
      </c>
      <c r="G553" s="43" t="str">
        <f t="shared" si="42"/>
        <v>ENZO</v>
      </c>
      <c r="H553" s="43" t="str">
        <f t="shared" si="43"/>
        <v>SOLERA CACCIUTTOLO</v>
      </c>
      <c r="I553" s="43" t="str">
        <f t="shared" si="44"/>
        <v>ENZO SOLERA CACCIUTTOLO</v>
      </c>
      <c r="J553" s="35" t="s">
        <v>2243</v>
      </c>
      <c r="K553" s="37">
        <v>9</v>
      </c>
      <c r="L553" s="37">
        <v>4</v>
      </c>
      <c r="M553" s="37" t="s">
        <v>1</v>
      </c>
    </row>
    <row r="554" spans="2:13" x14ac:dyDescent="0.25">
      <c r="B554" s="48">
        <v>551</v>
      </c>
      <c r="C554" s="50">
        <v>209280071</v>
      </c>
      <c r="D554" s="43" t="str">
        <f t="shared" si="40"/>
        <v>2-0928-0071</v>
      </c>
      <c r="E554" s="50" t="s">
        <v>489</v>
      </c>
      <c r="F554" s="43" t="str">
        <f t="shared" si="41"/>
        <v>IGNACIO</v>
      </c>
      <c r="G554" s="43" t="str">
        <f t="shared" si="42"/>
        <v>IGNACIO</v>
      </c>
      <c r="H554" s="43" t="str">
        <f t="shared" si="43"/>
        <v>ALVAREZ SOTO</v>
      </c>
      <c r="I554" s="43" t="str">
        <f t="shared" si="44"/>
        <v>IGNACIO ALVAREZ SOTO</v>
      </c>
      <c r="J554" s="35" t="s">
        <v>2243</v>
      </c>
      <c r="K554" s="37">
        <v>9</v>
      </c>
      <c r="L554" s="37">
        <v>4</v>
      </c>
      <c r="M554" s="37" t="s">
        <v>0</v>
      </c>
    </row>
    <row r="555" spans="2:13" x14ac:dyDescent="0.25">
      <c r="B555" s="46">
        <v>552</v>
      </c>
      <c r="C555" s="38">
        <v>209280842</v>
      </c>
      <c r="D555" s="43" t="str">
        <f t="shared" si="40"/>
        <v>2-0928-0842</v>
      </c>
      <c r="E555" s="38" t="s">
        <v>491</v>
      </c>
      <c r="F555" s="43" t="str">
        <f t="shared" si="41"/>
        <v>MARY PAZ</v>
      </c>
      <c r="G555" s="43" t="str">
        <f t="shared" si="42"/>
        <v>MARY</v>
      </c>
      <c r="H555" s="43" t="str">
        <f t="shared" si="43"/>
        <v>CHAVES SALAS</v>
      </c>
      <c r="I555" s="43" t="str">
        <f t="shared" si="44"/>
        <v>MARY CHAVES SALAS</v>
      </c>
      <c r="J555" s="35" t="s">
        <v>2243</v>
      </c>
      <c r="K555" s="37">
        <v>9</v>
      </c>
      <c r="L555" s="37">
        <v>4</v>
      </c>
      <c r="M555" s="37" t="s">
        <v>0</v>
      </c>
    </row>
    <row r="556" spans="2:13" x14ac:dyDescent="0.25">
      <c r="B556" s="48">
        <v>553</v>
      </c>
      <c r="C556" s="38">
        <v>120860657</v>
      </c>
      <c r="D556" s="43" t="str">
        <f t="shared" si="40"/>
        <v>1-2086-0657</v>
      </c>
      <c r="E556" s="38" t="s">
        <v>492</v>
      </c>
      <c r="F556" s="43" t="str">
        <f t="shared" si="41"/>
        <v>ADRIEL JOAO</v>
      </c>
      <c r="G556" s="43" t="str">
        <f t="shared" si="42"/>
        <v>ADRIEL</v>
      </c>
      <c r="H556" s="43" t="str">
        <f t="shared" si="43"/>
        <v>FLORES SEGURA</v>
      </c>
      <c r="I556" s="43" t="str">
        <f t="shared" si="44"/>
        <v>ADRIEL FLORES SEGURA</v>
      </c>
      <c r="J556" s="35" t="s">
        <v>2243</v>
      </c>
      <c r="K556" s="37">
        <v>9</v>
      </c>
      <c r="L556" s="37">
        <v>4</v>
      </c>
      <c r="M556" s="37" t="s">
        <v>0</v>
      </c>
    </row>
    <row r="557" spans="2:13" x14ac:dyDescent="0.25">
      <c r="B557" s="48">
        <v>554</v>
      </c>
      <c r="C557" s="38">
        <v>402870015</v>
      </c>
      <c r="D557" s="43" t="str">
        <f t="shared" si="40"/>
        <v>4-0287-0015</v>
      </c>
      <c r="E557" s="38" t="s">
        <v>493</v>
      </c>
      <c r="F557" s="43" t="str">
        <f t="shared" si="41"/>
        <v>ISAAC MATTIAS</v>
      </c>
      <c r="G557" s="43" t="str">
        <f t="shared" si="42"/>
        <v>ISAAC</v>
      </c>
      <c r="H557" s="43" t="str">
        <f t="shared" si="43"/>
        <v>GUZMAN BRENES</v>
      </c>
      <c r="I557" s="43" t="str">
        <f t="shared" si="44"/>
        <v>ISAAC GUZMAN BRENES</v>
      </c>
      <c r="J557" s="35" t="s">
        <v>2243</v>
      </c>
      <c r="K557" s="37">
        <v>9</v>
      </c>
      <c r="L557" s="37">
        <v>4</v>
      </c>
      <c r="M557" s="37" t="s">
        <v>0</v>
      </c>
    </row>
    <row r="558" spans="2:13" x14ac:dyDescent="0.25">
      <c r="B558" s="46">
        <v>555</v>
      </c>
      <c r="C558" s="50">
        <v>402860091</v>
      </c>
      <c r="D558" s="43" t="str">
        <f t="shared" si="40"/>
        <v>4-0286-0091</v>
      </c>
      <c r="E558" s="50" t="s">
        <v>494</v>
      </c>
      <c r="F558" s="43" t="str">
        <f t="shared" si="41"/>
        <v>PAMELA</v>
      </c>
      <c r="G558" s="43" t="str">
        <f t="shared" si="42"/>
        <v>PAMELA</v>
      </c>
      <c r="H558" s="43" t="str">
        <f t="shared" si="43"/>
        <v>JIMENEZ PANIAGUA</v>
      </c>
      <c r="I558" s="43" t="str">
        <f t="shared" si="44"/>
        <v>PAMELA JIMENEZ PANIAGUA</v>
      </c>
      <c r="J558" s="35" t="s">
        <v>2243</v>
      </c>
      <c r="K558" s="37">
        <v>9</v>
      </c>
      <c r="L558" s="37">
        <v>4</v>
      </c>
      <c r="M558" s="37" t="s">
        <v>0</v>
      </c>
    </row>
    <row r="559" spans="2:13" x14ac:dyDescent="0.25">
      <c r="B559" s="48">
        <v>556</v>
      </c>
      <c r="C559" s="38">
        <v>209360642</v>
      </c>
      <c r="D559" s="43" t="str">
        <f t="shared" si="40"/>
        <v>2-0936-0642</v>
      </c>
      <c r="E559" s="38" t="s">
        <v>495</v>
      </c>
      <c r="F559" s="43" t="str">
        <f t="shared" si="41"/>
        <v>ALLISON</v>
      </c>
      <c r="G559" s="43" t="str">
        <f t="shared" si="42"/>
        <v>ALLISON</v>
      </c>
      <c r="H559" s="43" t="str">
        <f t="shared" si="43"/>
        <v>MEDRANO BERROCAL</v>
      </c>
      <c r="I559" s="43" t="str">
        <f t="shared" si="44"/>
        <v>ALLISON MEDRANO BERROCAL</v>
      </c>
      <c r="J559" s="35" t="s">
        <v>2243</v>
      </c>
      <c r="K559" s="37">
        <v>9</v>
      </c>
      <c r="L559" s="37">
        <v>4</v>
      </c>
      <c r="M559" s="37" t="s">
        <v>0</v>
      </c>
    </row>
    <row r="560" spans="2:13" x14ac:dyDescent="0.25">
      <c r="B560" s="48">
        <v>557</v>
      </c>
      <c r="C560" s="38">
        <v>209270800</v>
      </c>
      <c r="D560" s="43" t="str">
        <f t="shared" si="40"/>
        <v>2-0927-0800</v>
      </c>
      <c r="E560" s="38" t="s">
        <v>496</v>
      </c>
      <c r="F560" s="43" t="str">
        <f t="shared" si="41"/>
        <v>BRITTANY SOFIA</v>
      </c>
      <c r="G560" s="43" t="str">
        <f t="shared" si="42"/>
        <v>BRITTANY</v>
      </c>
      <c r="H560" s="43" t="str">
        <f t="shared" si="43"/>
        <v>MONTOYA PEREZ</v>
      </c>
      <c r="I560" s="43" t="str">
        <f t="shared" si="44"/>
        <v>BRITTANY MONTOYA PEREZ</v>
      </c>
      <c r="J560" s="35" t="s">
        <v>2243</v>
      </c>
      <c r="K560" s="37">
        <v>9</v>
      </c>
      <c r="L560" s="37">
        <v>4</v>
      </c>
      <c r="M560" s="37" t="s">
        <v>0</v>
      </c>
    </row>
    <row r="561" spans="2:13" x14ac:dyDescent="0.25">
      <c r="B561" s="46">
        <v>558</v>
      </c>
      <c r="C561" s="41">
        <v>209210075</v>
      </c>
      <c r="D561" s="43" t="str">
        <f t="shared" si="40"/>
        <v>2-0921-0075</v>
      </c>
      <c r="E561" s="34" t="s">
        <v>497</v>
      </c>
      <c r="F561" s="43" t="str">
        <f t="shared" si="41"/>
        <v>SANTIAGO</v>
      </c>
      <c r="G561" s="43" t="str">
        <f t="shared" si="42"/>
        <v>SANTIAGO</v>
      </c>
      <c r="H561" s="43" t="str">
        <f t="shared" si="43"/>
        <v>OPORTA REYES</v>
      </c>
      <c r="I561" s="43" t="str">
        <f t="shared" si="44"/>
        <v>SANTIAGO OPORTA REYES</v>
      </c>
      <c r="J561" s="35" t="s">
        <v>2243</v>
      </c>
      <c r="K561" s="37">
        <v>9</v>
      </c>
      <c r="L561" s="37">
        <v>4</v>
      </c>
      <c r="M561" s="37" t="s">
        <v>0</v>
      </c>
    </row>
    <row r="562" spans="2:13" x14ac:dyDescent="0.25">
      <c r="B562" s="48">
        <v>559</v>
      </c>
      <c r="C562" s="50">
        <v>402870611</v>
      </c>
      <c r="D562" s="43" t="str">
        <f t="shared" si="40"/>
        <v>4-0287-0611</v>
      </c>
      <c r="E562" s="50" t="s">
        <v>498</v>
      </c>
      <c r="F562" s="43" t="str">
        <f t="shared" si="41"/>
        <v>MARIA BELEN</v>
      </c>
      <c r="G562" s="43" t="str">
        <f t="shared" si="42"/>
        <v>MARIA</v>
      </c>
      <c r="H562" s="43" t="str">
        <f t="shared" si="43"/>
        <v>ROJAS BRENES</v>
      </c>
      <c r="I562" s="43" t="str">
        <f t="shared" si="44"/>
        <v>MARIA ROJAS BRENES</v>
      </c>
      <c r="J562" s="35" t="s">
        <v>2243</v>
      </c>
      <c r="K562" s="37">
        <v>9</v>
      </c>
      <c r="L562" s="37">
        <v>4</v>
      </c>
      <c r="M562" s="37" t="s">
        <v>0</v>
      </c>
    </row>
    <row r="563" spans="2:13" x14ac:dyDescent="0.25">
      <c r="B563" s="48">
        <v>560</v>
      </c>
      <c r="C563" s="41">
        <v>605200585</v>
      </c>
      <c r="D563" s="43" t="str">
        <f t="shared" si="40"/>
        <v>6-0520-0585</v>
      </c>
      <c r="E563" s="34" t="s">
        <v>499</v>
      </c>
      <c r="F563" s="43" t="str">
        <f t="shared" si="41"/>
        <v>INDIRA ALEJANDRA</v>
      </c>
      <c r="G563" s="43" t="str">
        <f t="shared" si="42"/>
        <v>INDIRA</v>
      </c>
      <c r="H563" s="43" t="str">
        <f t="shared" si="43"/>
        <v>SANCHEZ GONZALEZ</v>
      </c>
      <c r="I563" s="43" t="str">
        <f t="shared" si="44"/>
        <v>INDIRA SANCHEZ GONZALEZ</v>
      </c>
      <c r="J563" s="35" t="s">
        <v>2243</v>
      </c>
      <c r="K563" s="37">
        <v>9</v>
      </c>
      <c r="L563" s="37">
        <v>4</v>
      </c>
      <c r="M563" s="37" t="s">
        <v>0</v>
      </c>
    </row>
    <row r="564" spans="2:13" x14ac:dyDescent="0.25">
      <c r="B564" s="46">
        <v>561</v>
      </c>
      <c r="C564" s="50">
        <v>120790084</v>
      </c>
      <c r="D564" s="43" t="str">
        <f t="shared" si="40"/>
        <v>1-2079-0084</v>
      </c>
      <c r="E564" s="50" t="s">
        <v>500</v>
      </c>
      <c r="F564" s="43" t="str">
        <f t="shared" si="41"/>
        <v>MATIAS</v>
      </c>
      <c r="G564" s="43" t="str">
        <f t="shared" si="42"/>
        <v>MATIAS</v>
      </c>
      <c r="H564" s="43" t="str">
        <f t="shared" si="43"/>
        <v>UREÑA VARGAS</v>
      </c>
      <c r="I564" s="43" t="str">
        <f t="shared" si="44"/>
        <v>MATIAS UREÑA VARGAS</v>
      </c>
      <c r="J564" s="35" t="s">
        <v>2243</v>
      </c>
      <c r="K564" s="37">
        <v>9</v>
      </c>
      <c r="L564" s="37">
        <v>4</v>
      </c>
      <c r="M564" s="37" t="s">
        <v>0</v>
      </c>
    </row>
    <row r="565" spans="2:13" x14ac:dyDescent="0.25">
      <c r="B565" s="48">
        <v>562</v>
      </c>
      <c r="C565" s="38">
        <v>209250593</v>
      </c>
      <c r="D565" s="43" t="str">
        <f t="shared" si="40"/>
        <v>2-0925-0593</v>
      </c>
      <c r="E565" s="38" t="s">
        <v>523</v>
      </c>
      <c r="F565" s="43" t="str">
        <f t="shared" si="41"/>
        <v>FRANCINY</v>
      </c>
      <c r="G565" s="43" t="str">
        <f t="shared" si="42"/>
        <v>FRANCINY</v>
      </c>
      <c r="H565" s="43" t="str">
        <f t="shared" si="43"/>
        <v>VARGAS ARGUEDAS</v>
      </c>
      <c r="I565" s="43" t="str">
        <f t="shared" si="44"/>
        <v>FRANCINY VARGAS ARGUEDAS</v>
      </c>
      <c r="J565" s="35" t="s">
        <v>2243</v>
      </c>
      <c r="K565" s="37">
        <v>9</v>
      </c>
      <c r="L565" s="37">
        <v>4</v>
      </c>
      <c r="M565" s="37" t="s">
        <v>0</v>
      </c>
    </row>
    <row r="566" spans="2:13" x14ac:dyDescent="0.25">
      <c r="B566" s="48">
        <v>563</v>
      </c>
      <c r="C566" s="38">
        <v>209320328</v>
      </c>
      <c r="D566" s="43" t="str">
        <f t="shared" si="40"/>
        <v>2-0932-0328</v>
      </c>
      <c r="E566" s="38" t="s">
        <v>501</v>
      </c>
      <c r="F566" s="43" t="str">
        <f t="shared" si="41"/>
        <v>ANGELY</v>
      </c>
      <c r="G566" s="43" t="str">
        <f t="shared" si="42"/>
        <v>ANGELY</v>
      </c>
      <c r="H566" s="43" t="str">
        <f t="shared" si="43"/>
        <v>VILLEGAS SALAS</v>
      </c>
      <c r="I566" s="43" t="str">
        <f t="shared" si="44"/>
        <v>ANGELY VILLEGAS SALAS</v>
      </c>
      <c r="J566" s="35" t="s">
        <v>2243</v>
      </c>
      <c r="K566" s="37">
        <v>9</v>
      </c>
      <c r="L566" s="37">
        <v>4</v>
      </c>
      <c r="M566" s="37" t="s">
        <v>0</v>
      </c>
    </row>
    <row r="567" spans="2:13" x14ac:dyDescent="0.25">
      <c r="B567" s="46">
        <v>564</v>
      </c>
      <c r="C567" s="38">
        <v>402880711</v>
      </c>
      <c r="D567" s="43" t="str">
        <f t="shared" si="40"/>
        <v>4-0288-0711</v>
      </c>
      <c r="E567" s="38" t="s">
        <v>502</v>
      </c>
      <c r="F567" s="43" t="str">
        <f t="shared" si="41"/>
        <v>MARLEN VANESSA</v>
      </c>
      <c r="G567" s="43" t="str">
        <f t="shared" si="42"/>
        <v>MARLEN</v>
      </c>
      <c r="H567" s="43" t="str">
        <f t="shared" si="43"/>
        <v>ALFARO SALMERON</v>
      </c>
      <c r="I567" s="43" t="str">
        <f t="shared" si="44"/>
        <v>MARLEN ALFARO SALMERON</v>
      </c>
      <c r="J567" s="35" t="s">
        <v>2243</v>
      </c>
      <c r="K567" s="37">
        <v>9</v>
      </c>
      <c r="L567" s="37">
        <v>5</v>
      </c>
      <c r="M567" s="37" t="s">
        <v>1</v>
      </c>
    </row>
    <row r="568" spans="2:13" x14ac:dyDescent="0.25">
      <c r="B568" s="48">
        <v>565</v>
      </c>
      <c r="C568" s="38">
        <v>402860614</v>
      </c>
      <c r="D568" s="43" t="str">
        <f t="shared" si="40"/>
        <v>4-0286-0614</v>
      </c>
      <c r="E568" s="38" t="s">
        <v>504</v>
      </c>
      <c r="F568" s="43" t="str">
        <f t="shared" si="41"/>
        <v>FABIAN JOSE</v>
      </c>
      <c r="G568" s="43" t="str">
        <f t="shared" si="42"/>
        <v>FABIAN</v>
      </c>
      <c r="H568" s="43" t="str">
        <f t="shared" si="43"/>
        <v>CAMPOS MIRANDA</v>
      </c>
      <c r="I568" s="43" t="str">
        <f t="shared" si="44"/>
        <v>FABIAN CAMPOS MIRANDA</v>
      </c>
      <c r="J568" s="35" t="s">
        <v>2243</v>
      </c>
      <c r="K568" s="37">
        <v>9</v>
      </c>
      <c r="L568" s="37">
        <v>5</v>
      </c>
      <c r="M568" s="37" t="s">
        <v>1</v>
      </c>
    </row>
    <row r="569" spans="2:13" x14ac:dyDescent="0.25">
      <c r="B569" s="48">
        <v>566</v>
      </c>
      <c r="C569" s="33">
        <v>209220845</v>
      </c>
      <c r="D569" s="43" t="str">
        <f t="shared" si="40"/>
        <v>2-0922-0845</v>
      </c>
      <c r="E569" s="33" t="s">
        <v>463</v>
      </c>
      <c r="F569" s="43" t="str">
        <f t="shared" si="41"/>
        <v>NATALIA</v>
      </c>
      <c r="G569" s="43" t="str">
        <f t="shared" si="42"/>
        <v>NATALIA</v>
      </c>
      <c r="H569" s="43" t="str">
        <f t="shared" si="43"/>
        <v>CARRION RAMIREZ</v>
      </c>
      <c r="I569" s="43" t="str">
        <f t="shared" si="44"/>
        <v>NATALIA CARRION RAMIREZ</v>
      </c>
      <c r="J569" s="35" t="s">
        <v>2243</v>
      </c>
      <c r="K569" s="37">
        <v>9</v>
      </c>
      <c r="L569" s="37">
        <v>5</v>
      </c>
      <c r="M569" s="37" t="s">
        <v>1</v>
      </c>
    </row>
    <row r="570" spans="2:13" x14ac:dyDescent="0.25">
      <c r="B570" s="46">
        <v>567</v>
      </c>
      <c r="C570" s="33">
        <v>605170622</v>
      </c>
      <c r="D570" s="43" t="str">
        <f t="shared" si="40"/>
        <v>6-0517-0622</v>
      </c>
      <c r="E570" s="33" t="s">
        <v>505</v>
      </c>
      <c r="F570" s="43" t="str">
        <f t="shared" si="41"/>
        <v>ASTRID MARIA</v>
      </c>
      <c r="G570" s="43" t="str">
        <f t="shared" si="42"/>
        <v>ASTRID</v>
      </c>
      <c r="H570" s="43" t="str">
        <f t="shared" si="43"/>
        <v>CHAVARRIA HERNANDEZ</v>
      </c>
      <c r="I570" s="43" t="str">
        <f t="shared" si="44"/>
        <v>ASTRID CHAVARRIA HERNANDEZ</v>
      </c>
      <c r="J570" s="35" t="s">
        <v>2243</v>
      </c>
      <c r="K570" s="37">
        <v>9</v>
      </c>
      <c r="L570" s="37">
        <v>5</v>
      </c>
      <c r="M570" s="37" t="s">
        <v>1</v>
      </c>
    </row>
    <row r="571" spans="2:13" x14ac:dyDescent="0.25">
      <c r="B571" s="48">
        <v>568</v>
      </c>
      <c r="C571" s="38">
        <v>209280780</v>
      </c>
      <c r="D571" s="43" t="str">
        <f t="shared" si="40"/>
        <v>2-0928-0780</v>
      </c>
      <c r="E571" s="38" t="s">
        <v>508</v>
      </c>
      <c r="F571" s="43" t="str">
        <f t="shared" si="41"/>
        <v>JUAN CARLOS</v>
      </c>
      <c r="G571" s="43" t="str">
        <f t="shared" si="42"/>
        <v>JUAN</v>
      </c>
      <c r="H571" s="43" t="str">
        <f t="shared" si="43"/>
        <v>HIDALGO MORALES</v>
      </c>
      <c r="I571" s="43" t="str">
        <f t="shared" si="44"/>
        <v>JUAN HIDALGO MORALES</v>
      </c>
      <c r="J571" s="35" t="s">
        <v>2243</v>
      </c>
      <c r="K571" s="37">
        <v>9</v>
      </c>
      <c r="L571" s="37">
        <v>5</v>
      </c>
      <c r="M571" s="37" t="s">
        <v>1</v>
      </c>
    </row>
    <row r="572" spans="2:13" x14ac:dyDescent="0.25">
      <c r="B572" s="48">
        <v>569</v>
      </c>
      <c r="C572" s="38">
        <v>402880893</v>
      </c>
      <c r="D572" s="43" t="str">
        <f t="shared" si="40"/>
        <v>4-0288-0893</v>
      </c>
      <c r="E572" s="38" t="s">
        <v>509</v>
      </c>
      <c r="F572" s="43" t="str">
        <f t="shared" si="41"/>
        <v>DANIEL</v>
      </c>
      <c r="G572" s="43" t="str">
        <f t="shared" si="42"/>
        <v>DANIEL</v>
      </c>
      <c r="H572" s="43" t="str">
        <f t="shared" si="43"/>
        <v>MADRIZ CASTILLO</v>
      </c>
      <c r="I572" s="43" t="str">
        <f t="shared" si="44"/>
        <v>DANIEL MADRIZ CASTILLO</v>
      </c>
      <c r="J572" s="35" t="s">
        <v>2243</v>
      </c>
      <c r="K572" s="37">
        <v>9</v>
      </c>
      <c r="L572" s="37">
        <v>5</v>
      </c>
      <c r="M572" s="37" t="s">
        <v>1</v>
      </c>
    </row>
    <row r="573" spans="2:13" x14ac:dyDescent="0.25">
      <c r="B573" s="46">
        <v>570</v>
      </c>
      <c r="C573" s="38">
        <v>120340317</v>
      </c>
      <c r="D573" s="43" t="str">
        <f t="shared" si="40"/>
        <v>1-2034-0317</v>
      </c>
      <c r="E573" s="38" t="s">
        <v>510</v>
      </c>
      <c r="F573" s="43" t="str">
        <f t="shared" si="41"/>
        <v>VALERIA FRANCINE</v>
      </c>
      <c r="G573" s="43" t="str">
        <f t="shared" si="42"/>
        <v>VALERIA</v>
      </c>
      <c r="H573" s="43" t="str">
        <f t="shared" si="43"/>
        <v>MEZA PARRALES</v>
      </c>
      <c r="I573" s="43" t="str">
        <f t="shared" si="44"/>
        <v>VALERIA MEZA PARRALES</v>
      </c>
      <c r="J573" s="35" t="s">
        <v>2243</v>
      </c>
      <c r="K573" s="37">
        <v>9</v>
      </c>
      <c r="L573" s="37">
        <v>5</v>
      </c>
      <c r="M573" s="37" t="s">
        <v>1</v>
      </c>
    </row>
    <row r="574" spans="2:13" x14ac:dyDescent="0.25">
      <c r="B574" s="48">
        <v>571</v>
      </c>
      <c r="C574" s="38">
        <v>402870519</v>
      </c>
      <c r="D574" s="43" t="str">
        <f t="shared" si="40"/>
        <v>4-0287-0519</v>
      </c>
      <c r="E574" s="38" t="s">
        <v>442</v>
      </c>
      <c r="F574" s="43" t="str">
        <f t="shared" si="41"/>
        <v>KALED ESTEBAN</v>
      </c>
      <c r="G574" s="43" t="str">
        <f t="shared" si="42"/>
        <v>KALED</v>
      </c>
      <c r="H574" s="43" t="str">
        <f t="shared" si="43"/>
        <v>MONTERO ESQUIVEL</v>
      </c>
      <c r="I574" s="43" t="str">
        <f t="shared" si="44"/>
        <v>KALED MONTERO ESQUIVEL</v>
      </c>
      <c r="J574" s="35" t="s">
        <v>2243</v>
      </c>
      <c r="K574" s="37">
        <v>9</v>
      </c>
      <c r="L574" s="37">
        <v>5</v>
      </c>
      <c r="M574" s="37" t="s">
        <v>1</v>
      </c>
    </row>
    <row r="575" spans="2:13" x14ac:dyDescent="0.25">
      <c r="B575" s="48">
        <v>572</v>
      </c>
      <c r="C575" s="38">
        <v>402860817</v>
      </c>
      <c r="D575" s="43" t="str">
        <f t="shared" si="40"/>
        <v>4-0286-0817</v>
      </c>
      <c r="E575" s="38" t="s">
        <v>511</v>
      </c>
      <c r="F575" s="43" t="str">
        <f t="shared" si="41"/>
        <v>BRANDON JOSUE</v>
      </c>
      <c r="G575" s="43" t="str">
        <f t="shared" si="42"/>
        <v>BRANDON</v>
      </c>
      <c r="H575" s="43" t="str">
        <f t="shared" si="43"/>
        <v>MORERA QUIROS</v>
      </c>
      <c r="I575" s="43" t="str">
        <f t="shared" si="44"/>
        <v>BRANDON MORERA QUIROS</v>
      </c>
      <c r="J575" s="35" t="s">
        <v>2243</v>
      </c>
      <c r="K575" s="37">
        <v>9</v>
      </c>
      <c r="L575" s="37">
        <v>5</v>
      </c>
      <c r="M575" s="37" t="s">
        <v>1</v>
      </c>
    </row>
    <row r="576" spans="2:13" x14ac:dyDescent="0.25">
      <c r="B576" s="46">
        <v>573</v>
      </c>
      <c r="C576" s="50">
        <v>209250284</v>
      </c>
      <c r="D576" s="43" t="str">
        <f t="shared" si="40"/>
        <v>2-0925-0284</v>
      </c>
      <c r="E576" s="50" t="s">
        <v>512</v>
      </c>
      <c r="F576" s="43" t="str">
        <f t="shared" si="41"/>
        <v>GISELLE ANDREA</v>
      </c>
      <c r="G576" s="43" t="str">
        <f t="shared" si="42"/>
        <v>GISELLE</v>
      </c>
      <c r="H576" s="43" t="str">
        <f t="shared" si="43"/>
        <v>PILARTE MARCIA</v>
      </c>
      <c r="I576" s="43" t="str">
        <f t="shared" si="44"/>
        <v>GISELLE PILARTE MARCIA</v>
      </c>
      <c r="J576" s="35" t="s">
        <v>2243</v>
      </c>
      <c r="K576" s="37">
        <v>9</v>
      </c>
      <c r="L576" s="37">
        <v>5</v>
      </c>
      <c r="M576" s="37" t="s">
        <v>1</v>
      </c>
    </row>
    <row r="577" spans="2:13" x14ac:dyDescent="0.25">
      <c r="B577" s="48">
        <v>574</v>
      </c>
      <c r="C577" s="41">
        <v>209290507</v>
      </c>
      <c r="D577" s="43" t="str">
        <f t="shared" si="40"/>
        <v>2-0929-0507</v>
      </c>
      <c r="E577" s="34" t="s">
        <v>513</v>
      </c>
      <c r="F577" s="43" t="str">
        <f t="shared" si="41"/>
        <v>IAN JESUS</v>
      </c>
      <c r="G577" s="43" t="str">
        <f t="shared" si="42"/>
        <v>IAN</v>
      </c>
      <c r="H577" s="43" t="str">
        <f t="shared" si="43"/>
        <v>RODRIGUEZ GARCIA</v>
      </c>
      <c r="I577" s="43" t="str">
        <f t="shared" si="44"/>
        <v>IAN RODRIGUEZ GARCIA</v>
      </c>
      <c r="J577" s="35" t="s">
        <v>2243</v>
      </c>
      <c r="K577" s="37">
        <v>9</v>
      </c>
      <c r="L577" s="37">
        <v>5</v>
      </c>
      <c r="M577" s="37" t="s">
        <v>1</v>
      </c>
    </row>
    <row r="578" spans="2:13" x14ac:dyDescent="0.25">
      <c r="B578" s="48">
        <v>575</v>
      </c>
      <c r="C578" s="50">
        <v>209240262</v>
      </c>
      <c r="D578" s="43" t="str">
        <f t="shared" si="40"/>
        <v>2-0924-0262</v>
      </c>
      <c r="E578" s="50" t="s">
        <v>514</v>
      </c>
      <c r="F578" s="43" t="str">
        <f t="shared" si="41"/>
        <v>JIMENA</v>
      </c>
      <c r="G578" s="43" t="str">
        <f t="shared" si="42"/>
        <v>JIMENA</v>
      </c>
      <c r="H578" s="43" t="str">
        <f t="shared" si="43"/>
        <v>SALAS VILLALOBOS</v>
      </c>
      <c r="I578" s="43" t="str">
        <f t="shared" si="44"/>
        <v>JIMENA SALAS VILLALOBOS</v>
      </c>
      <c r="J578" s="35" t="s">
        <v>2243</v>
      </c>
      <c r="K578" s="37">
        <v>9</v>
      </c>
      <c r="L578" s="37">
        <v>5</v>
      </c>
      <c r="M578" s="37" t="s">
        <v>1</v>
      </c>
    </row>
    <row r="579" spans="2:13" x14ac:dyDescent="0.25">
      <c r="B579" s="46">
        <v>576</v>
      </c>
      <c r="C579" s="38">
        <v>402890187</v>
      </c>
      <c r="D579" s="43" t="str">
        <f t="shared" si="40"/>
        <v>4-0289-0187</v>
      </c>
      <c r="E579" s="38" t="s">
        <v>515</v>
      </c>
      <c r="F579" s="43" t="str">
        <f t="shared" si="41"/>
        <v>MELISSA</v>
      </c>
      <c r="G579" s="43" t="str">
        <f t="shared" si="42"/>
        <v>MELISSA</v>
      </c>
      <c r="H579" s="43" t="str">
        <f t="shared" si="43"/>
        <v>VIQUEZ VIQUEZ</v>
      </c>
      <c r="I579" s="43" t="str">
        <f t="shared" si="44"/>
        <v>MELISSA VIQUEZ VIQUEZ</v>
      </c>
      <c r="J579" s="35" t="s">
        <v>2243</v>
      </c>
      <c r="K579" s="37">
        <v>9</v>
      </c>
      <c r="L579" s="37">
        <v>5</v>
      </c>
      <c r="M579" s="37" t="s">
        <v>1</v>
      </c>
    </row>
    <row r="580" spans="2:13" x14ac:dyDescent="0.25">
      <c r="B580" s="48">
        <v>577</v>
      </c>
      <c r="C580" s="38">
        <v>402890186</v>
      </c>
      <c r="D580" s="43" t="str">
        <f t="shared" ref="D580:D643" si="45">IF(LEN(C580)=9,_xlfn.CONCAT(MID(C580,1,1),"-",MID(C580,2,4),"-",MID(C580,6,4)),TEXT(C580,"000000000000"))</f>
        <v>4-0289-0186</v>
      </c>
      <c r="E580" s="38" t="s">
        <v>516</v>
      </c>
      <c r="F580" s="43" t="str">
        <f t="shared" si="41"/>
        <v>YULISA</v>
      </c>
      <c r="G580" s="43" t="str">
        <f t="shared" si="42"/>
        <v>YULISA</v>
      </c>
      <c r="H580" s="43" t="str">
        <f t="shared" si="43"/>
        <v>VIQUEZ VIQUEZ</v>
      </c>
      <c r="I580" s="43" t="str">
        <f t="shared" si="44"/>
        <v>YULISA VIQUEZ VIQUEZ</v>
      </c>
      <c r="J580" s="35" t="s">
        <v>2243</v>
      </c>
      <c r="K580" s="37">
        <v>9</v>
      </c>
      <c r="L580" s="37">
        <v>5</v>
      </c>
      <c r="M580" s="37" t="s">
        <v>1</v>
      </c>
    </row>
    <row r="581" spans="2:13" x14ac:dyDescent="0.25">
      <c r="B581" s="48">
        <v>578</v>
      </c>
      <c r="C581" s="50">
        <v>209310546</v>
      </c>
      <c r="D581" s="43" t="str">
        <f t="shared" si="45"/>
        <v>2-0931-0546</v>
      </c>
      <c r="E581" s="50" t="s">
        <v>517</v>
      </c>
      <c r="F581" s="43" t="str">
        <f t="shared" ref="F581:F644" si="46">RIGHT(E581,LEN(E581)-SEARCH(" ",E581,SEARCH(" ",E581)+1))</f>
        <v>LINCY CAMILA</v>
      </c>
      <c r="G581" s="43" t="str">
        <f t="shared" ref="G581:G644" si="47">IFERROR(LEFT(F581,SEARCH(" ",F581,1)-1),F581)</f>
        <v>LINCY</v>
      </c>
      <c r="H581" s="43" t="str">
        <f t="shared" ref="H581:H644" si="48">LEFT(E581,SEARCH(" ",E581,SEARCH(" ",E581)+1)-1)</f>
        <v>AMADOR ARCE</v>
      </c>
      <c r="I581" s="43" t="str">
        <f t="shared" ref="I581:I644" si="49">_xlfn.CONCAT(G581," ",H581)</f>
        <v>LINCY AMADOR ARCE</v>
      </c>
      <c r="J581" s="35" t="s">
        <v>2243</v>
      </c>
      <c r="K581" s="37">
        <v>9</v>
      </c>
      <c r="L581" s="37">
        <v>5</v>
      </c>
      <c r="M581" s="37" t="s">
        <v>0</v>
      </c>
    </row>
    <row r="582" spans="2:13" x14ac:dyDescent="0.25">
      <c r="B582" s="46">
        <v>579</v>
      </c>
      <c r="C582" s="33">
        <v>209290997</v>
      </c>
      <c r="D582" s="43" t="str">
        <f t="shared" si="45"/>
        <v>2-0929-0997</v>
      </c>
      <c r="E582" s="33" t="s">
        <v>2233</v>
      </c>
      <c r="F582" s="43" t="str">
        <f t="shared" si="46"/>
        <v>OMAR FERNANDO</v>
      </c>
      <c r="G582" s="43" t="str">
        <f t="shared" si="47"/>
        <v>OMAR</v>
      </c>
      <c r="H582" s="43" t="str">
        <f t="shared" si="48"/>
        <v>ARAYA URBINA</v>
      </c>
      <c r="I582" s="43" t="str">
        <f t="shared" si="49"/>
        <v>OMAR ARAYA URBINA</v>
      </c>
      <c r="J582" s="35" t="s">
        <v>2243</v>
      </c>
      <c r="K582" s="37">
        <v>9</v>
      </c>
      <c r="L582" s="37">
        <v>5</v>
      </c>
      <c r="M582" s="37" t="s">
        <v>0</v>
      </c>
    </row>
    <row r="583" spans="2:13" x14ac:dyDescent="0.25">
      <c r="B583" s="48">
        <v>580</v>
      </c>
      <c r="C583" s="38">
        <v>209310643</v>
      </c>
      <c r="D583" s="43" t="str">
        <f t="shared" si="45"/>
        <v>2-0931-0643</v>
      </c>
      <c r="E583" s="38" t="s">
        <v>518</v>
      </c>
      <c r="F583" s="43" t="str">
        <f t="shared" si="46"/>
        <v>KENNY EMMANUEL</v>
      </c>
      <c r="G583" s="43" t="str">
        <f t="shared" si="47"/>
        <v>KENNY</v>
      </c>
      <c r="H583" s="43" t="str">
        <f t="shared" si="48"/>
        <v>CASTILLO FERNANDEZ</v>
      </c>
      <c r="I583" s="43" t="str">
        <f t="shared" si="49"/>
        <v>KENNY CASTILLO FERNANDEZ</v>
      </c>
      <c r="J583" s="35" t="s">
        <v>2243</v>
      </c>
      <c r="K583" s="37">
        <v>9</v>
      </c>
      <c r="L583" s="37">
        <v>5</v>
      </c>
      <c r="M583" s="37" t="s">
        <v>0</v>
      </c>
    </row>
    <row r="584" spans="2:13" x14ac:dyDescent="0.25">
      <c r="B584" s="48">
        <v>581</v>
      </c>
      <c r="C584" s="50">
        <v>209330631</v>
      </c>
      <c r="D584" s="43" t="str">
        <f t="shared" si="45"/>
        <v>2-0933-0631</v>
      </c>
      <c r="E584" s="50" t="s">
        <v>519</v>
      </c>
      <c r="F584" s="43" t="str">
        <f t="shared" si="46"/>
        <v>DANNA VALENTINA</v>
      </c>
      <c r="G584" s="43" t="str">
        <f t="shared" si="47"/>
        <v>DANNA</v>
      </c>
      <c r="H584" s="43" t="str">
        <f t="shared" si="48"/>
        <v>CORDERO ROJAS</v>
      </c>
      <c r="I584" s="43" t="str">
        <f t="shared" si="49"/>
        <v>DANNA CORDERO ROJAS</v>
      </c>
      <c r="J584" s="35" t="s">
        <v>2243</v>
      </c>
      <c r="K584" s="37">
        <v>9</v>
      </c>
      <c r="L584" s="37">
        <v>5</v>
      </c>
      <c r="M584" s="37" t="s">
        <v>0</v>
      </c>
    </row>
    <row r="585" spans="2:13" x14ac:dyDescent="0.25">
      <c r="B585" s="46">
        <v>582</v>
      </c>
      <c r="C585" s="38">
        <v>402870083</v>
      </c>
      <c r="D585" s="43" t="str">
        <f t="shared" si="45"/>
        <v>4-0287-0083</v>
      </c>
      <c r="E585" s="38" t="s">
        <v>520</v>
      </c>
      <c r="F585" s="43" t="str">
        <f t="shared" si="46"/>
        <v>ASHLY NICOLE</v>
      </c>
      <c r="G585" s="43" t="str">
        <f t="shared" si="47"/>
        <v>ASHLY</v>
      </c>
      <c r="H585" s="43" t="str">
        <f t="shared" si="48"/>
        <v>MEJIAS MENDEZ</v>
      </c>
      <c r="I585" s="43" t="str">
        <f t="shared" si="49"/>
        <v>ASHLY MEJIAS MENDEZ</v>
      </c>
      <c r="J585" s="35" t="s">
        <v>2243</v>
      </c>
      <c r="K585" s="37">
        <v>9</v>
      </c>
      <c r="L585" s="37">
        <v>5</v>
      </c>
      <c r="M585" s="37" t="s">
        <v>0</v>
      </c>
    </row>
    <row r="586" spans="2:13" x14ac:dyDescent="0.25">
      <c r="B586" s="48">
        <v>583</v>
      </c>
      <c r="C586" s="38">
        <v>209370004</v>
      </c>
      <c r="D586" s="43" t="str">
        <f t="shared" si="45"/>
        <v>2-0937-0004</v>
      </c>
      <c r="E586" s="38" t="s">
        <v>521</v>
      </c>
      <c r="F586" s="43" t="str">
        <f t="shared" si="46"/>
        <v>ANA BELEN</v>
      </c>
      <c r="G586" s="43" t="str">
        <f t="shared" si="47"/>
        <v>ANA</v>
      </c>
      <c r="H586" s="43" t="str">
        <f t="shared" si="48"/>
        <v>MORA LOPEZ</v>
      </c>
      <c r="I586" s="43" t="str">
        <f t="shared" si="49"/>
        <v>ANA MORA LOPEZ</v>
      </c>
      <c r="J586" s="35" t="s">
        <v>2243</v>
      </c>
      <c r="K586" s="37">
        <v>9</v>
      </c>
      <c r="L586" s="37">
        <v>5</v>
      </c>
      <c r="M586" s="37" t="s">
        <v>0</v>
      </c>
    </row>
    <row r="587" spans="2:13" x14ac:dyDescent="0.25">
      <c r="B587" s="48">
        <v>584</v>
      </c>
      <c r="C587" s="50">
        <v>209350282</v>
      </c>
      <c r="D587" s="43" t="str">
        <f t="shared" si="45"/>
        <v>2-0935-0282</v>
      </c>
      <c r="E587" s="50" t="s">
        <v>522</v>
      </c>
      <c r="F587" s="43" t="str">
        <f t="shared" si="46"/>
        <v>FABIOLA</v>
      </c>
      <c r="G587" s="43" t="str">
        <f t="shared" si="47"/>
        <v>FABIOLA</v>
      </c>
      <c r="H587" s="43" t="str">
        <f t="shared" si="48"/>
        <v>ORTIZ VALERIO</v>
      </c>
      <c r="I587" s="43" t="str">
        <f t="shared" si="49"/>
        <v>FABIOLA ORTIZ VALERIO</v>
      </c>
      <c r="J587" s="35" t="s">
        <v>2243</v>
      </c>
      <c r="K587" s="37">
        <v>9</v>
      </c>
      <c r="L587" s="37">
        <v>5</v>
      </c>
      <c r="M587" s="37" t="s">
        <v>0</v>
      </c>
    </row>
    <row r="588" spans="2:13" x14ac:dyDescent="0.25">
      <c r="B588" s="46">
        <v>585</v>
      </c>
      <c r="C588" s="50">
        <v>209280278</v>
      </c>
      <c r="D588" s="43" t="str">
        <f t="shared" si="45"/>
        <v>2-0928-0278</v>
      </c>
      <c r="E588" s="50" t="s">
        <v>2325</v>
      </c>
      <c r="F588" s="43" t="str">
        <f t="shared" si="46"/>
        <v>EZEQUIEL</v>
      </c>
      <c r="G588" s="43" t="str">
        <f t="shared" si="47"/>
        <v>EZEQUIEL</v>
      </c>
      <c r="H588" s="43" t="str">
        <f t="shared" si="48"/>
        <v>RAMIREZ DIAZ</v>
      </c>
      <c r="I588" s="43" t="str">
        <f t="shared" si="49"/>
        <v>EZEQUIEL RAMIREZ DIAZ</v>
      </c>
      <c r="J588" s="35" t="s">
        <v>2243</v>
      </c>
      <c r="K588" s="37">
        <v>9</v>
      </c>
      <c r="L588" s="37">
        <v>5</v>
      </c>
      <c r="M588" s="37" t="s">
        <v>0</v>
      </c>
    </row>
    <row r="589" spans="2:13" x14ac:dyDescent="0.25">
      <c r="B589" s="48">
        <v>586</v>
      </c>
      <c r="C589" s="50">
        <v>305930160</v>
      </c>
      <c r="D589" s="43" t="str">
        <f t="shared" si="45"/>
        <v>3-0593-0160</v>
      </c>
      <c r="E589" s="50" t="s">
        <v>2324</v>
      </c>
      <c r="F589" s="43" t="str">
        <f t="shared" si="46"/>
        <v>ARIEL</v>
      </c>
      <c r="G589" s="43" t="str">
        <f t="shared" si="47"/>
        <v>ARIEL</v>
      </c>
      <c r="H589" s="43" t="str">
        <f t="shared" si="48"/>
        <v>SANCHEZ ABARCA</v>
      </c>
      <c r="I589" s="43" t="str">
        <f t="shared" si="49"/>
        <v>ARIEL SANCHEZ ABARCA</v>
      </c>
      <c r="J589" s="35" t="s">
        <v>2243</v>
      </c>
      <c r="K589" s="37">
        <v>9</v>
      </c>
      <c r="L589" s="37">
        <v>5</v>
      </c>
      <c r="M589" s="37" t="s">
        <v>0</v>
      </c>
    </row>
    <row r="590" spans="2:13" x14ac:dyDescent="0.25">
      <c r="B590" s="48">
        <v>587</v>
      </c>
      <c r="C590" s="50">
        <v>402850715</v>
      </c>
      <c r="D590" s="43" t="str">
        <f t="shared" si="45"/>
        <v>4-0285-0715</v>
      </c>
      <c r="E590" s="50" t="s">
        <v>2323</v>
      </c>
      <c r="F590" s="43" t="str">
        <f t="shared" si="46"/>
        <v>MATIAS</v>
      </c>
      <c r="G590" s="43" t="str">
        <f t="shared" si="47"/>
        <v>MATIAS</v>
      </c>
      <c r="H590" s="43" t="str">
        <f t="shared" si="48"/>
        <v>SANCHO SANCHEZ</v>
      </c>
      <c r="I590" s="43" t="str">
        <f t="shared" si="49"/>
        <v>MATIAS SANCHO SANCHEZ</v>
      </c>
      <c r="J590" s="35" t="s">
        <v>2243</v>
      </c>
      <c r="K590" s="37">
        <v>9</v>
      </c>
      <c r="L590" s="37">
        <v>5</v>
      </c>
      <c r="M590" s="37" t="s">
        <v>0</v>
      </c>
    </row>
    <row r="591" spans="2:13" x14ac:dyDescent="0.25">
      <c r="B591" s="46">
        <v>588</v>
      </c>
      <c r="C591" s="38">
        <v>120820979</v>
      </c>
      <c r="D591" s="43" t="str">
        <f t="shared" si="45"/>
        <v>1-2082-0979</v>
      </c>
      <c r="E591" s="38" t="s">
        <v>2322</v>
      </c>
      <c r="F591" s="43" t="str">
        <f t="shared" si="46"/>
        <v>IGNASIO</v>
      </c>
      <c r="G591" s="43" t="str">
        <f t="shared" si="47"/>
        <v>IGNASIO</v>
      </c>
      <c r="H591" s="43" t="str">
        <f t="shared" si="48"/>
        <v>SOLIS CARAZO</v>
      </c>
      <c r="I591" s="43" t="str">
        <f t="shared" si="49"/>
        <v>IGNASIO SOLIS CARAZO</v>
      </c>
      <c r="J591" s="35" t="s">
        <v>2243</v>
      </c>
      <c r="K591" s="37">
        <v>9</v>
      </c>
      <c r="L591" s="37">
        <v>5</v>
      </c>
      <c r="M591" s="37" t="s">
        <v>0</v>
      </c>
    </row>
    <row r="592" spans="2:13" x14ac:dyDescent="0.25">
      <c r="B592" s="48">
        <v>589</v>
      </c>
      <c r="C592" s="38">
        <v>209280628</v>
      </c>
      <c r="D592" s="43" t="str">
        <f t="shared" si="45"/>
        <v>2-0928-0628</v>
      </c>
      <c r="E592" s="38" t="s">
        <v>2321</v>
      </c>
      <c r="F592" s="43" t="str">
        <f t="shared" si="46"/>
        <v>GABRIEL</v>
      </c>
      <c r="G592" s="43" t="str">
        <f t="shared" si="47"/>
        <v>GABRIEL</v>
      </c>
      <c r="H592" s="43" t="str">
        <f t="shared" si="48"/>
        <v>SUAREZ ROBLES</v>
      </c>
      <c r="I592" s="43" t="str">
        <f t="shared" si="49"/>
        <v>GABRIEL SUAREZ ROBLES</v>
      </c>
      <c r="J592" s="35" t="s">
        <v>2243</v>
      </c>
      <c r="K592" s="37">
        <v>9</v>
      </c>
      <c r="L592" s="37">
        <v>5</v>
      </c>
      <c r="M592" s="37" t="s">
        <v>0</v>
      </c>
    </row>
    <row r="593" spans="2:13" x14ac:dyDescent="0.25">
      <c r="B593" s="48">
        <v>590</v>
      </c>
      <c r="C593" s="33">
        <v>209330097</v>
      </c>
      <c r="D593" s="43" t="str">
        <f t="shared" si="45"/>
        <v>2-0933-0097</v>
      </c>
      <c r="E593" s="33" t="s">
        <v>2320</v>
      </c>
      <c r="F593" s="43" t="str">
        <f t="shared" si="46"/>
        <v>GERALD</v>
      </c>
      <c r="G593" s="43" t="str">
        <f t="shared" si="47"/>
        <v>GERALD</v>
      </c>
      <c r="H593" s="43" t="str">
        <f t="shared" si="48"/>
        <v>URBINA MACHADO</v>
      </c>
      <c r="I593" s="43" t="str">
        <f t="shared" si="49"/>
        <v>GERALD URBINA MACHADO</v>
      </c>
      <c r="J593" s="35" t="s">
        <v>2243</v>
      </c>
      <c r="K593" s="37">
        <v>9</v>
      </c>
      <c r="L593" s="37">
        <v>5</v>
      </c>
      <c r="M593" s="37" t="s">
        <v>0</v>
      </c>
    </row>
    <row r="594" spans="2:13" x14ac:dyDescent="0.25">
      <c r="B594" s="46">
        <v>591</v>
      </c>
      <c r="C594" s="38">
        <v>209320107</v>
      </c>
      <c r="D594" s="43" t="str">
        <f t="shared" si="45"/>
        <v>2-0932-0107</v>
      </c>
      <c r="E594" s="38" t="s">
        <v>2319</v>
      </c>
      <c r="F594" s="43" t="str">
        <f t="shared" si="46"/>
        <v>JOHANA</v>
      </c>
      <c r="G594" s="43" t="str">
        <f t="shared" si="47"/>
        <v>JOHANA</v>
      </c>
      <c r="H594" s="43" t="str">
        <f t="shared" si="48"/>
        <v>ALVAREZ ARAYA</v>
      </c>
      <c r="I594" s="43" t="str">
        <f t="shared" si="49"/>
        <v>JOHANA ALVAREZ ARAYA</v>
      </c>
      <c r="J594" s="35" t="s">
        <v>2243</v>
      </c>
      <c r="K594" s="37">
        <v>9</v>
      </c>
      <c r="L594" s="37">
        <v>6</v>
      </c>
      <c r="M594" s="37" t="s">
        <v>1</v>
      </c>
    </row>
    <row r="595" spans="2:13" x14ac:dyDescent="0.25">
      <c r="B595" s="48">
        <v>592</v>
      </c>
      <c r="C595" s="38">
        <v>209280470</v>
      </c>
      <c r="D595" s="43" t="str">
        <f t="shared" si="45"/>
        <v>2-0928-0470</v>
      </c>
      <c r="E595" s="38" t="s">
        <v>2318</v>
      </c>
      <c r="F595" s="43" t="str">
        <f t="shared" si="46"/>
        <v>SHERIL</v>
      </c>
      <c r="G595" s="43" t="str">
        <f t="shared" si="47"/>
        <v>SHERIL</v>
      </c>
      <c r="H595" s="43" t="str">
        <f t="shared" si="48"/>
        <v>ALVAREZ ARAYA</v>
      </c>
      <c r="I595" s="43" t="str">
        <f t="shared" si="49"/>
        <v>SHERIL ALVAREZ ARAYA</v>
      </c>
      <c r="J595" s="35" t="s">
        <v>2243</v>
      </c>
      <c r="K595" s="37">
        <v>9</v>
      </c>
      <c r="L595" s="37">
        <v>6</v>
      </c>
      <c r="M595" s="37" t="s">
        <v>1</v>
      </c>
    </row>
    <row r="596" spans="2:13" x14ac:dyDescent="0.25">
      <c r="B596" s="48">
        <v>593</v>
      </c>
      <c r="C596" s="52">
        <v>120720903</v>
      </c>
      <c r="D596" s="43" t="str">
        <f t="shared" si="45"/>
        <v>1-2072-0903</v>
      </c>
      <c r="E596" s="50" t="s">
        <v>2317</v>
      </c>
      <c r="F596" s="43" t="str">
        <f t="shared" si="46"/>
        <v>BIANKA</v>
      </c>
      <c r="G596" s="43" t="str">
        <f t="shared" si="47"/>
        <v>BIANKA</v>
      </c>
      <c r="H596" s="43" t="str">
        <f t="shared" si="48"/>
        <v>BALLESTERO ARIAS</v>
      </c>
      <c r="I596" s="43" t="str">
        <f t="shared" si="49"/>
        <v>BIANKA BALLESTERO ARIAS</v>
      </c>
      <c r="J596" s="35" t="s">
        <v>2243</v>
      </c>
      <c r="K596" s="37">
        <v>9</v>
      </c>
      <c r="L596" s="37">
        <v>6</v>
      </c>
      <c r="M596" s="37" t="s">
        <v>1</v>
      </c>
    </row>
    <row r="597" spans="2:13" x14ac:dyDescent="0.25">
      <c r="B597" s="46">
        <v>594</v>
      </c>
      <c r="C597" s="50">
        <v>209360408</v>
      </c>
      <c r="D597" s="43" t="str">
        <f t="shared" si="45"/>
        <v>2-0936-0408</v>
      </c>
      <c r="E597" s="50" t="s">
        <v>2316</v>
      </c>
      <c r="F597" s="43" t="str">
        <f t="shared" si="46"/>
        <v>JANNELY</v>
      </c>
      <c r="G597" s="43" t="str">
        <f t="shared" si="47"/>
        <v>JANNELY</v>
      </c>
      <c r="H597" s="43" t="str">
        <f t="shared" si="48"/>
        <v>BARRANTES MASIS</v>
      </c>
      <c r="I597" s="43" t="str">
        <f t="shared" si="49"/>
        <v>JANNELY BARRANTES MASIS</v>
      </c>
      <c r="J597" s="35" t="s">
        <v>2243</v>
      </c>
      <c r="K597" s="37">
        <v>9</v>
      </c>
      <c r="L597" s="37">
        <v>6</v>
      </c>
      <c r="M597" s="37" t="s">
        <v>1</v>
      </c>
    </row>
    <row r="598" spans="2:13" x14ac:dyDescent="0.25">
      <c r="B598" s="48">
        <v>595</v>
      </c>
      <c r="C598" s="52">
        <v>402880338</v>
      </c>
      <c r="D598" s="43" t="str">
        <f t="shared" si="45"/>
        <v>4-0288-0338</v>
      </c>
      <c r="E598" s="52" t="s">
        <v>2315</v>
      </c>
      <c r="F598" s="43" t="str">
        <f t="shared" si="46"/>
        <v>CALEB</v>
      </c>
      <c r="G598" s="43" t="str">
        <f t="shared" si="47"/>
        <v>CALEB</v>
      </c>
      <c r="H598" s="43" t="str">
        <f t="shared" si="48"/>
        <v>CHAVARRIA OBREGON</v>
      </c>
      <c r="I598" s="43" t="str">
        <f t="shared" si="49"/>
        <v>CALEB CHAVARRIA OBREGON</v>
      </c>
      <c r="J598" s="35" t="s">
        <v>2243</v>
      </c>
      <c r="K598" s="37">
        <v>9</v>
      </c>
      <c r="L598" s="37">
        <v>6</v>
      </c>
      <c r="M598" s="37" t="s">
        <v>1</v>
      </c>
    </row>
    <row r="599" spans="2:13" x14ac:dyDescent="0.25">
      <c r="B599" s="48">
        <v>596</v>
      </c>
      <c r="C599" s="38">
        <v>209310159</v>
      </c>
      <c r="D599" s="43" t="str">
        <f t="shared" si="45"/>
        <v>2-0931-0159</v>
      </c>
      <c r="E599" s="38" t="s">
        <v>525</v>
      </c>
      <c r="F599" s="43" t="str">
        <f t="shared" si="46"/>
        <v>ANDERSON</v>
      </c>
      <c r="G599" s="43" t="str">
        <f t="shared" si="47"/>
        <v>ANDERSON</v>
      </c>
      <c r="H599" s="43" t="str">
        <f t="shared" si="48"/>
        <v>GONZALEZ RODRIGUEZ</v>
      </c>
      <c r="I599" s="43" t="str">
        <f t="shared" si="49"/>
        <v>ANDERSON GONZALEZ RODRIGUEZ</v>
      </c>
      <c r="J599" s="35" t="s">
        <v>2243</v>
      </c>
      <c r="K599" s="37">
        <v>9</v>
      </c>
      <c r="L599" s="37">
        <v>6</v>
      </c>
      <c r="M599" s="37" t="s">
        <v>1</v>
      </c>
    </row>
    <row r="600" spans="2:13" x14ac:dyDescent="0.25">
      <c r="B600" s="46">
        <v>597</v>
      </c>
      <c r="C600" s="41">
        <v>209210911</v>
      </c>
      <c r="D600" s="43" t="str">
        <f t="shared" si="45"/>
        <v>2-0921-0911</v>
      </c>
      <c r="E600" s="34" t="s">
        <v>2314</v>
      </c>
      <c r="F600" s="43" t="str">
        <f t="shared" si="46"/>
        <v>ANDRES</v>
      </c>
      <c r="G600" s="43" t="str">
        <f t="shared" si="47"/>
        <v>ANDRES</v>
      </c>
      <c r="H600" s="43" t="str">
        <f t="shared" si="48"/>
        <v>JIMENEZ JIMENEZ</v>
      </c>
      <c r="I600" s="43" t="str">
        <f t="shared" si="49"/>
        <v>ANDRES JIMENEZ JIMENEZ</v>
      </c>
      <c r="J600" s="35" t="s">
        <v>2243</v>
      </c>
      <c r="K600" s="37">
        <v>9</v>
      </c>
      <c r="L600" s="37">
        <v>6</v>
      </c>
      <c r="M600" s="37" t="s">
        <v>1</v>
      </c>
    </row>
    <row r="601" spans="2:13" x14ac:dyDescent="0.25">
      <c r="B601" s="48">
        <v>598</v>
      </c>
      <c r="C601" s="38">
        <v>209330639</v>
      </c>
      <c r="D601" s="43" t="str">
        <f t="shared" si="45"/>
        <v>2-0933-0639</v>
      </c>
      <c r="E601" s="38" t="s">
        <v>2313</v>
      </c>
      <c r="F601" s="43" t="str">
        <f t="shared" si="46"/>
        <v>GABRIEL</v>
      </c>
      <c r="G601" s="43" t="str">
        <f t="shared" si="47"/>
        <v>GABRIEL</v>
      </c>
      <c r="H601" s="43" t="str">
        <f t="shared" si="48"/>
        <v>MARIN JIMENEZ</v>
      </c>
      <c r="I601" s="43" t="str">
        <f t="shared" si="49"/>
        <v>GABRIEL MARIN JIMENEZ</v>
      </c>
      <c r="J601" s="35" t="s">
        <v>2243</v>
      </c>
      <c r="K601" s="37">
        <v>9</v>
      </c>
      <c r="L601" s="37">
        <v>6</v>
      </c>
      <c r="M601" s="37" t="s">
        <v>1</v>
      </c>
    </row>
    <row r="602" spans="2:13" x14ac:dyDescent="0.25">
      <c r="B602" s="48">
        <v>599</v>
      </c>
      <c r="C602" s="38">
        <v>402890723</v>
      </c>
      <c r="D602" s="43" t="str">
        <f t="shared" si="45"/>
        <v>4-0289-0723</v>
      </c>
      <c r="E602" s="38" t="s">
        <v>2312</v>
      </c>
      <c r="F602" s="43" t="str">
        <f t="shared" si="46"/>
        <v>SERGIO</v>
      </c>
      <c r="G602" s="43" t="str">
        <f t="shared" si="47"/>
        <v>SERGIO</v>
      </c>
      <c r="H602" s="43" t="str">
        <f t="shared" si="48"/>
        <v>MIJANGO GONZALEZ</v>
      </c>
      <c r="I602" s="43" t="str">
        <f t="shared" si="49"/>
        <v>SERGIO MIJANGO GONZALEZ</v>
      </c>
      <c r="J602" s="35" t="s">
        <v>2243</v>
      </c>
      <c r="K602" s="37">
        <v>9</v>
      </c>
      <c r="L602" s="37">
        <v>6</v>
      </c>
      <c r="M602" s="37" t="s">
        <v>1</v>
      </c>
    </row>
    <row r="603" spans="2:13" x14ac:dyDescent="0.25">
      <c r="B603" s="46">
        <v>600</v>
      </c>
      <c r="C603" s="38">
        <v>209310432</v>
      </c>
      <c r="D603" s="43" t="str">
        <f t="shared" si="45"/>
        <v>2-0931-0432</v>
      </c>
      <c r="E603" s="38" t="s">
        <v>2311</v>
      </c>
      <c r="F603" s="43" t="str">
        <f t="shared" si="46"/>
        <v>GABRIEL</v>
      </c>
      <c r="G603" s="43" t="str">
        <f t="shared" si="47"/>
        <v>GABRIEL</v>
      </c>
      <c r="H603" s="43" t="str">
        <f t="shared" si="48"/>
        <v>PORRAS CABEZAS</v>
      </c>
      <c r="I603" s="43" t="str">
        <f t="shared" si="49"/>
        <v>GABRIEL PORRAS CABEZAS</v>
      </c>
      <c r="J603" s="35" t="s">
        <v>2243</v>
      </c>
      <c r="K603" s="37">
        <v>9</v>
      </c>
      <c r="L603" s="37">
        <v>6</v>
      </c>
      <c r="M603" s="37" t="s">
        <v>1</v>
      </c>
    </row>
    <row r="604" spans="2:13" x14ac:dyDescent="0.25">
      <c r="B604" s="48">
        <v>601</v>
      </c>
      <c r="C604" s="38">
        <v>209260622</v>
      </c>
      <c r="D604" s="43" t="str">
        <f t="shared" si="45"/>
        <v>2-0926-0622</v>
      </c>
      <c r="E604" s="38" t="s">
        <v>526</v>
      </c>
      <c r="F604" s="43" t="str">
        <f t="shared" si="46"/>
        <v>MARIANO</v>
      </c>
      <c r="G604" s="43" t="str">
        <f t="shared" si="47"/>
        <v>MARIANO</v>
      </c>
      <c r="H604" s="43" t="str">
        <f t="shared" si="48"/>
        <v>RODRIGUEZ GOMEZ</v>
      </c>
      <c r="I604" s="43" t="str">
        <f t="shared" si="49"/>
        <v>MARIANO RODRIGUEZ GOMEZ</v>
      </c>
      <c r="J604" s="35" t="s">
        <v>2243</v>
      </c>
      <c r="K604" s="37">
        <v>9</v>
      </c>
      <c r="L604" s="37">
        <v>6</v>
      </c>
      <c r="M604" s="37" t="s">
        <v>1</v>
      </c>
    </row>
    <row r="605" spans="2:13" x14ac:dyDescent="0.25">
      <c r="B605" s="48">
        <v>602</v>
      </c>
      <c r="C605" s="50">
        <v>209370958</v>
      </c>
      <c r="D605" s="43" t="str">
        <f t="shared" si="45"/>
        <v>2-0937-0958</v>
      </c>
      <c r="E605" s="50" t="s">
        <v>2310</v>
      </c>
      <c r="F605" s="43" t="str">
        <f t="shared" si="46"/>
        <v>MEISEL</v>
      </c>
      <c r="G605" s="43" t="str">
        <f t="shared" si="47"/>
        <v>MEISEL</v>
      </c>
      <c r="H605" s="43" t="str">
        <f t="shared" si="48"/>
        <v>SALAZAR CORRALES</v>
      </c>
      <c r="I605" s="43" t="str">
        <f t="shared" si="49"/>
        <v>MEISEL SALAZAR CORRALES</v>
      </c>
      <c r="J605" s="35" t="s">
        <v>2243</v>
      </c>
      <c r="K605" s="37">
        <v>9</v>
      </c>
      <c r="L605" s="37">
        <v>6</v>
      </c>
      <c r="M605" s="37" t="s">
        <v>1</v>
      </c>
    </row>
    <row r="606" spans="2:13" x14ac:dyDescent="0.25">
      <c r="B606" s="46">
        <v>603</v>
      </c>
      <c r="C606" s="38">
        <v>209260630</v>
      </c>
      <c r="D606" s="43" t="str">
        <f t="shared" si="45"/>
        <v>2-0926-0630</v>
      </c>
      <c r="E606" s="38" t="s">
        <v>2308</v>
      </c>
      <c r="F606" s="43" t="str">
        <f t="shared" si="46"/>
        <v>ELIAN</v>
      </c>
      <c r="G606" s="43" t="str">
        <f t="shared" si="47"/>
        <v>ELIAN</v>
      </c>
      <c r="H606" s="43" t="str">
        <f t="shared" si="48"/>
        <v>SOLORZANO VALLECILLO</v>
      </c>
      <c r="I606" s="43" t="str">
        <f t="shared" si="49"/>
        <v>ELIAN SOLORZANO VALLECILLO</v>
      </c>
      <c r="J606" s="35" t="s">
        <v>2243</v>
      </c>
      <c r="K606" s="37">
        <v>9</v>
      </c>
      <c r="L606" s="37">
        <v>6</v>
      </c>
      <c r="M606" s="37" t="s">
        <v>1</v>
      </c>
    </row>
    <row r="607" spans="2:13" x14ac:dyDescent="0.25">
      <c r="B607" s="48">
        <v>604</v>
      </c>
      <c r="C607" s="50">
        <v>209260771</v>
      </c>
      <c r="D607" s="43" t="str">
        <f t="shared" si="45"/>
        <v>2-0926-0771</v>
      </c>
      <c r="E607" s="50" t="s">
        <v>2309</v>
      </c>
      <c r="F607" s="43" t="str">
        <f t="shared" si="46"/>
        <v>DILAN</v>
      </c>
      <c r="G607" s="43" t="str">
        <f t="shared" si="47"/>
        <v>DILAN</v>
      </c>
      <c r="H607" s="43" t="str">
        <f t="shared" si="48"/>
        <v>CORDOBA CESPEDES</v>
      </c>
      <c r="I607" s="43" t="str">
        <f t="shared" si="49"/>
        <v>DILAN CORDOBA CESPEDES</v>
      </c>
      <c r="J607" s="35" t="s">
        <v>2243</v>
      </c>
      <c r="K607" s="37">
        <v>9</v>
      </c>
      <c r="L607" s="37">
        <v>6</v>
      </c>
      <c r="M607" s="37" t="s">
        <v>0</v>
      </c>
    </row>
    <row r="608" spans="2:13" x14ac:dyDescent="0.25">
      <c r="B608" s="48">
        <v>605</v>
      </c>
      <c r="C608" s="38">
        <v>120790042</v>
      </c>
      <c r="D608" s="43" t="str">
        <f t="shared" si="45"/>
        <v>1-2079-0042</v>
      </c>
      <c r="E608" s="38" t="s">
        <v>528</v>
      </c>
      <c r="F608" s="43" t="str">
        <f t="shared" si="46"/>
        <v>KENDALL</v>
      </c>
      <c r="G608" s="43" t="str">
        <f t="shared" si="47"/>
        <v>KENDALL</v>
      </c>
      <c r="H608" s="43" t="str">
        <f t="shared" si="48"/>
        <v>GARCIA MORA</v>
      </c>
      <c r="I608" s="43" t="str">
        <f t="shared" si="49"/>
        <v>KENDALL GARCIA MORA</v>
      </c>
      <c r="J608" s="35" t="s">
        <v>2243</v>
      </c>
      <c r="K608" s="37">
        <v>9</v>
      </c>
      <c r="L608" s="37">
        <v>6</v>
      </c>
      <c r="M608" s="37" t="s">
        <v>0</v>
      </c>
    </row>
    <row r="609" spans="2:13" x14ac:dyDescent="0.25">
      <c r="B609" s="46">
        <v>606</v>
      </c>
      <c r="C609" s="33">
        <v>402880214</v>
      </c>
      <c r="D609" s="43" t="str">
        <f t="shared" si="45"/>
        <v>4-0288-0214</v>
      </c>
      <c r="E609" s="38" t="s">
        <v>2307</v>
      </c>
      <c r="F609" s="43" t="str">
        <f t="shared" si="46"/>
        <v>SHARON</v>
      </c>
      <c r="G609" s="43" t="str">
        <f t="shared" si="47"/>
        <v>SHARON</v>
      </c>
      <c r="H609" s="43" t="str">
        <f t="shared" si="48"/>
        <v>HERNANDEZ CESPEDES</v>
      </c>
      <c r="I609" s="43" t="str">
        <f t="shared" si="49"/>
        <v>SHARON HERNANDEZ CESPEDES</v>
      </c>
      <c r="J609" s="35" t="s">
        <v>2243</v>
      </c>
      <c r="K609" s="37">
        <v>9</v>
      </c>
      <c r="L609" s="37">
        <v>6</v>
      </c>
      <c r="M609" s="37" t="s">
        <v>0</v>
      </c>
    </row>
    <row r="610" spans="2:13" x14ac:dyDescent="0.25">
      <c r="B610" s="48">
        <v>607</v>
      </c>
      <c r="C610" s="38">
        <v>209250797</v>
      </c>
      <c r="D610" s="43" t="str">
        <f t="shared" si="45"/>
        <v>2-0925-0797</v>
      </c>
      <c r="E610" s="38" t="s">
        <v>2306</v>
      </c>
      <c r="F610" s="43" t="str">
        <f t="shared" si="46"/>
        <v>JAQUELINE</v>
      </c>
      <c r="G610" s="43" t="str">
        <f t="shared" si="47"/>
        <v>JAQUELINE</v>
      </c>
      <c r="H610" s="43" t="str">
        <f t="shared" si="48"/>
        <v>HERNANDEZ MARADIAGA</v>
      </c>
      <c r="I610" s="43" t="str">
        <f t="shared" si="49"/>
        <v>JAQUELINE HERNANDEZ MARADIAGA</v>
      </c>
      <c r="J610" s="35" t="s">
        <v>2243</v>
      </c>
      <c r="K610" s="37">
        <v>9</v>
      </c>
      <c r="L610" s="37">
        <v>6</v>
      </c>
      <c r="M610" s="37" t="s">
        <v>0</v>
      </c>
    </row>
    <row r="611" spans="2:13" x14ac:dyDescent="0.25">
      <c r="B611" s="48">
        <v>608</v>
      </c>
      <c r="C611" s="38">
        <v>402890955</v>
      </c>
      <c r="D611" s="43" t="str">
        <f t="shared" si="45"/>
        <v>4-0289-0955</v>
      </c>
      <c r="E611" s="38" t="s">
        <v>2305</v>
      </c>
      <c r="F611" s="43" t="str">
        <f t="shared" si="46"/>
        <v>ISMAEL</v>
      </c>
      <c r="G611" s="43" t="str">
        <f t="shared" si="47"/>
        <v>ISMAEL</v>
      </c>
      <c r="H611" s="43" t="str">
        <f t="shared" si="48"/>
        <v>JIMENEZ RUIZ</v>
      </c>
      <c r="I611" s="43" t="str">
        <f t="shared" si="49"/>
        <v>ISMAEL JIMENEZ RUIZ</v>
      </c>
      <c r="J611" s="35" t="s">
        <v>2243</v>
      </c>
      <c r="K611" s="37">
        <v>9</v>
      </c>
      <c r="L611" s="37">
        <v>6</v>
      </c>
      <c r="M611" s="37" t="s">
        <v>0</v>
      </c>
    </row>
    <row r="612" spans="2:13" x14ac:dyDescent="0.25">
      <c r="B612" s="46">
        <v>609</v>
      </c>
      <c r="C612" s="50">
        <v>209310056</v>
      </c>
      <c r="D612" s="43" t="str">
        <f t="shared" si="45"/>
        <v>2-0931-0056</v>
      </c>
      <c r="E612" s="50" t="s">
        <v>529</v>
      </c>
      <c r="F612" s="43" t="str">
        <f t="shared" si="46"/>
        <v>SEBASTIAN</v>
      </c>
      <c r="G612" s="43" t="str">
        <f t="shared" si="47"/>
        <v>SEBASTIAN</v>
      </c>
      <c r="H612" s="43" t="str">
        <f t="shared" si="48"/>
        <v>MENA VEGA</v>
      </c>
      <c r="I612" s="43" t="str">
        <f t="shared" si="49"/>
        <v>SEBASTIAN MENA VEGA</v>
      </c>
      <c r="J612" s="35" t="s">
        <v>2243</v>
      </c>
      <c r="K612" s="37">
        <v>9</v>
      </c>
      <c r="L612" s="37">
        <v>6</v>
      </c>
      <c r="M612" s="37" t="s">
        <v>0</v>
      </c>
    </row>
    <row r="613" spans="2:13" x14ac:dyDescent="0.25">
      <c r="B613" s="48">
        <v>610</v>
      </c>
      <c r="C613" s="38">
        <v>209270766</v>
      </c>
      <c r="D613" s="43" t="str">
        <f t="shared" si="45"/>
        <v>2-0927-0766</v>
      </c>
      <c r="E613" s="38" t="s">
        <v>2304</v>
      </c>
      <c r="F613" s="43" t="str">
        <f t="shared" si="46"/>
        <v>DYLAN</v>
      </c>
      <c r="G613" s="43" t="str">
        <f t="shared" si="47"/>
        <v>DYLAN</v>
      </c>
      <c r="H613" s="43" t="str">
        <f t="shared" si="48"/>
        <v>MORALES RODRIGUEZ</v>
      </c>
      <c r="I613" s="43" t="str">
        <f t="shared" si="49"/>
        <v>DYLAN MORALES RODRIGUEZ</v>
      </c>
      <c r="J613" s="35" t="s">
        <v>2243</v>
      </c>
      <c r="K613" s="37">
        <v>9</v>
      </c>
      <c r="L613" s="37">
        <v>6</v>
      </c>
      <c r="M613" s="37" t="s">
        <v>0</v>
      </c>
    </row>
    <row r="614" spans="2:13" x14ac:dyDescent="0.25">
      <c r="B614" s="48">
        <v>611</v>
      </c>
      <c r="C614" s="50">
        <v>209340974</v>
      </c>
      <c r="D614" s="43" t="str">
        <f t="shared" si="45"/>
        <v>2-0934-0974</v>
      </c>
      <c r="E614" s="50" t="s">
        <v>2303</v>
      </c>
      <c r="F614" s="43" t="str">
        <f t="shared" si="46"/>
        <v>KRISTEL</v>
      </c>
      <c r="G614" s="43" t="str">
        <f t="shared" si="47"/>
        <v>KRISTEL</v>
      </c>
      <c r="H614" s="43" t="str">
        <f t="shared" si="48"/>
        <v>OVARES VILLEGAS</v>
      </c>
      <c r="I614" s="43" t="str">
        <f t="shared" si="49"/>
        <v>KRISTEL OVARES VILLEGAS</v>
      </c>
      <c r="J614" s="35" t="s">
        <v>2243</v>
      </c>
      <c r="K614" s="37">
        <v>9</v>
      </c>
      <c r="L614" s="37">
        <v>6</v>
      </c>
      <c r="M614" s="37" t="s">
        <v>0</v>
      </c>
    </row>
    <row r="615" spans="2:13" x14ac:dyDescent="0.25">
      <c r="B615" s="46">
        <v>612</v>
      </c>
      <c r="C615" s="38">
        <v>209250840</v>
      </c>
      <c r="D615" s="43" t="str">
        <f t="shared" si="45"/>
        <v>2-0925-0840</v>
      </c>
      <c r="E615" s="38" t="s">
        <v>530</v>
      </c>
      <c r="F615" s="43" t="str">
        <f t="shared" si="46"/>
        <v>KAMILE</v>
      </c>
      <c r="G615" s="43" t="str">
        <f t="shared" si="47"/>
        <v>KAMILE</v>
      </c>
      <c r="H615" s="43" t="str">
        <f t="shared" si="48"/>
        <v>RAMOS ARTAVIA</v>
      </c>
      <c r="I615" s="43" t="str">
        <f t="shared" si="49"/>
        <v>KAMILE RAMOS ARTAVIA</v>
      </c>
      <c r="J615" s="35" t="s">
        <v>2243</v>
      </c>
      <c r="K615" s="37">
        <v>9</v>
      </c>
      <c r="L615" s="37">
        <v>6</v>
      </c>
      <c r="M615" s="37" t="s">
        <v>0</v>
      </c>
    </row>
    <row r="616" spans="2:13" x14ac:dyDescent="0.25">
      <c r="B616" s="48">
        <v>613</v>
      </c>
      <c r="C616" s="38">
        <v>209250986</v>
      </c>
      <c r="D616" s="43" t="str">
        <f t="shared" si="45"/>
        <v>2-0925-0986</v>
      </c>
      <c r="E616" s="38" t="s">
        <v>2302</v>
      </c>
      <c r="F616" s="43" t="str">
        <f t="shared" si="46"/>
        <v>JONATAN</v>
      </c>
      <c r="G616" s="43" t="str">
        <f t="shared" si="47"/>
        <v>JONATAN</v>
      </c>
      <c r="H616" s="43" t="str">
        <f t="shared" si="48"/>
        <v>ROJAS LOPEZ</v>
      </c>
      <c r="I616" s="43" t="str">
        <f t="shared" si="49"/>
        <v>JONATAN ROJAS LOPEZ</v>
      </c>
      <c r="J616" s="35" t="s">
        <v>2243</v>
      </c>
      <c r="K616" s="37">
        <v>9</v>
      </c>
      <c r="L616" s="37">
        <v>6</v>
      </c>
      <c r="M616" s="37" t="s">
        <v>0</v>
      </c>
    </row>
    <row r="617" spans="2:13" x14ac:dyDescent="0.25">
      <c r="B617" s="48">
        <v>614</v>
      </c>
      <c r="C617" s="38">
        <v>209260769</v>
      </c>
      <c r="D617" s="43" t="str">
        <f t="shared" si="45"/>
        <v>2-0926-0769</v>
      </c>
      <c r="E617" s="38" t="s">
        <v>531</v>
      </c>
      <c r="F617" s="43" t="str">
        <f t="shared" si="46"/>
        <v>KIRK</v>
      </c>
      <c r="G617" s="43" t="str">
        <f t="shared" si="47"/>
        <v>KIRK</v>
      </c>
      <c r="H617" s="43" t="str">
        <f t="shared" si="48"/>
        <v>SEGURA ALVAREZ</v>
      </c>
      <c r="I617" s="43" t="str">
        <f t="shared" si="49"/>
        <v>KIRK SEGURA ALVAREZ</v>
      </c>
      <c r="J617" s="35" t="s">
        <v>2243</v>
      </c>
      <c r="K617" s="37">
        <v>9</v>
      </c>
      <c r="L617" s="37">
        <v>6</v>
      </c>
      <c r="M617" s="37" t="s">
        <v>0</v>
      </c>
    </row>
    <row r="618" spans="2:13" x14ac:dyDescent="0.25">
      <c r="B618" s="46">
        <v>615</v>
      </c>
      <c r="C618" s="38">
        <v>120810440</v>
      </c>
      <c r="D618" s="43" t="str">
        <f t="shared" si="45"/>
        <v>1-2081-0440</v>
      </c>
      <c r="E618" s="38" t="s">
        <v>532</v>
      </c>
      <c r="F618" s="43" t="str">
        <f t="shared" si="46"/>
        <v>MARIA JESUS</v>
      </c>
      <c r="G618" s="43" t="str">
        <f t="shared" si="47"/>
        <v>MARIA</v>
      </c>
      <c r="H618" s="43" t="str">
        <f t="shared" si="48"/>
        <v>VARGAS MEZA</v>
      </c>
      <c r="I618" s="43" t="str">
        <f t="shared" si="49"/>
        <v>MARIA VARGAS MEZA</v>
      </c>
      <c r="J618" s="35" t="s">
        <v>2243</v>
      </c>
      <c r="K618" s="37">
        <v>9</v>
      </c>
      <c r="L618" s="37">
        <v>6</v>
      </c>
      <c r="M618" s="37" t="s">
        <v>0</v>
      </c>
    </row>
    <row r="619" spans="2:13" x14ac:dyDescent="0.25">
      <c r="B619" s="48">
        <v>616</v>
      </c>
      <c r="C619" s="38">
        <v>120810439</v>
      </c>
      <c r="D619" s="43" t="str">
        <f t="shared" si="45"/>
        <v>1-2081-0439</v>
      </c>
      <c r="E619" s="38" t="s">
        <v>533</v>
      </c>
      <c r="F619" s="43" t="str">
        <f t="shared" si="46"/>
        <v>VALENTINA</v>
      </c>
      <c r="G619" s="43" t="str">
        <f t="shared" si="47"/>
        <v>VALENTINA</v>
      </c>
      <c r="H619" s="43" t="str">
        <f t="shared" si="48"/>
        <v>VARGAS MEZA</v>
      </c>
      <c r="I619" s="43" t="str">
        <f t="shared" si="49"/>
        <v>VALENTINA VARGAS MEZA</v>
      </c>
      <c r="J619" s="35" t="s">
        <v>2243</v>
      </c>
      <c r="K619" s="37">
        <v>9</v>
      </c>
      <c r="L619" s="37">
        <v>6</v>
      </c>
      <c r="M619" s="37" t="s">
        <v>0</v>
      </c>
    </row>
    <row r="620" spans="2:13" x14ac:dyDescent="0.25">
      <c r="B620" s="48">
        <v>617</v>
      </c>
      <c r="C620" s="38">
        <v>402860445</v>
      </c>
      <c r="D620" s="43" t="str">
        <f t="shared" si="45"/>
        <v>4-0286-0445</v>
      </c>
      <c r="E620" s="38" t="s">
        <v>534</v>
      </c>
      <c r="F620" s="43" t="str">
        <f t="shared" si="46"/>
        <v>MARIANGEL</v>
      </c>
      <c r="G620" s="43" t="str">
        <f t="shared" si="47"/>
        <v>MARIANGEL</v>
      </c>
      <c r="H620" s="43" t="str">
        <f t="shared" si="48"/>
        <v>BARRANTES MONTERO</v>
      </c>
      <c r="I620" s="43" t="str">
        <f t="shared" si="49"/>
        <v>MARIANGEL BARRANTES MONTERO</v>
      </c>
      <c r="J620" s="35" t="s">
        <v>2243</v>
      </c>
      <c r="K620" s="37">
        <v>9</v>
      </c>
      <c r="L620" s="37">
        <v>7</v>
      </c>
      <c r="M620" s="37" t="s">
        <v>1</v>
      </c>
    </row>
    <row r="621" spans="2:13" x14ac:dyDescent="0.25">
      <c r="B621" s="46">
        <v>618</v>
      </c>
      <c r="C621" s="38">
        <v>402870064</v>
      </c>
      <c r="D621" s="43" t="str">
        <f t="shared" si="45"/>
        <v>4-0287-0064</v>
      </c>
      <c r="E621" s="38" t="s">
        <v>2301</v>
      </c>
      <c r="F621" s="43" t="str">
        <f t="shared" si="46"/>
        <v>JULIAN</v>
      </c>
      <c r="G621" s="43" t="str">
        <f t="shared" si="47"/>
        <v>JULIAN</v>
      </c>
      <c r="H621" s="43" t="str">
        <f t="shared" si="48"/>
        <v>CHAVARRIA RODRIGUEZ</v>
      </c>
      <c r="I621" s="43" t="str">
        <f t="shared" si="49"/>
        <v>JULIAN CHAVARRIA RODRIGUEZ</v>
      </c>
      <c r="J621" s="35" t="s">
        <v>2243</v>
      </c>
      <c r="K621" s="37">
        <v>9</v>
      </c>
      <c r="L621" s="37">
        <v>7</v>
      </c>
      <c r="M621" s="37" t="s">
        <v>1</v>
      </c>
    </row>
    <row r="622" spans="2:13" x14ac:dyDescent="0.25">
      <c r="B622" s="48">
        <v>619</v>
      </c>
      <c r="C622" s="33">
        <v>120800295</v>
      </c>
      <c r="D622" s="43" t="str">
        <f t="shared" si="45"/>
        <v>1-2080-0295</v>
      </c>
      <c r="E622" s="38" t="s">
        <v>2300</v>
      </c>
      <c r="F622" s="43" t="str">
        <f t="shared" si="46"/>
        <v>SAMUEL</v>
      </c>
      <c r="G622" s="43" t="str">
        <f t="shared" si="47"/>
        <v>SAMUEL</v>
      </c>
      <c r="H622" s="43" t="str">
        <f t="shared" si="48"/>
        <v>CHAVARRIA VARGAS</v>
      </c>
      <c r="I622" s="43" t="str">
        <f t="shared" si="49"/>
        <v>SAMUEL CHAVARRIA VARGAS</v>
      </c>
      <c r="J622" s="35" t="s">
        <v>2243</v>
      </c>
      <c r="K622" s="37">
        <v>9</v>
      </c>
      <c r="L622" s="37">
        <v>7</v>
      </c>
      <c r="M622" s="37" t="s">
        <v>1</v>
      </c>
    </row>
    <row r="623" spans="2:13" x14ac:dyDescent="0.25">
      <c r="B623" s="48">
        <v>620</v>
      </c>
      <c r="C623" s="38">
        <v>402870932</v>
      </c>
      <c r="D623" s="43" t="str">
        <f t="shared" si="45"/>
        <v>4-0287-0932</v>
      </c>
      <c r="E623" s="38" t="s">
        <v>2299</v>
      </c>
      <c r="F623" s="43" t="str">
        <f t="shared" si="46"/>
        <v>CALEB</v>
      </c>
      <c r="G623" s="43" t="str">
        <f t="shared" si="47"/>
        <v>CALEB</v>
      </c>
      <c r="H623" s="43" t="str">
        <f t="shared" si="48"/>
        <v>FERNANDEZ BOLAÑOS</v>
      </c>
      <c r="I623" s="43" t="str">
        <f t="shared" si="49"/>
        <v>CALEB FERNANDEZ BOLAÑOS</v>
      </c>
      <c r="J623" s="35" t="s">
        <v>2243</v>
      </c>
      <c r="K623" s="37">
        <v>9</v>
      </c>
      <c r="L623" s="37">
        <v>7</v>
      </c>
      <c r="M623" s="37" t="s">
        <v>1</v>
      </c>
    </row>
    <row r="624" spans="2:13" x14ac:dyDescent="0.25">
      <c r="B624" s="46">
        <v>621</v>
      </c>
      <c r="C624" s="38">
        <v>209260827</v>
      </c>
      <c r="D624" s="43" t="str">
        <f t="shared" si="45"/>
        <v>2-0926-0827</v>
      </c>
      <c r="E624" s="38" t="s">
        <v>2298</v>
      </c>
      <c r="F624" s="43" t="str">
        <f t="shared" si="46"/>
        <v xml:space="preserve">LUCIANO </v>
      </c>
      <c r="G624" s="43" t="str">
        <f t="shared" si="47"/>
        <v>LUCIANO</v>
      </c>
      <c r="H624" s="43" t="str">
        <f t="shared" si="48"/>
        <v>GONZALEZ SANCHEZ</v>
      </c>
      <c r="I624" s="43" t="str">
        <f t="shared" si="49"/>
        <v>LUCIANO GONZALEZ SANCHEZ</v>
      </c>
      <c r="J624" s="35" t="s">
        <v>2243</v>
      </c>
      <c r="K624" s="37">
        <v>9</v>
      </c>
      <c r="L624" s="37">
        <v>7</v>
      </c>
      <c r="M624" s="37" t="s">
        <v>1</v>
      </c>
    </row>
    <row r="625" spans="2:13" x14ac:dyDescent="0.25">
      <c r="B625" s="48">
        <v>622</v>
      </c>
      <c r="C625" s="38">
        <v>209250051</v>
      </c>
      <c r="D625" s="43" t="str">
        <f t="shared" si="45"/>
        <v>2-0925-0051</v>
      </c>
      <c r="E625" s="38" t="s">
        <v>2297</v>
      </c>
      <c r="F625" s="43" t="str">
        <f t="shared" si="46"/>
        <v>ASHLYE</v>
      </c>
      <c r="G625" s="43" t="str">
        <f t="shared" si="47"/>
        <v>ASHLYE</v>
      </c>
      <c r="H625" s="43" t="str">
        <f t="shared" si="48"/>
        <v>JIMENEZ MENDEZ</v>
      </c>
      <c r="I625" s="43" t="str">
        <f t="shared" si="49"/>
        <v>ASHLYE JIMENEZ MENDEZ</v>
      </c>
      <c r="J625" s="35" t="s">
        <v>2243</v>
      </c>
      <c r="K625" s="37">
        <v>9</v>
      </c>
      <c r="L625" s="37">
        <v>7</v>
      </c>
      <c r="M625" s="37" t="s">
        <v>1</v>
      </c>
    </row>
    <row r="626" spans="2:13" x14ac:dyDescent="0.25">
      <c r="B626" s="48">
        <v>623</v>
      </c>
      <c r="C626" s="50">
        <v>703560514</v>
      </c>
      <c r="D626" s="43" t="str">
        <f t="shared" si="45"/>
        <v>7-0356-0514</v>
      </c>
      <c r="E626" s="50" t="s">
        <v>535</v>
      </c>
      <c r="F626" s="43" t="str">
        <f t="shared" si="46"/>
        <v>GABRIEL</v>
      </c>
      <c r="G626" s="43" t="str">
        <f t="shared" si="47"/>
        <v>GABRIEL</v>
      </c>
      <c r="H626" s="43" t="str">
        <f t="shared" si="48"/>
        <v>MARTINEZ LOPEZ</v>
      </c>
      <c r="I626" s="43" t="str">
        <f t="shared" si="49"/>
        <v>GABRIEL MARTINEZ LOPEZ</v>
      </c>
      <c r="J626" s="35" t="s">
        <v>2243</v>
      </c>
      <c r="K626" s="37">
        <v>9</v>
      </c>
      <c r="L626" s="37">
        <v>7</v>
      </c>
      <c r="M626" s="37" t="s">
        <v>1</v>
      </c>
    </row>
    <row r="627" spans="2:13" x14ac:dyDescent="0.25">
      <c r="B627" s="46">
        <v>624</v>
      </c>
      <c r="C627" s="38">
        <v>209130871</v>
      </c>
      <c r="D627" s="43" t="str">
        <f t="shared" si="45"/>
        <v>2-0913-0871</v>
      </c>
      <c r="E627" s="38" t="s">
        <v>536</v>
      </c>
      <c r="F627" s="43" t="str">
        <f t="shared" si="46"/>
        <v>EVANS</v>
      </c>
      <c r="G627" s="43" t="str">
        <f t="shared" si="47"/>
        <v>EVANS</v>
      </c>
      <c r="H627" s="43" t="str">
        <f t="shared" si="48"/>
        <v>MOLINA RUIZ</v>
      </c>
      <c r="I627" s="43" t="str">
        <f t="shared" si="49"/>
        <v>EVANS MOLINA RUIZ</v>
      </c>
      <c r="J627" s="35" t="s">
        <v>2243</v>
      </c>
      <c r="K627" s="37">
        <v>9</v>
      </c>
      <c r="L627" s="37">
        <v>7</v>
      </c>
      <c r="M627" s="37" t="s">
        <v>1</v>
      </c>
    </row>
    <row r="628" spans="2:13" x14ac:dyDescent="0.25">
      <c r="B628" s="48">
        <v>625</v>
      </c>
      <c r="C628" s="46">
        <v>209120357</v>
      </c>
      <c r="D628" s="43" t="str">
        <f t="shared" si="45"/>
        <v>2-0912-0357</v>
      </c>
      <c r="E628" s="32" t="s">
        <v>2295</v>
      </c>
      <c r="F628" s="43" t="str">
        <f t="shared" si="46"/>
        <v>KATTYE</v>
      </c>
      <c r="G628" s="43" t="str">
        <f t="shared" si="47"/>
        <v>KATTYE</v>
      </c>
      <c r="H628" s="43" t="str">
        <f t="shared" si="48"/>
        <v>QUESADA CHAVES</v>
      </c>
      <c r="I628" s="43" t="str">
        <f t="shared" si="49"/>
        <v>KATTYE QUESADA CHAVES</v>
      </c>
      <c r="J628" s="35" t="s">
        <v>2243</v>
      </c>
      <c r="K628" s="37">
        <v>9</v>
      </c>
      <c r="L628" s="37">
        <v>7</v>
      </c>
      <c r="M628" s="37" t="s">
        <v>1</v>
      </c>
    </row>
    <row r="629" spans="2:13" x14ac:dyDescent="0.25">
      <c r="B629" s="48">
        <v>626</v>
      </c>
      <c r="C629" s="38">
        <v>209260948</v>
      </c>
      <c r="D629" s="43" t="str">
        <f t="shared" si="45"/>
        <v>2-0926-0948</v>
      </c>
      <c r="E629" s="38" t="s">
        <v>2294</v>
      </c>
      <c r="F629" s="43" t="str">
        <f t="shared" si="46"/>
        <v>MATHIAS</v>
      </c>
      <c r="G629" s="43" t="str">
        <f t="shared" si="47"/>
        <v>MATHIAS</v>
      </c>
      <c r="H629" s="43" t="str">
        <f t="shared" si="48"/>
        <v>RODRIGUEZ HUERTAS</v>
      </c>
      <c r="I629" s="43" t="str">
        <f t="shared" si="49"/>
        <v>MATHIAS RODRIGUEZ HUERTAS</v>
      </c>
      <c r="J629" s="35" t="s">
        <v>2243</v>
      </c>
      <c r="K629" s="37">
        <v>9</v>
      </c>
      <c r="L629" s="37">
        <v>7</v>
      </c>
      <c r="M629" s="37" t="s">
        <v>1</v>
      </c>
    </row>
    <row r="630" spans="2:13" x14ac:dyDescent="0.25">
      <c r="B630" s="46">
        <v>627</v>
      </c>
      <c r="C630" s="50">
        <v>209310210</v>
      </c>
      <c r="D630" s="43" t="str">
        <f t="shared" si="45"/>
        <v>2-0931-0210</v>
      </c>
      <c r="E630" s="50" t="s">
        <v>2296</v>
      </c>
      <c r="F630" s="43" t="str">
        <f t="shared" si="46"/>
        <v>YAINDEN</v>
      </c>
      <c r="G630" s="43" t="str">
        <f t="shared" si="47"/>
        <v>YAINDEN</v>
      </c>
      <c r="H630" s="43" t="str">
        <f t="shared" si="48"/>
        <v>SALAZAR SALAS</v>
      </c>
      <c r="I630" s="43" t="str">
        <f t="shared" si="49"/>
        <v>YAINDEN SALAZAR SALAS</v>
      </c>
      <c r="J630" s="35" t="s">
        <v>2243</v>
      </c>
      <c r="K630" s="37">
        <v>9</v>
      </c>
      <c r="L630" s="37">
        <v>7</v>
      </c>
      <c r="M630" s="37" t="s">
        <v>1</v>
      </c>
    </row>
    <row r="631" spans="2:13" x14ac:dyDescent="0.25">
      <c r="B631" s="48">
        <v>628</v>
      </c>
      <c r="C631" s="38">
        <v>120750967</v>
      </c>
      <c r="D631" s="43" t="str">
        <f t="shared" si="45"/>
        <v>1-2075-0967</v>
      </c>
      <c r="E631" s="38" t="s">
        <v>537</v>
      </c>
      <c r="F631" s="43" t="str">
        <f t="shared" si="46"/>
        <v>JUSTIN JAFFET</v>
      </c>
      <c r="G631" s="43" t="str">
        <f t="shared" si="47"/>
        <v>JUSTIN</v>
      </c>
      <c r="H631" s="43" t="str">
        <f t="shared" si="48"/>
        <v>SOZA LUMBIZ</v>
      </c>
      <c r="I631" s="43" t="str">
        <f t="shared" si="49"/>
        <v>JUSTIN SOZA LUMBIZ</v>
      </c>
      <c r="J631" s="35" t="s">
        <v>2243</v>
      </c>
      <c r="K631" s="37">
        <v>9</v>
      </c>
      <c r="L631" s="37">
        <v>7</v>
      </c>
      <c r="M631" s="37" t="s">
        <v>1</v>
      </c>
    </row>
    <row r="632" spans="2:13" x14ac:dyDescent="0.25">
      <c r="B632" s="48">
        <v>629</v>
      </c>
      <c r="C632" s="33">
        <v>402870301</v>
      </c>
      <c r="D632" s="43" t="str">
        <f t="shared" si="45"/>
        <v>4-0287-0301</v>
      </c>
      <c r="E632" s="38" t="s">
        <v>2234</v>
      </c>
      <c r="F632" s="43" t="str">
        <f t="shared" si="46"/>
        <v>MARIANA</v>
      </c>
      <c r="G632" s="43" t="str">
        <f t="shared" si="47"/>
        <v>MARIANA</v>
      </c>
      <c r="H632" s="43" t="str">
        <f t="shared" si="48"/>
        <v>VARGAS SOLANO</v>
      </c>
      <c r="I632" s="43" t="str">
        <f t="shared" si="49"/>
        <v>MARIANA VARGAS SOLANO</v>
      </c>
      <c r="J632" s="35" t="s">
        <v>2243</v>
      </c>
      <c r="K632" s="37">
        <v>9</v>
      </c>
      <c r="L632" s="37">
        <v>7</v>
      </c>
      <c r="M632" s="37" t="s">
        <v>1</v>
      </c>
    </row>
    <row r="633" spans="2:13" x14ac:dyDescent="0.25">
      <c r="B633" s="46">
        <v>630</v>
      </c>
      <c r="C633" s="38">
        <v>402860034</v>
      </c>
      <c r="D633" s="43" t="str">
        <f t="shared" si="45"/>
        <v>4-0286-0034</v>
      </c>
      <c r="E633" s="38" t="s">
        <v>538</v>
      </c>
      <c r="F633" s="43" t="str">
        <f t="shared" si="46"/>
        <v>VALERIA</v>
      </c>
      <c r="G633" s="43" t="str">
        <f t="shared" si="47"/>
        <v>VALERIA</v>
      </c>
      <c r="H633" s="43" t="str">
        <f t="shared" si="48"/>
        <v>ARIAS OVIEDO</v>
      </c>
      <c r="I633" s="43" t="str">
        <f t="shared" si="49"/>
        <v>VALERIA ARIAS OVIEDO</v>
      </c>
      <c r="J633" s="35" t="s">
        <v>2243</v>
      </c>
      <c r="K633" s="37">
        <v>9</v>
      </c>
      <c r="L633" s="37">
        <v>7</v>
      </c>
      <c r="M633" s="37" t="s">
        <v>0</v>
      </c>
    </row>
    <row r="634" spans="2:13" x14ac:dyDescent="0.25">
      <c r="B634" s="48">
        <v>631</v>
      </c>
      <c r="C634" s="38">
        <v>402860607</v>
      </c>
      <c r="D634" s="43" t="str">
        <f t="shared" si="45"/>
        <v>4-0286-0607</v>
      </c>
      <c r="E634" s="38" t="s">
        <v>540</v>
      </c>
      <c r="F634" s="43" t="str">
        <f t="shared" si="46"/>
        <v>JEFERSON JOSUE</v>
      </c>
      <c r="G634" s="43" t="str">
        <f t="shared" si="47"/>
        <v>JEFERSON</v>
      </c>
      <c r="H634" s="43" t="str">
        <f t="shared" si="48"/>
        <v>CALVO SALAS</v>
      </c>
      <c r="I634" s="43" t="str">
        <f t="shared" si="49"/>
        <v>JEFERSON CALVO SALAS</v>
      </c>
      <c r="J634" s="35" t="s">
        <v>2243</v>
      </c>
      <c r="K634" s="37">
        <v>9</v>
      </c>
      <c r="L634" s="37">
        <v>7</v>
      </c>
      <c r="M634" s="37" t="s">
        <v>0</v>
      </c>
    </row>
    <row r="635" spans="2:13" x14ac:dyDescent="0.25">
      <c r="B635" s="48">
        <v>632</v>
      </c>
      <c r="C635" s="38">
        <v>402860608</v>
      </c>
      <c r="D635" s="43" t="str">
        <f t="shared" si="45"/>
        <v>4-0286-0608</v>
      </c>
      <c r="E635" s="38" t="s">
        <v>539</v>
      </c>
      <c r="F635" s="43" t="str">
        <f t="shared" si="46"/>
        <v>JERSON JOSE</v>
      </c>
      <c r="G635" s="43" t="str">
        <f t="shared" si="47"/>
        <v>JERSON</v>
      </c>
      <c r="H635" s="43" t="str">
        <f t="shared" si="48"/>
        <v>CALVO SALAS</v>
      </c>
      <c r="I635" s="43" t="str">
        <f t="shared" si="49"/>
        <v>JERSON CALVO SALAS</v>
      </c>
      <c r="J635" s="35" t="s">
        <v>2243</v>
      </c>
      <c r="K635" s="37">
        <v>9</v>
      </c>
      <c r="L635" s="37">
        <v>7</v>
      </c>
      <c r="M635" s="37" t="s">
        <v>0</v>
      </c>
    </row>
    <row r="636" spans="2:13" x14ac:dyDescent="0.25">
      <c r="B636" s="46">
        <v>633</v>
      </c>
      <c r="C636" s="50">
        <v>209290852</v>
      </c>
      <c r="D636" s="43" t="str">
        <f t="shared" si="45"/>
        <v>2-0929-0852</v>
      </c>
      <c r="E636" s="50" t="s">
        <v>541</v>
      </c>
      <c r="F636" s="43" t="str">
        <f t="shared" si="46"/>
        <v>KRISTEL ALEXA</v>
      </c>
      <c r="G636" s="43" t="str">
        <f t="shared" si="47"/>
        <v>KRISTEL</v>
      </c>
      <c r="H636" s="43" t="str">
        <f t="shared" si="48"/>
        <v>CASTRO JIMENEZ</v>
      </c>
      <c r="I636" s="43" t="str">
        <f t="shared" si="49"/>
        <v>KRISTEL CASTRO JIMENEZ</v>
      </c>
      <c r="J636" s="35" t="s">
        <v>2243</v>
      </c>
      <c r="K636" s="37">
        <v>9</v>
      </c>
      <c r="L636" s="37">
        <v>7</v>
      </c>
      <c r="M636" s="37" t="s">
        <v>0</v>
      </c>
    </row>
    <row r="637" spans="2:13" x14ac:dyDescent="0.25">
      <c r="B637" s="48">
        <v>634</v>
      </c>
      <c r="C637" s="50">
        <v>209260879</v>
      </c>
      <c r="D637" s="43" t="str">
        <f t="shared" si="45"/>
        <v>2-0926-0879</v>
      </c>
      <c r="E637" s="50" t="s">
        <v>542</v>
      </c>
      <c r="F637" s="43" t="str">
        <f t="shared" si="46"/>
        <v>YOREL SEBASTIAN</v>
      </c>
      <c r="G637" s="43" t="str">
        <f t="shared" si="47"/>
        <v>YOREL</v>
      </c>
      <c r="H637" s="43" t="str">
        <f t="shared" si="48"/>
        <v>CRUZ SOLERA</v>
      </c>
      <c r="I637" s="43" t="str">
        <f t="shared" si="49"/>
        <v>YOREL CRUZ SOLERA</v>
      </c>
      <c r="J637" s="35" t="s">
        <v>2243</v>
      </c>
      <c r="K637" s="37">
        <v>9</v>
      </c>
      <c r="L637" s="37">
        <v>7</v>
      </c>
      <c r="M637" s="37" t="s">
        <v>0</v>
      </c>
    </row>
    <row r="638" spans="2:13" x14ac:dyDescent="0.25">
      <c r="B638" s="48">
        <v>635</v>
      </c>
      <c r="C638" s="38">
        <v>209150359</v>
      </c>
      <c r="D638" s="43" t="str">
        <f t="shared" si="45"/>
        <v>2-0915-0359</v>
      </c>
      <c r="E638" s="38" t="s">
        <v>543</v>
      </c>
      <c r="F638" s="43" t="str">
        <f t="shared" si="46"/>
        <v>NORYERI LISSETH</v>
      </c>
      <c r="G638" s="43" t="str">
        <f t="shared" si="47"/>
        <v>NORYERI</v>
      </c>
      <c r="H638" s="43" t="str">
        <f t="shared" si="48"/>
        <v>GOMEZ ALVAREZ</v>
      </c>
      <c r="I638" s="43" t="str">
        <f t="shared" si="49"/>
        <v>NORYERI GOMEZ ALVAREZ</v>
      </c>
      <c r="J638" s="35" t="s">
        <v>2243</v>
      </c>
      <c r="K638" s="37">
        <v>9</v>
      </c>
      <c r="L638" s="37">
        <v>7</v>
      </c>
      <c r="M638" s="37" t="s">
        <v>0</v>
      </c>
    </row>
    <row r="639" spans="2:13" x14ac:dyDescent="0.25">
      <c r="B639" s="46">
        <v>636</v>
      </c>
      <c r="C639" s="38">
        <v>402870497</v>
      </c>
      <c r="D639" s="43" t="str">
        <f t="shared" si="45"/>
        <v>4-0287-0497</v>
      </c>
      <c r="E639" s="38" t="s">
        <v>2293</v>
      </c>
      <c r="F639" s="43" t="str">
        <f t="shared" si="46"/>
        <v>BRITTANY</v>
      </c>
      <c r="G639" s="43" t="str">
        <f t="shared" si="47"/>
        <v>BRITTANY</v>
      </c>
      <c r="H639" s="43" t="str">
        <f t="shared" si="48"/>
        <v>HERNANDEZ MIRANDA</v>
      </c>
      <c r="I639" s="43" t="str">
        <f t="shared" si="49"/>
        <v>BRITTANY HERNANDEZ MIRANDA</v>
      </c>
      <c r="J639" s="35" t="s">
        <v>2243</v>
      </c>
      <c r="K639" s="37">
        <v>9</v>
      </c>
      <c r="L639" s="37">
        <v>7</v>
      </c>
      <c r="M639" s="37" t="s">
        <v>0</v>
      </c>
    </row>
    <row r="640" spans="2:13" x14ac:dyDescent="0.25">
      <c r="B640" s="48">
        <v>637</v>
      </c>
      <c r="C640" s="38">
        <v>209340906</v>
      </c>
      <c r="D640" s="43" t="str">
        <f t="shared" si="45"/>
        <v>2-0934-0906</v>
      </c>
      <c r="E640" s="38" t="s">
        <v>544</v>
      </c>
      <c r="F640" s="43" t="str">
        <f t="shared" si="46"/>
        <v>SANTIAGO</v>
      </c>
      <c r="G640" s="43" t="str">
        <f t="shared" si="47"/>
        <v>SANTIAGO</v>
      </c>
      <c r="H640" s="43" t="str">
        <f t="shared" si="48"/>
        <v>JIMENEZ VARGAS</v>
      </c>
      <c r="I640" s="43" t="str">
        <f t="shared" si="49"/>
        <v>SANTIAGO JIMENEZ VARGAS</v>
      </c>
      <c r="J640" s="35" t="s">
        <v>2243</v>
      </c>
      <c r="K640" s="37">
        <v>9</v>
      </c>
      <c r="L640" s="37">
        <v>7</v>
      </c>
      <c r="M640" s="37" t="s">
        <v>0</v>
      </c>
    </row>
    <row r="641" spans="2:13" x14ac:dyDescent="0.25">
      <c r="B641" s="48">
        <v>638</v>
      </c>
      <c r="C641" s="38">
        <v>209120338</v>
      </c>
      <c r="D641" s="43" t="str">
        <f t="shared" si="45"/>
        <v>2-0912-0338</v>
      </c>
      <c r="E641" s="38" t="s">
        <v>545</v>
      </c>
      <c r="F641" s="43" t="str">
        <f t="shared" si="46"/>
        <v>SEBASTIAN</v>
      </c>
      <c r="G641" s="43" t="str">
        <f t="shared" si="47"/>
        <v>SEBASTIAN</v>
      </c>
      <c r="H641" s="43" t="str">
        <f t="shared" si="48"/>
        <v>MENDEZ GONZALEZ</v>
      </c>
      <c r="I641" s="43" t="str">
        <f t="shared" si="49"/>
        <v>SEBASTIAN MENDEZ GONZALEZ</v>
      </c>
      <c r="J641" s="35" t="s">
        <v>2243</v>
      </c>
      <c r="K641" s="37">
        <v>9</v>
      </c>
      <c r="L641" s="37">
        <v>7</v>
      </c>
      <c r="M641" s="37" t="s">
        <v>0</v>
      </c>
    </row>
    <row r="642" spans="2:13" x14ac:dyDescent="0.25">
      <c r="B642" s="46">
        <v>639</v>
      </c>
      <c r="C642" s="38">
        <v>402860421</v>
      </c>
      <c r="D642" s="43" t="str">
        <f t="shared" si="45"/>
        <v>4-0286-0421</v>
      </c>
      <c r="E642" s="38" t="s">
        <v>2292</v>
      </c>
      <c r="F642" s="43" t="str">
        <f t="shared" si="46"/>
        <v>HILARY</v>
      </c>
      <c r="G642" s="43" t="str">
        <f t="shared" si="47"/>
        <v>HILARY</v>
      </c>
      <c r="H642" s="43" t="str">
        <f t="shared" si="48"/>
        <v>MOREIRA BADILLA</v>
      </c>
      <c r="I642" s="43" t="str">
        <f t="shared" si="49"/>
        <v>HILARY MOREIRA BADILLA</v>
      </c>
      <c r="J642" s="35" t="s">
        <v>2243</v>
      </c>
      <c r="K642" s="37">
        <v>9</v>
      </c>
      <c r="L642" s="37">
        <v>7</v>
      </c>
      <c r="M642" s="37" t="s">
        <v>0</v>
      </c>
    </row>
    <row r="643" spans="2:13" x14ac:dyDescent="0.25">
      <c r="B643" s="48">
        <v>640</v>
      </c>
      <c r="C643" s="38">
        <v>402870728</v>
      </c>
      <c r="D643" s="43" t="str">
        <f t="shared" si="45"/>
        <v>4-0287-0728</v>
      </c>
      <c r="E643" s="38" t="s">
        <v>2291</v>
      </c>
      <c r="F643" s="43" t="str">
        <f t="shared" si="46"/>
        <v>SANTIAGO</v>
      </c>
      <c r="G643" s="43" t="str">
        <f t="shared" si="47"/>
        <v>SANTIAGO</v>
      </c>
      <c r="H643" s="43" t="str">
        <f t="shared" si="48"/>
        <v>OVIEDO CAMACHO</v>
      </c>
      <c r="I643" s="43" t="str">
        <f t="shared" si="49"/>
        <v>SANTIAGO OVIEDO CAMACHO</v>
      </c>
      <c r="J643" s="35" t="s">
        <v>2243</v>
      </c>
      <c r="K643" s="37">
        <v>9</v>
      </c>
      <c r="L643" s="37">
        <v>7</v>
      </c>
      <c r="M643" s="37" t="s">
        <v>0</v>
      </c>
    </row>
    <row r="644" spans="2:13" x14ac:dyDescent="0.25">
      <c r="B644" s="48">
        <v>641</v>
      </c>
      <c r="C644" s="33">
        <v>402850443</v>
      </c>
      <c r="D644" s="43" t="str">
        <f t="shared" ref="D644:D707" si="50">IF(LEN(C644)=9,_xlfn.CONCAT(MID(C644,1,1),"-",MID(C644,2,4),"-",MID(C644,6,4)),TEXT(C644,"000000000000"))</f>
        <v>4-0285-0443</v>
      </c>
      <c r="E644" s="33" t="s">
        <v>689</v>
      </c>
      <c r="F644" s="43" t="str">
        <f t="shared" si="46"/>
        <v>BRITNEY</v>
      </c>
      <c r="G644" s="43" t="str">
        <f t="shared" si="47"/>
        <v>BRITNEY</v>
      </c>
      <c r="H644" s="43" t="str">
        <f t="shared" si="48"/>
        <v>SALAS ACEVEDO</v>
      </c>
      <c r="I644" s="43" t="str">
        <f t="shared" si="49"/>
        <v>BRITNEY SALAS ACEVEDO</v>
      </c>
      <c r="J644" s="35" t="s">
        <v>2243</v>
      </c>
      <c r="K644" s="37">
        <v>9</v>
      </c>
      <c r="L644" s="37">
        <v>7</v>
      </c>
      <c r="M644" s="37" t="s">
        <v>0</v>
      </c>
    </row>
    <row r="645" spans="2:13" x14ac:dyDescent="0.25">
      <c r="B645" s="46">
        <v>642</v>
      </c>
      <c r="C645" s="33">
        <v>209360213</v>
      </c>
      <c r="D645" s="43" t="str">
        <f t="shared" si="50"/>
        <v>2-0936-0213</v>
      </c>
      <c r="E645" s="38" t="s">
        <v>2290</v>
      </c>
      <c r="F645" s="43" t="str">
        <f t="shared" ref="F645:F708" si="51">RIGHT(E645,LEN(E645)-SEARCH(" ",E645,SEARCH(" ",E645)+1))</f>
        <v>FERNANDA</v>
      </c>
      <c r="G645" s="43" t="str">
        <f t="shared" ref="G645:G708" si="52">IFERROR(LEFT(F645,SEARCH(" ",F645,1)-1),F645)</f>
        <v>FERNANDA</v>
      </c>
      <c r="H645" s="43" t="str">
        <f t="shared" ref="H645:H708" si="53">LEFT(E645,SEARCH(" ",E645,SEARCH(" ",E645)+1)-1)</f>
        <v>SEGURA ARIAS</v>
      </c>
      <c r="I645" s="43" t="str">
        <f t="shared" ref="I645:I708" si="54">_xlfn.CONCAT(G645," ",H645)</f>
        <v>FERNANDA SEGURA ARIAS</v>
      </c>
      <c r="J645" s="35" t="s">
        <v>2243</v>
      </c>
      <c r="K645" s="37">
        <v>9</v>
      </c>
      <c r="L645" s="37">
        <v>7</v>
      </c>
      <c r="M645" s="37" t="s">
        <v>0</v>
      </c>
    </row>
    <row r="646" spans="2:13" x14ac:dyDescent="0.25">
      <c r="B646" s="48">
        <v>643</v>
      </c>
      <c r="C646" s="33">
        <v>209610413</v>
      </c>
      <c r="D646" s="43" t="str">
        <f t="shared" si="50"/>
        <v>2-0961-0413</v>
      </c>
      <c r="E646" s="33" t="s">
        <v>2289</v>
      </c>
      <c r="F646" s="43" t="str">
        <f t="shared" si="51"/>
        <v>ELIZABETH</v>
      </c>
      <c r="G646" s="43" t="str">
        <f t="shared" si="52"/>
        <v>ELIZABETH</v>
      </c>
      <c r="H646" s="43" t="str">
        <f t="shared" si="53"/>
        <v>GALEANO JARQUIN</v>
      </c>
      <c r="I646" s="43" t="str">
        <f t="shared" si="54"/>
        <v>ELIZABETH GALEANO JARQUIN</v>
      </c>
      <c r="J646" s="37" t="s">
        <v>546</v>
      </c>
      <c r="K646" s="37">
        <v>10</v>
      </c>
      <c r="L646" s="37">
        <v>1</v>
      </c>
      <c r="M646" s="37" t="s">
        <v>1</v>
      </c>
    </row>
    <row r="647" spans="2:13" x14ac:dyDescent="0.25">
      <c r="B647" s="48">
        <v>644</v>
      </c>
      <c r="C647" s="33">
        <v>120610270</v>
      </c>
      <c r="D647" s="43" t="str">
        <f t="shared" si="50"/>
        <v>1-2061-0270</v>
      </c>
      <c r="E647" s="33" t="s">
        <v>547</v>
      </c>
      <c r="F647" s="43" t="str">
        <f t="shared" si="51"/>
        <v>MATHIAS</v>
      </c>
      <c r="G647" s="43" t="str">
        <f t="shared" si="52"/>
        <v>MATHIAS</v>
      </c>
      <c r="H647" s="43" t="str">
        <f t="shared" si="53"/>
        <v>MENDEZ CAMPOS</v>
      </c>
      <c r="I647" s="43" t="str">
        <f t="shared" si="54"/>
        <v>MATHIAS MENDEZ CAMPOS</v>
      </c>
      <c r="J647" s="37" t="s">
        <v>546</v>
      </c>
      <c r="K647" s="37">
        <v>10</v>
      </c>
      <c r="L647" s="37">
        <v>1</v>
      </c>
      <c r="M647" s="37" t="s">
        <v>1</v>
      </c>
    </row>
    <row r="648" spans="2:13" x14ac:dyDescent="0.25">
      <c r="B648" s="46">
        <v>645</v>
      </c>
      <c r="C648" s="33">
        <v>209160684</v>
      </c>
      <c r="D648" s="43" t="str">
        <f t="shared" si="50"/>
        <v>2-0916-0684</v>
      </c>
      <c r="E648" s="33" t="s">
        <v>2288</v>
      </c>
      <c r="F648" s="43" t="str">
        <f t="shared" si="51"/>
        <v>BREYNER</v>
      </c>
      <c r="G648" s="43" t="str">
        <f t="shared" si="52"/>
        <v>BREYNER</v>
      </c>
      <c r="H648" s="43" t="str">
        <f t="shared" si="53"/>
        <v>MEZA SOLANO</v>
      </c>
      <c r="I648" s="43" t="str">
        <f t="shared" si="54"/>
        <v>BREYNER MEZA SOLANO</v>
      </c>
      <c r="J648" s="37" t="s">
        <v>546</v>
      </c>
      <c r="K648" s="37">
        <v>10</v>
      </c>
      <c r="L648" s="37">
        <v>1</v>
      </c>
      <c r="M648" s="37" t="s">
        <v>1</v>
      </c>
    </row>
    <row r="649" spans="2:13" x14ac:dyDescent="0.25">
      <c r="B649" s="48">
        <v>646</v>
      </c>
      <c r="C649" s="33">
        <v>120460521</v>
      </c>
      <c r="D649" s="43" t="str">
        <f t="shared" si="50"/>
        <v>1-2046-0521</v>
      </c>
      <c r="E649" s="33" t="s">
        <v>548</v>
      </c>
      <c r="F649" s="43" t="str">
        <f t="shared" si="51"/>
        <v>ANGELO</v>
      </c>
      <c r="G649" s="43" t="str">
        <f t="shared" si="52"/>
        <v>ANGELO</v>
      </c>
      <c r="H649" s="43" t="str">
        <f t="shared" si="53"/>
        <v>MORA SANDI</v>
      </c>
      <c r="I649" s="43" t="str">
        <f t="shared" si="54"/>
        <v>ANGELO MORA SANDI</v>
      </c>
      <c r="J649" s="37" t="s">
        <v>546</v>
      </c>
      <c r="K649" s="37">
        <v>10</v>
      </c>
      <c r="L649" s="37">
        <v>1</v>
      </c>
      <c r="M649" s="37" t="s">
        <v>1</v>
      </c>
    </row>
    <row r="650" spans="2:13" x14ac:dyDescent="0.25">
      <c r="B650" s="48">
        <v>647</v>
      </c>
      <c r="C650" s="33">
        <v>402820540</v>
      </c>
      <c r="D650" s="43" t="str">
        <f t="shared" si="50"/>
        <v>4-0282-0540</v>
      </c>
      <c r="E650" s="33" t="s">
        <v>2287</v>
      </c>
      <c r="F650" s="43" t="str">
        <f t="shared" si="51"/>
        <v>DILAN</v>
      </c>
      <c r="G650" s="43" t="str">
        <f t="shared" si="52"/>
        <v>DILAN</v>
      </c>
      <c r="H650" s="43" t="str">
        <f t="shared" si="53"/>
        <v>NAVARRETE SIBAJA</v>
      </c>
      <c r="I650" s="43" t="str">
        <f t="shared" si="54"/>
        <v>DILAN NAVARRETE SIBAJA</v>
      </c>
      <c r="J650" s="37" t="s">
        <v>546</v>
      </c>
      <c r="K650" s="37">
        <v>10</v>
      </c>
      <c r="L650" s="37">
        <v>1</v>
      </c>
      <c r="M650" s="37" t="s">
        <v>1</v>
      </c>
    </row>
    <row r="651" spans="2:13" x14ac:dyDescent="0.25">
      <c r="B651" s="46">
        <v>648</v>
      </c>
      <c r="C651" s="33">
        <v>402850469</v>
      </c>
      <c r="D651" s="43" t="str">
        <f t="shared" si="50"/>
        <v>4-0285-0469</v>
      </c>
      <c r="E651" s="33" t="s">
        <v>2286</v>
      </c>
      <c r="F651" s="43" t="str">
        <f t="shared" si="51"/>
        <v>MAYKEL</v>
      </c>
      <c r="G651" s="43" t="str">
        <f t="shared" si="52"/>
        <v>MAYKEL</v>
      </c>
      <c r="H651" s="43" t="str">
        <f t="shared" si="53"/>
        <v>RIVAS GONZALEZ</v>
      </c>
      <c r="I651" s="43" t="str">
        <f t="shared" si="54"/>
        <v>MAYKEL RIVAS GONZALEZ</v>
      </c>
      <c r="J651" s="37" t="s">
        <v>546</v>
      </c>
      <c r="K651" s="37">
        <v>10</v>
      </c>
      <c r="L651" s="37">
        <v>1</v>
      </c>
      <c r="M651" s="37" t="s">
        <v>1</v>
      </c>
    </row>
    <row r="652" spans="2:13" x14ac:dyDescent="0.25">
      <c r="B652" s="48">
        <v>649</v>
      </c>
      <c r="C652" s="33">
        <v>209180957</v>
      </c>
      <c r="D652" s="43" t="str">
        <f t="shared" si="50"/>
        <v>2-0918-0957</v>
      </c>
      <c r="E652" s="33" t="s">
        <v>2285</v>
      </c>
      <c r="F652" s="43" t="str">
        <f t="shared" si="51"/>
        <v>JASIRY</v>
      </c>
      <c r="G652" s="43" t="str">
        <f t="shared" si="52"/>
        <v>JASIRY</v>
      </c>
      <c r="H652" s="43" t="str">
        <f t="shared" si="53"/>
        <v>SANCHEZ ARIAS</v>
      </c>
      <c r="I652" s="43" t="str">
        <f t="shared" si="54"/>
        <v>JASIRY SANCHEZ ARIAS</v>
      </c>
      <c r="J652" s="37" t="s">
        <v>546</v>
      </c>
      <c r="K652" s="37">
        <v>10</v>
      </c>
      <c r="L652" s="37">
        <v>1</v>
      </c>
      <c r="M652" s="37" t="s">
        <v>1</v>
      </c>
    </row>
    <row r="653" spans="2:13" x14ac:dyDescent="0.25">
      <c r="B653" s="48">
        <v>650</v>
      </c>
      <c r="C653" s="33">
        <v>402840898</v>
      </c>
      <c r="D653" s="43" t="str">
        <f t="shared" si="50"/>
        <v>4-0284-0898</v>
      </c>
      <c r="E653" s="33" t="s">
        <v>2284</v>
      </c>
      <c r="F653" s="43" t="str">
        <f t="shared" si="51"/>
        <v>MATIAS</v>
      </c>
      <c r="G653" s="43" t="str">
        <f t="shared" si="52"/>
        <v>MATIAS</v>
      </c>
      <c r="H653" s="43" t="str">
        <f t="shared" si="53"/>
        <v>UMAÑA HERNANDEZ</v>
      </c>
      <c r="I653" s="43" t="str">
        <f t="shared" si="54"/>
        <v>MATIAS UMAÑA HERNANDEZ</v>
      </c>
      <c r="J653" s="37" t="s">
        <v>546</v>
      </c>
      <c r="K653" s="37">
        <v>10</v>
      </c>
      <c r="L653" s="37">
        <v>1</v>
      </c>
      <c r="M653" s="37" t="s">
        <v>1</v>
      </c>
    </row>
    <row r="654" spans="2:13" x14ac:dyDescent="0.25">
      <c r="B654" s="46">
        <v>651</v>
      </c>
      <c r="C654" s="33">
        <v>209240382</v>
      </c>
      <c r="D654" s="43" t="str">
        <f t="shared" si="50"/>
        <v>2-0924-0382</v>
      </c>
      <c r="E654" s="33" t="s">
        <v>549</v>
      </c>
      <c r="F654" s="43" t="str">
        <f t="shared" si="51"/>
        <v>AMBERLY</v>
      </c>
      <c r="G654" s="43" t="str">
        <f t="shared" si="52"/>
        <v>AMBERLY</v>
      </c>
      <c r="H654" s="43" t="str">
        <f t="shared" si="53"/>
        <v>ALFARO CARDENAS</v>
      </c>
      <c r="I654" s="43" t="str">
        <f t="shared" si="54"/>
        <v>AMBERLY ALFARO CARDENAS</v>
      </c>
      <c r="J654" s="37" t="s">
        <v>550</v>
      </c>
      <c r="K654" s="37">
        <v>10</v>
      </c>
      <c r="L654" s="37">
        <v>1</v>
      </c>
      <c r="M654" s="37" t="s">
        <v>0</v>
      </c>
    </row>
    <row r="655" spans="2:13" x14ac:dyDescent="0.25">
      <c r="B655" s="48">
        <v>652</v>
      </c>
      <c r="C655" s="33">
        <v>209210914</v>
      </c>
      <c r="D655" s="43" t="str">
        <f t="shared" si="50"/>
        <v>2-0921-0914</v>
      </c>
      <c r="E655" s="33" t="s">
        <v>2283</v>
      </c>
      <c r="F655" s="43" t="str">
        <f t="shared" si="51"/>
        <v>DERECK</v>
      </c>
      <c r="G655" s="43" t="str">
        <f t="shared" si="52"/>
        <v>DERECK</v>
      </c>
      <c r="H655" s="43" t="str">
        <f t="shared" si="53"/>
        <v>BATRES ESQUIVEL</v>
      </c>
      <c r="I655" s="43" t="str">
        <f t="shared" si="54"/>
        <v>DERECK BATRES ESQUIVEL</v>
      </c>
      <c r="J655" s="37" t="s">
        <v>550</v>
      </c>
      <c r="K655" s="37">
        <v>10</v>
      </c>
      <c r="L655" s="37">
        <v>1</v>
      </c>
      <c r="M655" s="37" t="s">
        <v>0</v>
      </c>
    </row>
    <row r="656" spans="2:13" x14ac:dyDescent="0.25">
      <c r="B656" s="48">
        <v>653</v>
      </c>
      <c r="C656" s="33">
        <v>402830886</v>
      </c>
      <c r="D656" s="43" t="str">
        <f t="shared" si="50"/>
        <v>4-0283-0886</v>
      </c>
      <c r="E656" s="33" t="s">
        <v>2282</v>
      </c>
      <c r="F656" s="43" t="str">
        <f t="shared" si="51"/>
        <v>BRITTANY</v>
      </c>
      <c r="G656" s="43" t="str">
        <f t="shared" si="52"/>
        <v>BRITTANY</v>
      </c>
      <c r="H656" s="43" t="str">
        <f t="shared" si="53"/>
        <v>FERNANDEZ UGALDE</v>
      </c>
      <c r="I656" s="43" t="str">
        <f t="shared" si="54"/>
        <v>BRITTANY FERNANDEZ UGALDE</v>
      </c>
      <c r="J656" s="37" t="s">
        <v>550</v>
      </c>
      <c r="K656" s="37">
        <v>10</v>
      </c>
      <c r="L656" s="37">
        <v>1</v>
      </c>
      <c r="M656" s="37" t="s">
        <v>0</v>
      </c>
    </row>
    <row r="657" spans="2:13" x14ac:dyDescent="0.25">
      <c r="B657" s="46">
        <v>654</v>
      </c>
      <c r="C657" s="44">
        <v>999990654</v>
      </c>
      <c r="D657" s="53" t="s">
        <v>551</v>
      </c>
      <c r="E657" s="33" t="s">
        <v>552</v>
      </c>
      <c r="F657" s="43" t="str">
        <f t="shared" si="51"/>
        <v xml:space="preserve">JIUVER </v>
      </c>
      <c r="G657" s="43" t="str">
        <f t="shared" si="52"/>
        <v>JIUVER</v>
      </c>
      <c r="H657" s="43" t="str">
        <f t="shared" si="53"/>
        <v>GONZALEZ HUETE</v>
      </c>
      <c r="I657" s="43" t="str">
        <f t="shared" si="54"/>
        <v>JIUVER GONZALEZ HUETE</v>
      </c>
      <c r="J657" s="37" t="s">
        <v>550</v>
      </c>
      <c r="K657" s="37">
        <v>10</v>
      </c>
      <c r="L657" s="37">
        <v>1</v>
      </c>
      <c r="M657" s="37" t="s">
        <v>0</v>
      </c>
    </row>
    <row r="658" spans="2:13" x14ac:dyDescent="0.25">
      <c r="B658" s="48">
        <v>655</v>
      </c>
      <c r="C658" s="52">
        <v>209080436</v>
      </c>
      <c r="D658" s="43" t="str">
        <f t="shared" si="50"/>
        <v>2-0908-0436</v>
      </c>
      <c r="E658" s="52" t="s">
        <v>2235</v>
      </c>
      <c r="F658" s="43" t="str">
        <f t="shared" si="51"/>
        <v>KIARA</v>
      </c>
      <c r="G658" s="43" t="str">
        <f t="shared" si="52"/>
        <v>KIARA</v>
      </c>
      <c r="H658" s="43" t="str">
        <f t="shared" si="53"/>
        <v>HERNANDEZ RAMIREZ</v>
      </c>
      <c r="I658" s="43" t="str">
        <f t="shared" si="54"/>
        <v>KIARA HERNANDEZ RAMIREZ</v>
      </c>
      <c r="J658" s="37" t="s">
        <v>629</v>
      </c>
      <c r="K658" s="37">
        <v>10</v>
      </c>
      <c r="L658" s="37">
        <v>1</v>
      </c>
      <c r="M658" s="37" t="s">
        <v>0</v>
      </c>
    </row>
    <row r="659" spans="2:13" x14ac:dyDescent="0.25">
      <c r="B659" s="48">
        <v>656</v>
      </c>
      <c r="C659" s="39">
        <v>120140031</v>
      </c>
      <c r="D659" s="43" t="str">
        <f t="shared" si="50"/>
        <v>1-2014-0031</v>
      </c>
      <c r="E659" s="39" t="s">
        <v>2281</v>
      </c>
      <c r="F659" s="43" t="str">
        <f t="shared" si="51"/>
        <v>RAICHEL</v>
      </c>
      <c r="G659" s="43" t="str">
        <f t="shared" si="52"/>
        <v>RAICHEL</v>
      </c>
      <c r="H659" s="43" t="str">
        <f t="shared" si="53"/>
        <v>MATAMOROS ULATE</v>
      </c>
      <c r="I659" s="43" t="str">
        <f t="shared" si="54"/>
        <v>RAICHEL MATAMOROS ULATE</v>
      </c>
      <c r="J659" s="37" t="s">
        <v>550</v>
      </c>
      <c r="K659" s="37">
        <v>10</v>
      </c>
      <c r="L659" s="37">
        <v>1</v>
      </c>
      <c r="M659" s="37" t="s">
        <v>0</v>
      </c>
    </row>
    <row r="660" spans="2:13" x14ac:dyDescent="0.25">
      <c r="B660" s="46">
        <v>657</v>
      </c>
      <c r="C660" s="33">
        <v>209200439</v>
      </c>
      <c r="D660" s="43" t="str">
        <f t="shared" si="50"/>
        <v>2-0920-0439</v>
      </c>
      <c r="E660" s="33" t="s">
        <v>2280</v>
      </c>
      <c r="F660" s="43" t="str">
        <f t="shared" si="51"/>
        <v>NAOMY</v>
      </c>
      <c r="G660" s="43" t="str">
        <f t="shared" si="52"/>
        <v>NAOMY</v>
      </c>
      <c r="H660" s="43" t="str">
        <f t="shared" si="53"/>
        <v>MEZA CRUZ</v>
      </c>
      <c r="I660" s="43" t="str">
        <f t="shared" si="54"/>
        <v>NAOMY MEZA CRUZ</v>
      </c>
      <c r="J660" s="37" t="s">
        <v>550</v>
      </c>
      <c r="K660" s="37">
        <v>10</v>
      </c>
      <c r="L660" s="37">
        <v>1</v>
      </c>
      <c r="M660" s="37" t="s">
        <v>0</v>
      </c>
    </row>
    <row r="661" spans="2:13" x14ac:dyDescent="0.25">
      <c r="B661" s="48">
        <v>658</v>
      </c>
      <c r="C661" s="33">
        <v>120660217</v>
      </c>
      <c r="D661" s="43" t="str">
        <f t="shared" si="50"/>
        <v>1-2066-0217</v>
      </c>
      <c r="E661" s="33" t="s">
        <v>2279</v>
      </c>
      <c r="F661" s="43" t="str">
        <f t="shared" si="51"/>
        <v>CELESTE</v>
      </c>
      <c r="G661" s="43" t="str">
        <f t="shared" si="52"/>
        <v>CELESTE</v>
      </c>
      <c r="H661" s="43" t="str">
        <f t="shared" si="53"/>
        <v>MONGE ESPINOZA</v>
      </c>
      <c r="I661" s="43" t="str">
        <f t="shared" si="54"/>
        <v>CELESTE MONGE ESPINOZA</v>
      </c>
      <c r="J661" s="37" t="s">
        <v>550</v>
      </c>
      <c r="K661" s="37">
        <v>10</v>
      </c>
      <c r="L661" s="37">
        <v>1</v>
      </c>
      <c r="M661" s="37" t="s">
        <v>0</v>
      </c>
    </row>
    <row r="662" spans="2:13" x14ac:dyDescent="0.25">
      <c r="B662" s="48">
        <v>659</v>
      </c>
      <c r="C662" s="48">
        <v>999990659</v>
      </c>
      <c r="D662" s="53">
        <v>155852146619</v>
      </c>
      <c r="E662" s="53" t="s">
        <v>2278</v>
      </c>
      <c r="F662" s="43" t="str">
        <f t="shared" si="51"/>
        <v>ELIAH</v>
      </c>
      <c r="G662" s="43" t="str">
        <f t="shared" si="52"/>
        <v>ELIAH</v>
      </c>
      <c r="H662" s="43" t="str">
        <f t="shared" si="53"/>
        <v>NAVARRETE PALACIO</v>
      </c>
      <c r="I662" s="43" t="str">
        <f t="shared" si="54"/>
        <v>ELIAH NAVARRETE PALACIO</v>
      </c>
      <c r="J662" s="37" t="s">
        <v>656</v>
      </c>
      <c r="K662" s="37">
        <v>10</v>
      </c>
      <c r="L662" s="37">
        <v>1</v>
      </c>
      <c r="M662" s="37" t="s">
        <v>0</v>
      </c>
    </row>
    <row r="663" spans="2:13" x14ac:dyDescent="0.25">
      <c r="B663" s="46">
        <v>660</v>
      </c>
      <c r="C663" s="48">
        <v>999990660</v>
      </c>
      <c r="D663" s="53">
        <v>155831612811</v>
      </c>
      <c r="E663" s="33" t="s">
        <v>2277</v>
      </c>
      <c r="F663" s="43" t="str">
        <f t="shared" si="51"/>
        <v>SARAHY</v>
      </c>
      <c r="G663" s="43" t="str">
        <f t="shared" si="52"/>
        <v>SARAHY</v>
      </c>
      <c r="H663" s="43" t="str">
        <f t="shared" si="53"/>
        <v>PEÑA MONTIEL</v>
      </c>
      <c r="I663" s="43" t="str">
        <f t="shared" si="54"/>
        <v>SARAHY PEÑA MONTIEL</v>
      </c>
      <c r="J663" s="37" t="s">
        <v>550</v>
      </c>
      <c r="K663" s="37">
        <v>10</v>
      </c>
      <c r="L663" s="37">
        <v>1</v>
      </c>
      <c r="M663" s="37" t="s">
        <v>0</v>
      </c>
    </row>
    <row r="664" spans="2:13" x14ac:dyDescent="0.25">
      <c r="B664" s="48">
        <v>661</v>
      </c>
      <c r="C664" s="33">
        <v>209130031</v>
      </c>
      <c r="D664" s="43" t="str">
        <f t="shared" si="50"/>
        <v>2-0913-0031</v>
      </c>
      <c r="E664" s="33" t="s">
        <v>554</v>
      </c>
      <c r="F664" s="43" t="str">
        <f t="shared" si="51"/>
        <v>ANDY JOSUE</v>
      </c>
      <c r="G664" s="43" t="str">
        <f t="shared" si="52"/>
        <v>ANDY</v>
      </c>
      <c r="H664" s="43" t="str">
        <f t="shared" si="53"/>
        <v>PEREZ MEZA</v>
      </c>
      <c r="I664" s="43" t="str">
        <f t="shared" si="54"/>
        <v>ANDY PEREZ MEZA</v>
      </c>
      <c r="J664" s="37" t="s">
        <v>550</v>
      </c>
      <c r="K664" s="37">
        <v>10</v>
      </c>
      <c r="L664" s="37">
        <v>1</v>
      </c>
      <c r="M664" s="37" t="s">
        <v>0</v>
      </c>
    </row>
    <row r="665" spans="2:13" x14ac:dyDescent="0.25">
      <c r="B665" s="48">
        <v>662</v>
      </c>
      <c r="C665" s="33">
        <v>120230190</v>
      </c>
      <c r="D665" s="43" t="str">
        <f t="shared" si="50"/>
        <v>1-2023-0190</v>
      </c>
      <c r="E665" s="33" t="s">
        <v>2276</v>
      </c>
      <c r="F665" s="43" t="str">
        <f t="shared" si="51"/>
        <v>SOFIA</v>
      </c>
      <c r="G665" s="43" t="str">
        <f t="shared" si="52"/>
        <v>SOFIA</v>
      </c>
      <c r="H665" s="43" t="str">
        <f t="shared" si="53"/>
        <v>RETANA VARGAS</v>
      </c>
      <c r="I665" s="43" t="str">
        <f t="shared" si="54"/>
        <v>SOFIA RETANA VARGAS</v>
      </c>
      <c r="J665" s="37" t="s">
        <v>656</v>
      </c>
      <c r="K665" s="37">
        <v>10</v>
      </c>
      <c r="L665" s="37">
        <v>1</v>
      </c>
      <c r="M665" s="37" t="s">
        <v>0</v>
      </c>
    </row>
    <row r="666" spans="2:13" x14ac:dyDescent="0.25">
      <c r="B666" s="46">
        <v>663</v>
      </c>
      <c r="C666" s="33">
        <v>402830481</v>
      </c>
      <c r="D666" s="43" t="str">
        <f t="shared" si="50"/>
        <v>4-0283-0481</v>
      </c>
      <c r="E666" s="33" t="s">
        <v>2275</v>
      </c>
      <c r="F666" s="43" t="str">
        <f t="shared" si="51"/>
        <v>AMANDA</v>
      </c>
      <c r="G666" s="43" t="str">
        <f t="shared" si="52"/>
        <v>AMANDA</v>
      </c>
      <c r="H666" s="43" t="str">
        <f t="shared" si="53"/>
        <v>RODRIGUEZ MENDOZA</v>
      </c>
      <c r="I666" s="43" t="str">
        <f t="shared" si="54"/>
        <v>AMANDA RODRIGUEZ MENDOZA</v>
      </c>
      <c r="J666" s="37" t="s">
        <v>550</v>
      </c>
      <c r="K666" s="37">
        <v>10</v>
      </c>
      <c r="L666" s="37">
        <v>1</v>
      </c>
      <c r="M666" s="37" t="s">
        <v>0</v>
      </c>
    </row>
    <row r="667" spans="2:13" x14ac:dyDescent="0.25">
      <c r="B667" s="48">
        <v>664</v>
      </c>
      <c r="C667" s="33">
        <v>402840913</v>
      </c>
      <c r="D667" s="43" t="str">
        <f t="shared" si="50"/>
        <v>4-0284-0913</v>
      </c>
      <c r="E667" s="33" t="s">
        <v>555</v>
      </c>
      <c r="F667" s="43" t="str">
        <f t="shared" si="51"/>
        <v>VICTORIA</v>
      </c>
      <c r="G667" s="43" t="str">
        <f t="shared" si="52"/>
        <v>VICTORIA</v>
      </c>
      <c r="H667" s="43" t="str">
        <f t="shared" si="53"/>
        <v>SANDI ALVARADO</v>
      </c>
      <c r="I667" s="43" t="str">
        <f t="shared" si="54"/>
        <v>VICTORIA SANDI ALVARADO</v>
      </c>
      <c r="J667" s="37" t="s">
        <v>550</v>
      </c>
      <c r="K667" s="37">
        <v>10</v>
      </c>
      <c r="L667" s="37">
        <v>1</v>
      </c>
      <c r="M667" s="37" t="s">
        <v>0</v>
      </c>
    </row>
    <row r="668" spans="2:13" x14ac:dyDescent="0.25">
      <c r="B668" s="48">
        <v>665</v>
      </c>
      <c r="C668" s="33">
        <v>209190523</v>
      </c>
      <c r="D668" s="43" t="str">
        <f t="shared" si="50"/>
        <v>2-0919-0523</v>
      </c>
      <c r="E668" s="33" t="s">
        <v>556</v>
      </c>
      <c r="F668" s="43" t="str">
        <f t="shared" si="51"/>
        <v>MARIANGEL</v>
      </c>
      <c r="G668" s="43" t="str">
        <f t="shared" si="52"/>
        <v>MARIANGEL</v>
      </c>
      <c r="H668" s="43" t="str">
        <f t="shared" si="53"/>
        <v>SEGURA SEGURA</v>
      </c>
      <c r="I668" s="43" t="str">
        <f t="shared" si="54"/>
        <v>MARIANGEL SEGURA SEGURA</v>
      </c>
      <c r="J668" s="37" t="s">
        <v>550</v>
      </c>
      <c r="K668" s="37">
        <v>10</v>
      </c>
      <c r="L668" s="37">
        <v>1</v>
      </c>
      <c r="M668" s="37" t="s">
        <v>0</v>
      </c>
    </row>
    <row r="669" spans="2:13" x14ac:dyDescent="0.25">
      <c r="B669" s="46">
        <v>666</v>
      </c>
      <c r="C669" s="33">
        <v>209120711</v>
      </c>
      <c r="D669" s="43" t="str">
        <f t="shared" si="50"/>
        <v>2-0912-0711</v>
      </c>
      <c r="E669" s="33" t="s">
        <v>2274</v>
      </c>
      <c r="F669" s="43" t="str">
        <f t="shared" si="51"/>
        <v>YAZMIN</v>
      </c>
      <c r="G669" s="43" t="str">
        <f t="shared" si="52"/>
        <v>YAZMIN</v>
      </c>
      <c r="H669" s="43" t="str">
        <f t="shared" si="53"/>
        <v>TORRES CALVO</v>
      </c>
      <c r="I669" s="43" t="str">
        <f t="shared" si="54"/>
        <v>YAZMIN TORRES CALVO</v>
      </c>
      <c r="J669" s="37" t="s">
        <v>550</v>
      </c>
      <c r="K669" s="37">
        <v>10</v>
      </c>
      <c r="L669" s="37">
        <v>1</v>
      </c>
      <c r="M669" s="37" t="s">
        <v>0</v>
      </c>
    </row>
    <row r="670" spans="2:13" x14ac:dyDescent="0.25">
      <c r="B670" s="48">
        <v>667</v>
      </c>
      <c r="C670" s="33">
        <v>209180083</v>
      </c>
      <c r="D670" s="43" t="str">
        <f t="shared" si="50"/>
        <v>2-0918-0083</v>
      </c>
      <c r="E670" s="33" t="s">
        <v>557</v>
      </c>
      <c r="F670" s="43" t="str">
        <f t="shared" si="51"/>
        <v>GENESIS</v>
      </c>
      <c r="G670" s="43" t="str">
        <f t="shared" si="52"/>
        <v>GENESIS</v>
      </c>
      <c r="H670" s="43" t="str">
        <f t="shared" si="53"/>
        <v>VEGA NARVAEZ</v>
      </c>
      <c r="I670" s="43" t="str">
        <f t="shared" si="54"/>
        <v>GENESIS VEGA NARVAEZ</v>
      </c>
      <c r="J670" s="37" t="s">
        <v>550</v>
      </c>
      <c r="K670" s="37">
        <v>10</v>
      </c>
      <c r="L670" s="37">
        <v>1</v>
      </c>
      <c r="M670" s="37" t="s">
        <v>0</v>
      </c>
    </row>
    <row r="671" spans="2:13" x14ac:dyDescent="0.25">
      <c r="B671" s="48">
        <v>668</v>
      </c>
      <c r="C671" s="39">
        <v>209110382</v>
      </c>
      <c r="D671" s="43" t="str">
        <f t="shared" si="50"/>
        <v>2-0911-0382</v>
      </c>
      <c r="E671" s="39" t="s">
        <v>2273</v>
      </c>
      <c r="F671" s="43" t="str">
        <f t="shared" si="51"/>
        <v>ANNIE</v>
      </c>
      <c r="G671" s="43" t="str">
        <f t="shared" si="52"/>
        <v>ANNIE</v>
      </c>
      <c r="H671" s="43" t="str">
        <f t="shared" si="53"/>
        <v>VILLACHICA UMAÑA</v>
      </c>
      <c r="I671" s="43" t="str">
        <f t="shared" si="54"/>
        <v>ANNIE VILLACHICA UMAÑA</v>
      </c>
      <c r="J671" s="37" t="s">
        <v>550</v>
      </c>
      <c r="K671" s="37">
        <v>10</v>
      </c>
      <c r="L671" s="37">
        <v>1</v>
      </c>
      <c r="M671" s="37" t="s">
        <v>0</v>
      </c>
    </row>
    <row r="672" spans="2:13" x14ac:dyDescent="0.25">
      <c r="B672" s="46">
        <v>669</v>
      </c>
      <c r="C672" s="33">
        <v>208920633</v>
      </c>
      <c r="D672" s="43" t="str">
        <f t="shared" si="50"/>
        <v>2-0892-0633</v>
      </c>
      <c r="E672" s="33" t="s">
        <v>2272</v>
      </c>
      <c r="F672" s="43" t="str">
        <f t="shared" si="51"/>
        <v>URIELKA</v>
      </c>
      <c r="G672" s="43" t="str">
        <f t="shared" si="52"/>
        <v>URIELKA</v>
      </c>
      <c r="H672" s="43" t="str">
        <f t="shared" si="53"/>
        <v>VIVAS DAVILA</v>
      </c>
      <c r="I672" s="43" t="str">
        <f t="shared" si="54"/>
        <v>URIELKA VIVAS DAVILA</v>
      </c>
      <c r="J672" s="37" t="s">
        <v>550</v>
      </c>
      <c r="K672" s="37">
        <v>10</v>
      </c>
      <c r="L672" s="37">
        <v>1</v>
      </c>
      <c r="M672" s="37" t="s">
        <v>0</v>
      </c>
    </row>
    <row r="673" spans="2:13" x14ac:dyDescent="0.25">
      <c r="B673" s="48">
        <v>670</v>
      </c>
      <c r="C673" s="33">
        <v>209200731</v>
      </c>
      <c r="D673" s="43" t="str">
        <f t="shared" si="50"/>
        <v>2-0920-0731</v>
      </c>
      <c r="E673" s="33" t="s">
        <v>2271</v>
      </c>
      <c r="F673" s="43" t="str">
        <f t="shared" si="51"/>
        <v>SANTIAGO</v>
      </c>
      <c r="G673" s="43" t="str">
        <f t="shared" si="52"/>
        <v>SANTIAGO</v>
      </c>
      <c r="H673" s="43" t="str">
        <f t="shared" si="53"/>
        <v>WOO MENDEZ</v>
      </c>
      <c r="I673" s="43" t="str">
        <f t="shared" si="54"/>
        <v>SANTIAGO WOO MENDEZ</v>
      </c>
      <c r="J673" s="37" t="s">
        <v>550</v>
      </c>
      <c r="K673" s="37">
        <v>10</v>
      </c>
      <c r="L673" s="37">
        <v>1</v>
      </c>
      <c r="M673" s="37" t="s">
        <v>0</v>
      </c>
    </row>
    <row r="674" spans="2:13" x14ac:dyDescent="0.25">
      <c r="B674" s="48">
        <v>671</v>
      </c>
      <c r="C674" s="52">
        <v>402840459</v>
      </c>
      <c r="D674" s="43" t="str">
        <f t="shared" si="50"/>
        <v>4-0284-0459</v>
      </c>
      <c r="E674" s="52" t="s">
        <v>558</v>
      </c>
      <c r="F674" s="43" t="str">
        <f t="shared" si="51"/>
        <v>YULISA</v>
      </c>
      <c r="G674" s="43" t="str">
        <f t="shared" si="52"/>
        <v>YULISA</v>
      </c>
      <c r="H674" s="43" t="str">
        <f t="shared" si="53"/>
        <v>ANGULO DIAZ</v>
      </c>
      <c r="I674" s="43" t="str">
        <f t="shared" si="54"/>
        <v>YULISA ANGULO DIAZ</v>
      </c>
      <c r="J674" s="37" t="s">
        <v>559</v>
      </c>
      <c r="K674" s="37">
        <v>10</v>
      </c>
      <c r="L674" s="37">
        <v>2</v>
      </c>
      <c r="M674" s="37" t="s">
        <v>1</v>
      </c>
    </row>
    <row r="675" spans="2:13" x14ac:dyDescent="0.25">
      <c r="B675" s="46">
        <v>672</v>
      </c>
      <c r="C675" s="52">
        <v>209150384</v>
      </c>
      <c r="D675" s="43" t="str">
        <f t="shared" si="50"/>
        <v>2-0915-0384</v>
      </c>
      <c r="E675" s="52" t="s">
        <v>2270</v>
      </c>
      <c r="F675" s="43" t="str">
        <f t="shared" si="51"/>
        <v>TAYRA</v>
      </c>
      <c r="G675" s="43" t="str">
        <f t="shared" si="52"/>
        <v>TAYRA</v>
      </c>
      <c r="H675" s="43" t="str">
        <f t="shared" si="53"/>
        <v>CARVAJAL BONILLA</v>
      </c>
      <c r="I675" s="43" t="str">
        <f t="shared" si="54"/>
        <v>TAYRA CARVAJAL BONILLA</v>
      </c>
      <c r="J675" s="37" t="s">
        <v>559</v>
      </c>
      <c r="K675" s="37">
        <v>10</v>
      </c>
      <c r="L675" s="37">
        <v>2</v>
      </c>
      <c r="M675" s="37" t="s">
        <v>1</v>
      </c>
    </row>
    <row r="676" spans="2:13" x14ac:dyDescent="0.25">
      <c r="B676" s="48">
        <v>673</v>
      </c>
      <c r="C676" s="52">
        <v>209160804</v>
      </c>
      <c r="D676" s="43" t="str">
        <f t="shared" si="50"/>
        <v>2-0916-0804</v>
      </c>
      <c r="E676" s="52" t="s">
        <v>2269</v>
      </c>
      <c r="F676" s="43" t="str">
        <f t="shared" si="51"/>
        <v>ALEXA</v>
      </c>
      <c r="G676" s="43" t="str">
        <f t="shared" si="52"/>
        <v>ALEXA</v>
      </c>
      <c r="H676" s="43" t="str">
        <f t="shared" si="53"/>
        <v>FERNANDEZ CARMONA</v>
      </c>
      <c r="I676" s="43" t="str">
        <f t="shared" si="54"/>
        <v>ALEXA FERNANDEZ CARMONA</v>
      </c>
      <c r="J676" s="37" t="s">
        <v>559</v>
      </c>
      <c r="K676" s="37">
        <v>10</v>
      </c>
      <c r="L676" s="37">
        <v>2</v>
      </c>
      <c r="M676" s="37" t="s">
        <v>1</v>
      </c>
    </row>
    <row r="677" spans="2:13" x14ac:dyDescent="0.25">
      <c r="B677" s="48">
        <v>674</v>
      </c>
      <c r="C677" s="33">
        <v>209080143</v>
      </c>
      <c r="D677" s="43" t="str">
        <f t="shared" si="50"/>
        <v>2-0908-0143</v>
      </c>
      <c r="E677" s="33" t="s">
        <v>2268</v>
      </c>
      <c r="F677" s="43" t="str">
        <f t="shared" si="51"/>
        <v>ISAACK</v>
      </c>
      <c r="G677" s="43" t="str">
        <f t="shared" si="52"/>
        <v>ISAACK</v>
      </c>
      <c r="H677" s="43" t="str">
        <f t="shared" si="53"/>
        <v>GONZALEZ VASQUEZ</v>
      </c>
      <c r="I677" s="43" t="str">
        <f t="shared" si="54"/>
        <v>ISAACK GONZALEZ VASQUEZ</v>
      </c>
      <c r="J677" s="37" t="s">
        <v>1043</v>
      </c>
      <c r="K677" s="37">
        <v>10</v>
      </c>
      <c r="L677" s="37">
        <v>2</v>
      </c>
      <c r="M677" s="37" t="s">
        <v>1</v>
      </c>
    </row>
    <row r="678" spans="2:13" x14ac:dyDescent="0.25">
      <c r="B678" s="46">
        <v>675</v>
      </c>
      <c r="C678" s="33">
        <v>208980050</v>
      </c>
      <c r="D678" s="43" t="str">
        <f t="shared" si="50"/>
        <v>2-0898-0050</v>
      </c>
      <c r="E678" s="52" t="s">
        <v>2267</v>
      </c>
      <c r="F678" s="43" t="str">
        <f t="shared" si="51"/>
        <v>JUAN</v>
      </c>
      <c r="G678" s="43" t="str">
        <f t="shared" si="52"/>
        <v>JUAN</v>
      </c>
      <c r="H678" s="43" t="str">
        <f t="shared" si="53"/>
        <v>JIMENEZ RAMIREZ</v>
      </c>
      <c r="I678" s="43" t="str">
        <f t="shared" si="54"/>
        <v>JUAN JIMENEZ RAMIREZ</v>
      </c>
      <c r="J678" s="37" t="s">
        <v>559</v>
      </c>
      <c r="K678" s="37">
        <v>10</v>
      </c>
      <c r="L678" s="37">
        <v>2</v>
      </c>
      <c r="M678" s="37" t="s">
        <v>1</v>
      </c>
    </row>
    <row r="679" spans="2:13" x14ac:dyDescent="0.25">
      <c r="B679" s="48">
        <v>676</v>
      </c>
      <c r="C679" s="52">
        <v>209120834</v>
      </c>
      <c r="D679" s="43" t="str">
        <f t="shared" si="50"/>
        <v>2-0912-0834</v>
      </c>
      <c r="E679" s="52" t="s">
        <v>2266</v>
      </c>
      <c r="F679" s="43" t="str">
        <f t="shared" si="51"/>
        <v>JUAN</v>
      </c>
      <c r="G679" s="43" t="str">
        <f t="shared" si="52"/>
        <v>JUAN</v>
      </c>
      <c r="H679" s="43" t="str">
        <f t="shared" si="53"/>
        <v>RODRIGUEZ ARTAVIA</v>
      </c>
      <c r="I679" s="43" t="str">
        <f t="shared" si="54"/>
        <v>JUAN RODRIGUEZ ARTAVIA</v>
      </c>
      <c r="J679" s="37" t="s">
        <v>559</v>
      </c>
      <c r="K679" s="37">
        <v>10</v>
      </c>
      <c r="L679" s="37">
        <v>2</v>
      </c>
      <c r="M679" s="37" t="s">
        <v>1</v>
      </c>
    </row>
    <row r="680" spans="2:13" x14ac:dyDescent="0.25">
      <c r="B680" s="48">
        <v>677</v>
      </c>
      <c r="C680" s="52">
        <v>120700522</v>
      </c>
      <c r="D680" s="43" t="str">
        <f t="shared" si="50"/>
        <v>1-2070-0522</v>
      </c>
      <c r="E680" s="52" t="s">
        <v>2265</v>
      </c>
      <c r="F680" s="43" t="str">
        <f t="shared" si="51"/>
        <v>MATHIAS</v>
      </c>
      <c r="G680" s="43" t="str">
        <f t="shared" si="52"/>
        <v>MATHIAS</v>
      </c>
      <c r="H680" s="43" t="str">
        <f t="shared" si="53"/>
        <v>VARGAS QUESADA</v>
      </c>
      <c r="I680" s="43" t="str">
        <f t="shared" si="54"/>
        <v>MATHIAS VARGAS QUESADA</v>
      </c>
      <c r="J680" s="37" t="s">
        <v>559</v>
      </c>
      <c r="K680" s="37">
        <v>10</v>
      </c>
      <c r="L680" s="37">
        <v>2</v>
      </c>
      <c r="M680" s="37" t="s">
        <v>1</v>
      </c>
    </row>
    <row r="681" spans="2:13" x14ac:dyDescent="0.25">
      <c r="B681" s="46">
        <v>678</v>
      </c>
      <c r="C681" s="52">
        <v>402850785</v>
      </c>
      <c r="D681" s="43" t="str">
        <f t="shared" si="50"/>
        <v>4-0285-0785</v>
      </c>
      <c r="E681" s="52" t="s">
        <v>2264</v>
      </c>
      <c r="F681" s="43" t="str">
        <f t="shared" si="51"/>
        <v>CELESTE</v>
      </c>
      <c r="G681" s="43" t="str">
        <f t="shared" si="52"/>
        <v>CELESTE</v>
      </c>
      <c r="H681" s="43" t="str">
        <f t="shared" si="53"/>
        <v>VILLALOBOS UMAÑA</v>
      </c>
      <c r="I681" s="43" t="str">
        <f t="shared" si="54"/>
        <v>CELESTE VILLALOBOS UMAÑA</v>
      </c>
      <c r="J681" s="37" t="s">
        <v>559</v>
      </c>
      <c r="K681" s="37">
        <v>10</v>
      </c>
      <c r="L681" s="37">
        <v>2</v>
      </c>
      <c r="M681" s="37" t="s">
        <v>1</v>
      </c>
    </row>
    <row r="682" spans="2:13" x14ac:dyDescent="0.25">
      <c r="B682" s="48">
        <v>679</v>
      </c>
      <c r="C682" s="52">
        <v>402810207</v>
      </c>
      <c r="D682" s="43" t="str">
        <f t="shared" si="50"/>
        <v>4-0281-0207</v>
      </c>
      <c r="E682" s="52" t="s">
        <v>560</v>
      </c>
      <c r="F682" s="43" t="str">
        <f t="shared" si="51"/>
        <v>TAMARA</v>
      </c>
      <c r="G682" s="43" t="str">
        <f t="shared" si="52"/>
        <v>TAMARA</v>
      </c>
      <c r="H682" s="43" t="str">
        <f t="shared" si="53"/>
        <v>ZUÑIGA VILLALOBOS</v>
      </c>
      <c r="I682" s="43" t="str">
        <f t="shared" si="54"/>
        <v>TAMARA ZUÑIGA VILLALOBOS</v>
      </c>
      <c r="J682" s="37" t="s">
        <v>559</v>
      </c>
      <c r="K682" s="37">
        <v>10</v>
      </c>
      <c r="L682" s="37">
        <v>2</v>
      </c>
      <c r="M682" s="37" t="s">
        <v>1</v>
      </c>
    </row>
    <row r="683" spans="2:13" x14ac:dyDescent="0.25">
      <c r="B683" s="48">
        <v>680</v>
      </c>
      <c r="C683" s="33">
        <v>120620411</v>
      </c>
      <c r="D683" s="43" t="str">
        <f t="shared" si="50"/>
        <v>1-2062-0411</v>
      </c>
      <c r="E683" s="33" t="s">
        <v>2263</v>
      </c>
      <c r="F683" s="43" t="str">
        <f t="shared" si="51"/>
        <v>DANNA</v>
      </c>
      <c r="G683" s="43" t="str">
        <f t="shared" si="52"/>
        <v>DANNA</v>
      </c>
      <c r="H683" s="43" t="str">
        <f t="shared" si="53"/>
        <v>ACUÑA FONSECA</v>
      </c>
      <c r="I683" s="43" t="str">
        <f t="shared" si="54"/>
        <v>DANNA ACUÑA FONSECA</v>
      </c>
      <c r="J683" s="37" t="s">
        <v>550</v>
      </c>
      <c r="K683" s="37">
        <v>10</v>
      </c>
      <c r="L683" s="37">
        <v>2</v>
      </c>
      <c r="M683" s="37" t="s">
        <v>0</v>
      </c>
    </row>
    <row r="684" spans="2:13" x14ac:dyDescent="0.25">
      <c r="B684" s="46">
        <v>681</v>
      </c>
      <c r="C684" s="33">
        <v>209170537</v>
      </c>
      <c r="D684" s="43" t="str">
        <f t="shared" si="50"/>
        <v>2-0917-0537</v>
      </c>
      <c r="E684" s="33" t="s">
        <v>561</v>
      </c>
      <c r="F684" s="43" t="str">
        <f t="shared" si="51"/>
        <v>JIMENA</v>
      </c>
      <c r="G684" s="43" t="str">
        <f t="shared" si="52"/>
        <v>JIMENA</v>
      </c>
      <c r="H684" s="43" t="str">
        <f t="shared" si="53"/>
        <v>ALVARADO RAMIREZ</v>
      </c>
      <c r="I684" s="43" t="str">
        <f t="shared" si="54"/>
        <v>JIMENA ALVARADO RAMIREZ</v>
      </c>
      <c r="J684" s="37" t="s">
        <v>550</v>
      </c>
      <c r="K684" s="37">
        <v>10</v>
      </c>
      <c r="L684" s="37">
        <v>2</v>
      </c>
      <c r="M684" s="37" t="s">
        <v>0</v>
      </c>
    </row>
    <row r="685" spans="2:13" x14ac:dyDescent="0.25">
      <c r="B685" s="48">
        <v>682</v>
      </c>
      <c r="C685" s="33">
        <v>209220536</v>
      </c>
      <c r="D685" s="43" t="str">
        <f t="shared" si="50"/>
        <v>2-0922-0536</v>
      </c>
      <c r="E685" s="33" t="s">
        <v>562</v>
      </c>
      <c r="F685" s="43" t="str">
        <f t="shared" si="51"/>
        <v>ESTEBAN</v>
      </c>
      <c r="G685" s="43" t="str">
        <f t="shared" si="52"/>
        <v>ESTEBAN</v>
      </c>
      <c r="H685" s="43" t="str">
        <f t="shared" si="53"/>
        <v>ALVAREZ DELGADO</v>
      </c>
      <c r="I685" s="43" t="str">
        <f t="shared" si="54"/>
        <v>ESTEBAN ALVAREZ DELGADO</v>
      </c>
      <c r="J685" s="37" t="s">
        <v>550</v>
      </c>
      <c r="K685" s="37">
        <v>10</v>
      </c>
      <c r="L685" s="37">
        <v>2</v>
      </c>
      <c r="M685" s="37" t="s">
        <v>0</v>
      </c>
    </row>
    <row r="686" spans="2:13" x14ac:dyDescent="0.25">
      <c r="B686" s="48">
        <v>683</v>
      </c>
      <c r="C686" s="33">
        <v>402840458</v>
      </c>
      <c r="D686" s="43" t="str">
        <f t="shared" si="50"/>
        <v>4-0284-0458</v>
      </c>
      <c r="E686" s="33" t="s">
        <v>2262</v>
      </c>
      <c r="F686" s="43" t="str">
        <f t="shared" si="51"/>
        <v>LEONARDO</v>
      </c>
      <c r="G686" s="43" t="str">
        <f t="shared" si="52"/>
        <v>LEONARDO</v>
      </c>
      <c r="H686" s="43" t="str">
        <f t="shared" si="53"/>
        <v>ANGULO DIAZ</v>
      </c>
      <c r="I686" s="43" t="str">
        <f t="shared" si="54"/>
        <v>LEONARDO ANGULO DIAZ</v>
      </c>
      <c r="J686" s="37" t="s">
        <v>550</v>
      </c>
      <c r="K686" s="37">
        <v>10</v>
      </c>
      <c r="L686" s="37">
        <v>2</v>
      </c>
      <c r="M686" s="37" t="s">
        <v>0</v>
      </c>
    </row>
    <row r="687" spans="2:13" x14ac:dyDescent="0.25">
      <c r="B687" s="46">
        <v>684</v>
      </c>
      <c r="C687" s="33">
        <v>120710232</v>
      </c>
      <c r="D687" s="43" t="str">
        <f t="shared" si="50"/>
        <v>1-2071-0232</v>
      </c>
      <c r="E687" s="33" t="s">
        <v>2261</v>
      </c>
      <c r="F687" s="43" t="str">
        <f t="shared" si="51"/>
        <v>SOFIA</v>
      </c>
      <c r="G687" s="43" t="str">
        <f t="shared" si="52"/>
        <v>SOFIA</v>
      </c>
      <c r="H687" s="43" t="str">
        <f t="shared" si="53"/>
        <v>BOLAÑOS MOLINA</v>
      </c>
      <c r="I687" s="43" t="str">
        <f t="shared" si="54"/>
        <v>SOFIA BOLAÑOS MOLINA</v>
      </c>
      <c r="J687" s="37" t="s">
        <v>550</v>
      </c>
      <c r="K687" s="37">
        <v>10</v>
      </c>
      <c r="L687" s="37">
        <v>2</v>
      </c>
      <c r="M687" s="37" t="s">
        <v>0</v>
      </c>
    </row>
    <row r="688" spans="2:13" x14ac:dyDescent="0.25">
      <c r="B688" s="48">
        <v>685</v>
      </c>
      <c r="C688" s="33">
        <v>402790538</v>
      </c>
      <c r="D688" s="43" t="str">
        <f t="shared" si="50"/>
        <v>4-0279-0538</v>
      </c>
      <c r="E688" s="33" t="s">
        <v>2260</v>
      </c>
      <c r="F688" s="43" t="str">
        <f t="shared" si="51"/>
        <v>KRISTELL</v>
      </c>
      <c r="G688" s="43" t="str">
        <f t="shared" si="52"/>
        <v>KRISTELL</v>
      </c>
      <c r="H688" s="43" t="str">
        <f t="shared" si="53"/>
        <v>BRENES BRIZUELA</v>
      </c>
      <c r="I688" s="43" t="str">
        <f t="shared" si="54"/>
        <v>KRISTELL BRENES BRIZUELA</v>
      </c>
      <c r="J688" s="37" t="s">
        <v>550</v>
      </c>
      <c r="K688" s="37">
        <v>10</v>
      </c>
      <c r="L688" s="37">
        <v>2</v>
      </c>
      <c r="M688" s="37" t="s">
        <v>0</v>
      </c>
    </row>
    <row r="689" spans="2:13" x14ac:dyDescent="0.25">
      <c r="B689" s="48">
        <v>686</v>
      </c>
      <c r="C689" s="33">
        <v>120540581</v>
      </c>
      <c r="D689" s="43" t="str">
        <f t="shared" si="50"/>
        <v>1-2054-0581</v>
      </c>
      <c r="E689" s="33" t="s">
        <v>563</v>
      </c>
      <c r="F689" s="43" t="str">
        <f t="shared" si="51"/>
        <v>MARIA PAULA</v>
      </c>
      <c r="G689" s="43" t="str">
        <f t="shared" si="52"/>
        <v>MARIA</v>
      </c>
      <c r="H689" s="43" t="str">
        <f t="shared" si="53"/>
        <v>CALVO ACUÑA</v>
      </c>
      <c r="I689" s="43" t="str">
        <f t="shared" si="54"/>
        <v>MARIA CALVO ACUÑA</v>
      </c>
      <c r="J689" s="37" t="s">
        <v>550</v>
      </c>
      <c r="K689" s="37">
        <v>10</v>
      </c>
      <c r="L689" s="37">
        <v>2</v>
      </c>
      <c r="M689" s="37" t="s">
        <v>0</v>
      </c>
    </row>
    <row r="690" spans="2:13" x14ac:dyDescent="0.25">
      <c r="B690" s="46">
        <v>687</v>
      </c>
      <c r="C690" s="33">
        <v>402830329</v>
      </c>
      <c r="D690" s="43" t="str">
        <f t="shared" si="50"/>
        <v>4-0283-0329</v>
      </c>
      <c r="E690" s="33" t="s">
        <v>564</v>
      </c>
      <c r="F690" s="43" t="str">
        <f t="shared" si="51"/>
        <v>SHEILA</v>
      </c>
      <c r="G690" s="43" t="str">
        <f t="shared" si="52"/>
        <v>SHEILA</v>
      </c>
      <c r="H690" s="43" t="str">
        <f t="shared" si="53"/>
        <v>CAMACHO RODRIGUEZ</v>
      </c>
      <c r="I690" s="43" t="str">
        <f t="shared" si="54"/>
        <v>SHEILA CAMACHO RODRIGUEZ</v>
      </c>
      <c r="J690" s="37" t="s">
        <v>550</v>
      </c>
      <c r="K690" s="37">
        <v>10</v>
      </c>
      <c r="L690" s="37">
        <v>2</v>
      </c>
      <c r="M690" s="37" t="s">
        <v>0</v>
      </c>
    </row>
    <row r="691" spans="2:13" x14ac:dyDescent="0.25">
      <c r="B691" s="48">
        <v>688</v>
      </c>
      <c r="C691" s="33">
        <v>209190247</v>
      </c>
      <c r="D691" s="43" t="str">
        <f t="shared" si="50"/>
        <v>2-0919-0247</v>
      </c>
      <c r="E691" s="33" t="s">
        <v>2259</v>
      </c>
      <c r="F691" s="43" t="str">
        <f t="shared" si="51"/>
        <v>AMANDA</v>
      </c>
      <c r="G691" s="43" t="str">
        <f t="shared" si="52"/>
        <v>AMANDA</v>
      </c>
      <c r="H691" s="43" t="str">
        <f t="shared" si="53"/>
        <v>CASTRO ARAYA</v>
      </c>
      <c r="I691" s="43" t="str">
        <f t="shared" si="54"/>
        <v>AMANDA CASTRO ARAYA</v>
      </c>
      <c r="J691" s="37" t="s">
        <v>550</v>
      </c>
      <c r="K691" s="37">
        <v>10</v>
      </c>
      <c r="L691" s="37">
        <v>2</v>
      </c>
      <c r="M691" s="37" t="s">
        <v>0</v>
      </c>
    </row>
    <row r="692" spans="2:13" x14ac:dyDescent="0.25">
      <c r="B692" s="48">
        <v>689</v>
      </c>
      <c r="C692" s="33">
        <v>402850639</v>
      </c>
      <c r="D692" s="43" t="str">
        <f t="shared" si="50"/>
        <v>4-0285-0639</v>
      </c>
      <c r="E692" s="33" t="s">
        <v>2258</v>
      </c>
      <c r="F692" s="43" t="str">
        <f t="shared" si="51"/>
        <v>EMILY</v>
      </c>
      <c r="G692" s="43" t="str">
        <f t="shared" si="52"/>
        <v>EMILY</v>
      </c>
      <c r="H692" s="43" t="str">
        <f t="shared" si="53"/>
        <v>DAVIS SEGURA</v>
      </c>
      <c r="I692" s="43" t="str">
        <f t="shared" si="54"/>
        <v>EMILY DAVIS SEGURA</v>
      </c>
      <c r="J692" s="37" t="s">
        <v>550</v>
      </c>
      <c r="K692" s="37">
        <v>10</v>
      </c>
      <c r="L692" s="37">
        <v>2</v>
      </c>
      <c r="M692" s="37" t="s">
        <v>0</v>
      </c>
    </row>
    <row r="693" spans="2:13" x14ac:dyDescent="0.25">
      <c r="B693" s="46">
        <v>690</v>
      </c>
      <c r="C693" s="33">
        <v>402850732</v>
      </c>
      <c r="D693" s="43" t="str">
        <f t="shared" si="50"/>
        <v>4-0285-0732</v>
      </c>
      <c r="E693" s="33" t="s">
        <v>565</v>
      </c>
      <c r="F693" s="43" t="str">
        <f t="shared" si="51"/>
        <v>NAIMA</v>
      </c>
      <c r="G693" s="43" t="str">
        <f t="shared" si="52"/>
        <v>NAIMA</v>
      </c>
      <c r="H693" s="43" t="str">
        <f t="shared" si="53"/>
        <v>FLORES CESPEDES</v>
      </c>
      <c r="I693" s="43" t="str">
        <f t="shared" si="54"/>
        <v>NAIMA FLORES CESPEDES</v>
      </c>
      <c r="J693" s="37" t="s">
        <v>550</v>
      </c>
      <c r="K693" s="37">
        <v>10</v>
      </c>
      <c r="L693" s="37">
        <v>2</v>
      </c>
      <c r="M693" s="37" t="s">
        <v>0</v>
      </c>
    </row>
    <row r="694" spans="2:13" x14ac:dyDescent="0.25">
      <c r="B694" s="48">
        <v>691</v>
      </c>
      <c r="C694" s="33">
        <v>120670388</v>
      </c>
      <c r="D694" s="43" t="str">
        <f t="shared" si="50"/>
        <v>1-2067-0388</v>
      </c>
      <c r="E694" s="33" t="s">
        <v>2257</v>
      </c>
      <c r="F694" s="43" t="str">
        <f t="shared" si="51"/>
        <v>AMANDA</v>
      </c>
      <c r="G694" s="43" t="str">
        <f t="shared" si="52"/>
        <v>AMANDA</v>
      </c>
      <c r="H694" s="43" t="str">
        <f t="shared" si="53"/>
        <v>GONZALEZ RODRIGUEZ</v>
      </c>
      <c r="I694" s="43" t="str">
        <f t="shared" si="54"/>
        <v>AMANDA GONZALEZ RODRIGUEZ</v>
      </c>
      <c r="J694" s="37" t="s">
        <v>550</v>
      </c>
      <c r="K694" s="37">
        <v>10</v>
      </c>
      <c r="L694" s="37">
        <v>2</v>
      </c>
      <c r="M694" s="37" t="s">
        <v>0</v>
      </c>
    </row>
    <row r="695" spans="2:13" x14ac:dyDescent="0.25">
      <c r="B695" s="48">
        <v>692</v>
      </c>
      <c r="C695" s="33">
        <v>209220835</v>
      </c>
      <c r="D695" s="43" t="str">
        <f t="shared" si="50"/>
        <v>2-0922-0835</v>
      </c>
      <c r="E695" s="33" t="s">
        <v>566</v>
      </c>
      <c r="F695" s="43" t="str">
        <f t="shared" si="51"/>
        <v>JESLYN</v>
      </c>
      <c r="G695" s="43" t="str">
        <f t="shared" si="52"/>
        <v>JESLYN</v>
      </c>
      <c r="H695" s="43" t="str">
        <f t="shared" si="53"/>
        <v>HERRERA VALVERDE</v>
      </c>
      <c r="I695" s="43" t="str">
        <f t="shared" si="54"/>
        <v>JESLYN HERRERA VALVERDE</v>
      </c>
      <c r="J695" s="37" t="s">
        <v>550</v>
      </c>
      <c r="K695" s="37">
        <v>10</v>
      </c>
      <c r="L695" s="37">
        <v>2</v>
      </c>
      <c r="M695" s="37" t="s">
        <v>0</v>
      </c>
    </row>
    <row r="696" spans="2:13" x14ac:dyDescent="0.25">
      <c r="B696" s="46">
        <v>693</v>
      </c>
      <c r="C696" s="33">
        <v>209170546</v>
      </c>
      <c r="D696" s="43" t="str">
        <f t="shared" si="50"/>
        <v>2-0917-0546</v>
      </c>
      <c r="E696" s="33" t="s">
        <v>2256</v>
      </c>
      <c r="F696" s="43" t="str">
        <f t="shared" si="51"/>
        <v>ANDREY</v>
      </c>
      <c r="G696" s="43" t="str">
        <f t="shared" si="52"/>
        <v>ANDREY</v>
      </c>
      <c r="H696" s="43" t="str">
        <f t="shared" si="53"/>
        <v>JIMENEZ MONTERO</v>
      </c>
      <c r="I696" s="43" t="str">
        <f t="shared" si="54"/>
        <v>ANDREY JIMENEZ MONTERO</v>
      </c>
      <c r="J696" s="37" t="s">
        <v>550</v>
      </c>
      <c r="K696" s="37">
        <v>10</v>
      </c>
      <c r="L696" s="37">
        <v>2</v>
      </c>
      <c r="M696" s="37" t="s">
        <v>0</v>
      </c>
    </row>
    <row r="697" spans="2:13" x14ac:dyDescent="0.25">
      <c r="B697" s="48">
        <v>694</v>
      </c>
      <c r="C697" s="33">
        <v>209060669</v>
      </c>
      <c r="D697" s="43" t="str">
        <f t="shared" si="50"/>
        <v>2-0906-0669</v>
      </c>
      <c r="E697" s="33" t="s">
        <v>2255</v>
      </c>
      <c r="F697" s="43" t="str">
        <f t="shared" si="51"/>
        <v>KRISTEL</v>
      </c>
      <c r="G697" s="43" t="str">
        <f t="shared" si="52"/>
        <v>KRISTEL</v>
      </c>
      <c r="H697" s="43" t="str">
        <f t="shared" si="53"/>
        <v>MOLINA AVALOS</v>
      </c>
      <c r="I697" s="43" t="str">
        <f t="shared" si="54"/>
        <v>KRISTEL MOLINA AVALOS</v>
      </c>
      <c r="J697" s="37" t="s">
        <v>550</v>
      </c>
      <c r="K697" s="37">
        <v>10</v>
      </c>
      <c r="L697" s="37">
        <v>2</v>
      </c>
      <c r="M697" s="37" t="s">
        <v>0</v>
      </c>
    </row>
    <row r="698" spans="2:13" x14ac:dyDescent="0.25">
      <c r="B698" s="48">
        <v>695</v>
      </c>
      <c r="C698" s="33">
        <v>402810859</v>
      </c>
      <c r="D698" s="43" t="str">
        <f t="shared" si="50"/>
        <v>4-0281-0859</v>
      </c>
      <c r="E698" s="33" t="s">
        <v>2236</v>
      </c>
      <c r="F698" s="43" t="str">
        <f t="shared" si="51"/>
        <v>AXEL</v>
      </c>
      <c r="G698" s="43" t="str">
        <f t="shared" si="52"/>
        <v>AXEL</v>
      </c>
      <c r="H698" s="43" t="str">
        <f t="shared" si="53"/>
        <v>MORAGA MORA</v>
      </c>
      <c r="I698" s="43" t="str">
        <f t="shared" si="54"/>
        <v>AXEL MORAGA MORA</v>
      </c>
      <c r="J698" s="37" t="s">
        <v>550</v>
      </c>
      <c r="K698" s="37">
        <v>10</v>
      </c>
      <c r="L698" s="37">
        <v>2</v>
      </c>
      <c r="M698" s="37" t="s">
        <v>0</v>
      </c>
    </row>
    <row r="699" spans="2:13" x14ac:dyDescent="0.25">
      <c r="B699" s="46">
        <v>696</v>
      </c>
      <c r="C699" s="33">
        <v>402830061</v>
      </c>
      <c r="D699" s="43" t="str">
        <f t="shared" si="50"/>
        <v>4-0283-0061</v>
      </c>
      <c r="E699" s="33" t="s">
        <v>2254</v>
      </c>
      <c r="F699" s="43" t="str">
        <f t="shared" si="51"/>
        <v>SEBASTIAN</v>
      </c>
      <c r="G699" s="43" t="str">
        <f t="shared" si="52"/>
        <v>SEBASTIAN</v>
      </c>
      <c r="H699" s="43" t="str">
        <f t="shared" si="53"/>
        <v>SOLANO SOJO</v>
      </c>
      <c r="I699" s="43" t="str">
        <f t="shared" si="54"/>
        <v>SEBASTIAN SOLANO SOJO</v>
      </c>
      <c r="J699" s="37" t="s">
        <v>550</v>
      </c>
      <c r="K699" s="37">
        <v>10</v>
      </c>
      <c r="L699" s="37">
        <v>2</v>
      </c>
      <c r="M699" s="37" t="s">
        <v>0</v>
      </c>
    </row>
    <row r="700" spans="2:13" x14ac:dyDescent="0.25">
      <c r="B700" s="48">
        <v>697</v>
      </c>
      <c r="C700" s="33">
        <v>208980525</v>
      </c>
      <c r="D700" s="43" t="str">
        <f t="shared" si="50"/>
        <v>2-0898-0525</v>
      </c>
      <c r="E700" s="33" t="s">
        <v>2253</v>
      </c>
      <c r="F700" s="43" t="str">
        <f t="shared" si="51"/>
        <v>DEBORA</v>
      </c>
      <c r="G700" s="43" t="str">
        <f t="shared" si="52"/>
        <v>DEBORA</v>
      </c>
      <c r="H700" s="43" t="str">
        <f t="shared" si="53"/>
        <v>TRUJILLO CALDERA</v>
      </c>
      <c r="I700" s="43" t="str">
        <f t="shared" si="54"/>
        <v>DEBORA TRUJILLO CALDERA</v>
      </c>
      <c r="J700" s="37" t="s">
        <v>550</v>
      </c>
      <c r="K700" s="37">
        <v>10</v>
      </c>
      <c r="L700" s="37">
        <v>2</v>
      </c>
      <c r="M700" s="37" t="s">
        <v>0</v>
      </c>
    </row>
    <row r="701" spans="2:13" x14ac:dyDescent="0.25">
      <c r="B701" s="48">
        <v>698</v>
      </c>
      <c r="C701" s="33">
        <v>120230559</v>
      </c>
      <c r="D701" s="43" t="str">
        <f t="shared" si="50"/>
        <v>1-2023-0559</v>
      </c>
      <c r="E701" s="33" t="s">
        <v>2252</v>
      </c>
      <c r="F701" s="43" t="str">
        <f t="shared" si="51"/>
        <v>CHELSY</v>
      </c>
      <c r="G701" s="43" t="str">
        <f t="shared" si="52"/>
        <v>CHELSY</v>
      </c>
      <c r="H701" s="43" t="str">
        <f t="shared" si="53"/>
        <v>ZAMORA CHACON</v>
      </c>
      <c r="I701" s="43" t="str">
        <f t="shared" si="54"/>
        <v>CHELSY ZAMORA CHACON</v>
      </c>
      <c r="J701" s="37" t="s">
        <v>550</v>
      </c>
      <c r="K701" s="37">
        <v>10</v>
      </c>
      <c r="L701" s="37">
        <v>2</v>
      </c>
      <c r="M701" s="37" t="s">
        <v>0</v>
      </c>
    </row>
    <row r="702" spans="2:13" x14ac:dyDescent="0.25">
      <c r="B702" s="46">
        <v>699</v>
      </c>
      <c r="C702" s="48">
        <v>209220773</v>
      </c>
      <c r="D702" s="43" t="str">
        <f t="shared" si="50"/>
        <v>2-0922-0773</v>
      </c>
      <c r="E702" s="48" t="s">
        <v>569</v>
      </c>
      <c r="F702" s="43" t="str">
        <f t="shared" si="51"/>
        <v>MATHIAS</v>
      </c>
      <c r="G702" s="43" t="str">
        <f t="shared" si="52"/>
        <v>MATHIAS</v>
      </c>
      <c r="H702" s="43" t="str">
        <f t="shared" si="53"/>
        <v>ARIAS LEON</v>
      </c>
      <c r="I702" s="43" t="str">
        <f t="shared" si="54"/>
        <v>MATHIAS ARIAS LEON</v>
      </c>
      <c r="J702" s="37" t="s">
        <v>2241</v>
      </c>
      <c r="K702" s="37">
        <v>10</v>
      </c>
      <c r="L702" s="37">
        <v>3</v>
      </c>
      <c r="M702" s="37" t="s">
        <v>1</v>
      </c>
    </row>
    <row r="703" spans="2:13" x14ac:dyDescent="0.25">
      <c r="B703" s="48">
        <v>700</v>
      </c>
      <c r="C703" s="48">
        <v>209110628</v>
      </c>
      <c r="D703" s="43" t="str">
        <f t="shared" si="50"/>
        <v>2-0911-0628</v>
      </c>
      <c r="E703" s="48" t="s">
        <v>2251</v>
      </c>
      <c r="F703" s="43" t="str">
        <f t="shared" si="51"/>
        <v>YARIEL</v>
      </c>
      <c r="G703" s="43" t="str">
        <f t="shared" si="52"/>
        <v>YARIEL</v>
      </c>
      <c r="H703" s="43" t="str">
        <f t="shared" si="53"/>
        <v>CAMBRONERO ARIAS</v>
      </c>
      <c r="I703" s="43" t="str">
        <f t="shared" si="54"/>
        <v>YARIEL CAMBRONERO ARIAS</v>
      </c>
      <c r="J703" s="37" t="s">
        <v>2241</v>
      </c>
      <c r="K703" s="37">
        <v>10</v>
      </c>
      <c r="L703" s="37">
        <v>3</v>
      </c>
      <c r="M703" s="37" t="s">
        <v>1</v>
      </c>
    </row>
    <row r="704" spans="2:13" x14ac:dyDescent="0.25">
      <c r="B704" s="48">
        <v>701</v>
      </c>
      <c r="C704" s="48">
        <v>402820341</v>
      </c>
      <c r="D704" s="43" t="str">
        <f t="shared" si="50"/>
        <v>4-0282-0341</v>
      </c>
      <c r="E704" s="48" t="s">
        <v>580</v>
      </c>
      <c r="F704" s="43" t="str">
        <f t="shared" si="51"/>
        <v>STEVEN</v>
      </c>
      <c r="G704" s="43" t="str">
        <f t="shared" si="52"/>
        <v>STEVEN</v>
      </c>
      <c r="H704" s="43" t="str">
        <f t="shared" si="53"/>
        <v>CASTRO VEGA</v>
      </c>
      <c r="I704" s="43" t="str">
        <f t="shared" si="54"/>
        <v>STEVEN CASTRO VEGA</v>
      </c>
      <c r="J704" s="37" t="s">
        <v>2241</v>
      </c>
      <c r="K704" s="37">
        <v>10</v>
      </c>
      <c r="L704" s="37">
        <v>3</v>
      </c>
      <c r="M704" s="37" t="s">
        <v>1</v>
      </c>
    </row>
    <row r="705" spans="2:13" x14ac:dyDescent="0.25">
      <c r="B705" s="46">
        <v>702</v>
      </c>
      <c r="C705" s="48">
        <v>209130895</v>
      </c>
      <c r="D705" s="43" t="str">
        <f t="shared" si="50"/>
        <v>2-0913-0895</v>
      </c>
      <c r="E705" s="48" t="s">
        <v>2250</v>
      </c>
      <c r="F705" s="43" t="str">
        <f t="shared" si="51"/>
        <v>KEYLOR</v>
      </c>
      <c r="G705" s="43" t="str">
        <f t="shared" si="52"/>
        <v>KEYLOR</v>
      </c>
      <c r="H705" s="43" t="str">
        <f t="shared" si="53"/>
        <v>FALLAS RODRIGUEZ</v>
      </c>
      <c r="I705" s="43" t="str">
        <f t="shared" si="54"/>
        <v>KEYLOR FALLAS RODRIGUEZ</v>
      </c>
      <c r="J705" s="37" t="s">
        <v>2241</v>
      </c>
      <c r="K705" s="37">
        <v>10</v>
      </c>
      <c r="L705" s="37">
        <v>3</v>
      </c>
      <c r="M705" s="37" t="s">
        <v>1</v>
      </c>
    </row>
    <row r="706" spans="2:13" x14ac:dyDescent="0.25">
      <c r="B706" s="48">
        <v>703</v>
      </c>
      <c r="C706" s="48">
        <v>209160683</v>
      </c>
      <c r="D706" s="43" t="str">
        <f t="shared" si="50"/>
        <v>2-0916-0683</v>
      </c>
      <c r="E706" s="48" t="s">
        <v>568</v>
      </c>
      <c r="F706" s="43" t="str">
        <f t="shared" si="51"/>
        <v>LUCIANA</v>
      </c>
      <c r="G706" s="43" t="str">
        <f t="shared" si="52"/>
        <v>LUCIANA</v>
      </c>
      <c r="H706" s="43" t="str">
        <f t="shared" si="53"/>
        <v>FERNANDEZ MIRANDA</v>
      </c>
      <c r="I706" s="43" t="str">
        <f t="shared" si="54"/>
        <v>LUCIANA FERNANDEZ MIRANDA</v>
      </c>
      <c r="J706" s="37" t="s">
        <v>2241</v>
      </c>
      <c r="K706" s="37">
        <v>10</v>
      </c>
      <c r="L706" s="37">
        <v>3</v>
      </c>
      <c r="M706" s="37" t="s">
        <v>1</v>
      </c>
    </row>
    <row r="707" spans="2:13" x14ac:dyDescent="0.25">
      <c r="B707" s="48">
        <v>704</v>
      </c>
      <c r="C707" s="48">
        <v>402850685</v>
      </c>
      <c r="D707" s="43" t="str">
        <f t="shared" si="50"/>
        <v>4-0285-0685</v>
      </c>
      <c r="E707" s="48" t="s">
        <v>2240</v>
      </c>
      <c r="F707" s="43" t="str">
        <f t="shared" si="51"/>
        <v>CALEB</v>
      </c>
      <c r="G707" s="43" t="str">
        <f t="shared" si="52"/>
        <v>CALEB</v>
      </c>
      <c r="H707" s="43" t="str">
        <f t="shared" si="53"/>
        <v>HERRERA VIQUEZ</v>
      </c>
      <c r="I707" s="43" t="str">
        <f t="shared" si="54"/>
        <v>CALEB HERRERA VIQUEZ</v>
      </c>
      <c r="J707" s="37" t="s">
        <v>2241</v>
      </c>
      <c r="K707" s="37">
        <v>10</v>
      </c>
      <c r="L707" s="37">
        <v>3</v>
      </c>
      <c r="M707" s="37" t="s">
        <v>1</v>
      </c>
    </row>
    <row r="708" spans="2:13" x14ac:dyDescent="0.25">
      <c r="B708" s="46">
        <v>705</v>
      </c>
      <c r="C708" s="48">
        <v>999990705</v>
      </c>
      <c r="D708" s="43" t="s">
        <v>570</v>
      </c>
      <c r="E708" s="48" t="s">
        <v>2242</v>
      </c>
      <c r="F708" s="43" t="str">
        <f t="shared" si="51"/>
        <v>LILLY</v>
      </c>
      <c r="G708" s="43" t="str">
        <f t="shared" si="52"/>
        <v>LILLY</v>
      </c>
      <c r="H708" s="43" t="str">
        <f t="shared" si="53"/>
        <v>HORMANN MARTHA</v>
      </c>
      <c r="I708" s="43" t="str">
        <f t="shared" si="54"/>
        <v>LILLY HORMANN MARTHA</v>
      </c>
      <c r="J708" s="37" t="s">
        <v>2241</v>
      </c>
      <c r="K708" s="37">
        <v>10</v>
      </c>
      <c r="L708" s="37">
        <v>3</v>
      </c>
      <c r="M708" s="37" t="s">
        <v>1</v>
      </c>
    </row>
    <row r="709" spans="2:13" x14ac:dyDescent="0.25">
      <c r="B709" s="48">
        <v>706</v>
      </c>
      <c r="C709" s="48">
        <v>402840548</v>
      </c>
      <c r="D709" s="43" t="str">
        <f t="shared" ref="D709:D770" si="55">IF(LEN(C709)=9,_xlfn.CONCAT(MID(C709,1,1),"-",MID(C709,2,4),"-",MID(C709,6,4)),TEXT(C709,"000000000000"))</f>
        <v>4-0284-0548</v>
      </c>
      <c r="E709" s="48" t="s">
        <v>567</v>
      </c>
      <c r="F709" s="43" t="str">
        <f t="shared" ref="F709:F772" si="56">RIGHT(E709,LEN(E709)-SEARCH(" ",E709,SEARCH(" ",E709)+1))</f>
        <v>JESHUA JAVIER</v>
      </c>
      <c r="G709" s="43" t="str">
        <f t="shared" ref="G709:G772" si="57">IFERROR(LEFT(F709,SEARCH(" ",F709,1)-1),F709)</f>
        <v>JESHUA</v>
      </c>
      <c r="H709" s="43" t="str">
        <f t="shared" ref="H709:H772" si="58">LEFT(E709,SEARCH(" ",E709,SEARCH(" ",E709)+1)-1)</f>
        <v>LOPEZ RAMIREZ</v>
      </c>
      <c r="I709" s="43" t="str">
        <f t="shared" ref="I709:I772" si="59">_xlfn.CONCAT(G709," ",H709)</f>
        <v>JESHUA LOPEZ RAMIREZ</v>
      </c>
      <c r="J709" s="37" t="s">
        <v>2241</v>
      </c>
      <c r="K709" s="37">
        <v>10</v>
      </c>
      <c r="L709" s="37">
        <v>3</v>
      </c>
      <c r="M709" s="37" t="s">
        <v>1</v>
      </c>
    </row>
    <row r="710" spans="2:13" x14ac:dyDescent="0.25">
      <c r="B710" s="48">
        <v>707</v>
      </c>
      <c r="C710" s="48">
        <v>209200561</v>
      </c>
      <c r="D710" s="43" t="str">
        <f t="shared" si="55"/>
        <v>2-0920-0561</v>
      </c>
      <c r="E710" s="48" t="s">
        <v>571</v>
      </c>
      <c r="F710" s="43" t="str">
        <f t="shared" si="56"/>
        <v>ABIGAIL</v>
      </c>
      <c r="G710" s="43" t="str">
        <f t="shared" si="57"/>
        <v>ABIGAIL</v>
      </c>
      <c r="H710" s="43" t="str">
        <f t="shared" si="58"/>
        <v>MENDEZ DELGADO</v>
      </c>
      <c r="I710" s="43" t="str">
        <f t="shared" si="59"/>
        <v>ABIGAIL MENDEZ DELGADO</v>
      </c>
      <c r="J710" s="37" t="s">
        <v>2241</v>
      </c>
      <c r="K710" s="37">
        <v>10</v>
      </c>
      <c r="L710" s="37">
        <v>3</v>
      </c>
      <c r="M710" s="37" t="s">
        <v>1</v>
      </c>
    </row>
    <row r="711" spans="2:13" x14ac:dyDescent="0.25">
      <c r="B711" s="46">
        <v>708</v>
      </c>
      <c r="C711" s="48">
        <v>402830381</v>
      </c>
      <c r="D711" s="43" t="str">
        <f t="shared" si="55"/>
        <v>4-0283-0381</v>
      </c>
      <c r="E711" s="48" t="s">
        <v>2245</v>
      </c>
      <c r="F711" s="43" t="str">
        <f t="shared" si="56"/>
        <v>KIANNY</v>
      </c>
      <c r="G711" s="43" t="str">
        <f t="shared" si="57"/>
        <v>KIANNY</v>
      </c>
      <c r="H711" s="43" t="str">
        <f t="shared" si="58"/>
        <v>MIRANDA HERNANDEZ</v>
      </c>
      <c r="I711" s="43" t="str">
        <f t="shared" si="59"/>
        <v>KIANNY MIRANDA HERNANDEZ</v>
      </c>
      <c r="J711" s="37" t="s">
        <v>2241</v>
      </c>
      <c r="K711" s="37">
        <v>10</v>
      </c>
      <c r="L711" s="37">
        <v>3</v>
      </c>
      <c r="M711" s="37" t="s">
        <v>1</v>
      </c>
    </row>
    <row r="712" spans="2:13" x14ac:dyDescent="0.25">
      <c r="B712" s="48">
        <v>709</v>
      </c>
      <c r="C712" s="48">
        <v>209220655</v>
      </c>
      <c r="D712" s="43" t="str">
        <f t="shared" si="55"/>
        <v>2-0922-0655</v>
      </c>
      <c r="E712" s="48" t="s">
        <v>572</v>
      </c>
      <c r="F712" s="43" t="str">
        <f t="shared" si="56"/>
        <v>FABRICIO</v>
      </c>
      <c r="G712" s="43" t="str">
        <f t="shared" si="57"/>
        <v>FABRICIO</v>
      </c>
      <c r="H712" s="43" t="str">
        <f t="shared" si="58"/>
        <v>MORA GOMEZ</v>
      </c>
      <c r="I712" s="43" t="str">
        <f t="shared" si="59"/>
        <v>FABRICIO MORA GOMEZ</v>
      </c>
      <c r="J712" s="37" t="s">
        <v>2241</v>
      </c>
      <c r="K712" s="37">
        <v>10</v>
      </c>
      <c r="L712" s="37">
        <v>3</v>
      </c>
      <c r="M712" s="37" t="s">
        <v>1</v>
      </c>
    </row>
    <row r="713" spans="2:13" x14ac:dyDescent="0.25">
      <c r="B713" s="48">
        <v>710</v>
      </c>
      <c r="C713" s="48">
        <v>209220238</v>
      </c>
      <c r="D713" s="43" t="str">
        <f t="shared" si="55"/>
        <v>2-0922-0238</v>
      </c>
      <c r="E713" s="48" t="s">
        <v>573</v>
      </c>
      <c r="F713" s="43" t="str">
        <f t="shared" si="56"/>
        <v>GABRIEL</v>
      </c>
      <c r="G713" s="43" t="str">
        <f t="shared" si="57"/>
        <v>GABRIEL</v>
      </c>
      <c r="H713" s="43" t="str">
        <f t="shared" si="58"/>
        <v>OPORTA QUESADA</v>
      </c>
      <c r="I713" s="43" t="str">
        <f t="shared" si="59"/>
        <v>GABRIEL OPORTA QUESADA</v>
      </c>
      <c r="J713" s="37" t="s">
        <v>2241</v>
      </c>
      <c r="K713" s="37">
        <v>10</v>
      </c>
      <c r="L713" s="37">
        <v>3</v>
      </c>
      <c r="M713" s="37" t="s">
        <v>1</v>
      </c>
    </row>
    <row r="714" spans="2:13" x14ac:dyDescent="0.25">
      <c r="B714" s="46">
        <v>711</v>
      </c>
      <c r="C714" s="48">
        <v>209150521</v>
      </c>
      <c r="D714" s="43" t="str">
        <f t="shared" si="55"/>
        <v>2-0915-0521</v>
      </c>
      <c r="E714" s="48" t="s">
        <v>574</v>
      </c>
      <c r="F714" s="43" t="str">
        <f t="shared" si="56"/>
        <v>MARIA PAULA</v>
      </c>
      <c r="G714" s="43" t="str">
        <f t="shared" si="57"/>
        <v>MARIA</v>
      </c>
      <c r="H714" s="43" t="str">
        <f t="shared" si="58"/>
        <v>PRENDAS PEREZ</v>
      </c>
      <c r="I714" s="43" t="str">
        <f t="shared" si="59"/>
        <v>MARIA PRENDAS PEREZ</v>
      </c>
      <c r="J714" s="37" t="s">
        <v>2241</v>
      </c>
      <c r="K714" s="37">
        <v>10</v>
      </c>
      <c r="L714" s="37">
        <v>3</v>
      </c>
      <c r="M714" s="37" t="s">
        <v>1</v>
      </c>
    </row>
    <row r="715" spans="2:13" x14ac:dyDescent="0.25">
      <c r="B715" s="48">
        <v>712</v>
      </c>
      <c r="C715" s="48">
        <v>209130893</v>
      </c>
      <c r="D715" s="43" t="str">
        <f t="shared" si="55"/>
        <v>2-0913-0893</v>
      </c>
      <c r="E715" s="48" t="s">
        <v>2246</v>
      </c>
      <c r="F715" s="43" t="str">
        <f t="shared" si="56"/>
        <v>ALLISON</v>
      </c>
      <c r="G715" s="43" t="str">
        <f t="shared" si="57"/>
        <v>ALLISON</v>
      </c>
      <c r="H715" s="43" t="str">
        <f t="shared" si="58"/>
        <v>RODRIGUEZ MURILLO</v>
      </c>
      <c r="I715" s="43" t="str">
        <f t="shared" si="59"/>
        <v>ALLISON RODRIGUEZ MURILLO</v>
      </c>
      <c r="J715" s="37" t="s">
        <v>2241</v>
      </c>
      <c r="K715" s="37">
        <v>10</v>
      </c>
      <c r="L715" s="37">
        <v>3</v>
      </c>
      <c r="M715" s="37" t="s">
        <v>1</v>
      </c>
    </row>
    <row r="716" spans="2:13" x14ac:dyDescent="0.25">
      <c r="B716" s="48">
        <v>713</v>
      </c>
      <c r="C716" s="48">
        <v>209190545</v>
      </c>
      <c r="D716" s="43" t="str">
        <f t="shared" si="55"/>
        <v>2-0919-0545</v>
      </c>
      <c r="E716" s="48" t="s">
        <v>575</v>
      </c>
      <c r="F716" s="43" t="str">
        <f t="shared" si="56"/>
        <v>EMILY SUSANA</v>
      </c>
      <c r="G716" s="43" t="str">
        <f t="shared" si="57"/>
        <v>EMILY</v>
      </c>
      <c r="H716" s="43" t="str">
        <f t="shared" si="58"/>
        <v>ROJAS ZELEDON</v>
      </c>
      <c r="I716" s="43" t="str">
        <f t="shared" si="59"/>
        <v>EMILY ROJAS ZELEDON</v>
      </c>
      <c r="J716" s="37" t="s">
        <v>2241</v>
      </c>
      <c r="K716" s="37">
        <v>10</v>
      </c>
      <c r="L716" s="37">
        <v>3</v>
      </c>
      <c r="M716" s="37" t="s">
        <v>1</v>
      </c>
    </row>
    <row r="717" spans="2:13" x14ac:dyDescent="0.25">
      <c r="B717" s="46">
        <v>714</v>
      </c>
      <c r="C717" s="48">
        <v>402830388</v>
      </c>
      <c r="D717" s="43" t="str">
        <f t="shared" si="55"/>
        <v>4-0283-0388</v>
      </c>
      <c r="E717" s="48" t="s">
        <v>576</v>
      </c>
      <c r="F717" s="43" t="str">
        <f t="shared" si="56"/>
        <v>RAQUEL DAYANA</v>
      </c>
      <c r="G717" s="43" t="str">
        <f t="shared" si="57"/>
        <v>RAQUEL</v>
      </c>
      <c r="H717" s="43" t="str">
        <f t="shared" si="58"/>
        <v>SANDI ALFARO</v>
      </c>
      <c r="I717" s="43" t="str">
        <f t="shared" si="59"/>
        <v>RAQUEL SANDI ALFARO</v>
      </c>
      <c r="J717" s="37" t="s">
        <v>2241</v>
      </c>
      <c r="K717" s="37">
        <v>10</v>
      </c>
      <c r="L717" s="37">
        <v>3</v>
      </c>
      <c r="M717" s="37" t="s">
        <v>1</v>
      </c>
    </row>
    <row r="718" spans="2:13" x14ac:dyDescent="0.25">
      <c r="B718" s="48">
        <v>715</v>
      </c>
      <c r="C718" s="48">
        <v>209140970</v>
      </c>
      <c r="D718" s="43" t="str">
        <f t="shared" si="55"/>
        <v>2-0914-0970</v>
      </c>
      <c r="E718" s="48" t="s">
        <v>577</v>
      </c>
      <c r="F718" s="43" t="str">
        <f t="shared" si="56"/>
        <v>SHERYL FIORELA</v>
      </c>
      <c r="G718" s="43" t="str">
        <f t="shared" si="57"/>
        <v>SHERYL</v>
      </c>
      <c r="H718" s="43" t="str">
        <f t="shared" si="58"/>
        <v>SOTO RODRIGUEZ</v>
      </c>
      <c r="I718" s="43" t="str">
        <f t="shared" si="59"/>
        <v>SHERYL SOTO RODRIGUEZ</v>
      </c>
      <c r="J718" s="37" t="s">
        <v>2241</v>
      </c>
      <c r="K718" s="37">
        <v>10</v>
      </c>
      <c r="L718" s="37">
        <v>3</v>
      </c>
      <c r="M718" s="37" t="s">
        <v>1</v>
      </c>
    </row>
    <row r="719" spans="2:13" x14ac:dyDescent="0.25">
      <c r="B719" s="48">
        <v>716</v>
      </c>
      <c r="C719" s="48">
        <v>120530836</v>
      </c>
      <c r="D719" s="43" t="str">
        <f t="shared" si="55"/>
        <v>1-2053-0836</v>
      </c>
      <c r="E719" s="48" t="s">
        <v>578</v>
      </c>
      <c r="F719" s="43" t="str">
        <f t="shared" si="56"/>
        <v>ANGIE GABRIELA</v>
      </c>
      <c r="G719" s="43" t="str">
        <f t="shared" si="57"/>
        <v>ANGIE</v>
      </c>
      <c r="H719" s="43" t="str">
        <f t="shared" si="58"/>
        <v>UGALDE ARAYA</v>
      </c>
      <c r="I719" s="43" t="str">
        <f t="shared" si="59"/>
        <v>ANGIE UGALDE ARAYA</v>
      </c>
      <c r="J719" s="37" t="s">
        <v>2241</v>
      </c>
      <c r="K719" s="37">
        <v>10</v>
      </c>
      <c r="L719" s="37">
        <v>3</v>
      </c>
      <c r="M719" s="37" t="s">
        <v>1</v>
      </c>
    </row>
    <row r="720" spans="2:13" x14ac:dyDescent="0.25">
      <c r="B720" s="46">
        <v>717</v>
      </c>
      <c r="C720" s="48">
        <v>208920937</v>
      </c>
      <c r="D720" s="43" t="str">
        <f t="shared" si="55"/>
        <v>2-0892-0937</v>
      </c>
      <c r="E720" s="48" t="s">
        <v>771</v>
      </c>
      <c r="F720" s="43" t="str">
        <f t="shared" si="56"/>
        <v>MANFRED DE JESUS</v>
      </c>
      <c r="G720" s="43" t="str">
        <f t="shared" si="57"/>
        <v>MANFRED</v>
      </c>
      <c r="H720" s="43" t="str">
        <f t="shared" si="58"/>
        <v>UGALDE SALAS</v>
      </c>
      <c r="I720" s="43" t="str">
        <f t="shared" si="59"/>
        <v>MANFRED UGALDE SALAS</v>
      </c>
      <c r="J720" s="37" t="s">
        <v>656</v>
      </c>
      <c r="K720" s="37">
        <v>10</v>
      </c>
      <c r="L720" s="37">
        <v>3</v>
      </c>
      <c r="M720" s="37" t="s">
        <v>1</v>
      </c>
    </row>
    <row r="721" spans="2:13" x14ac:dyDescent="0.25">
      <c r="B721" s="48">
        <v>718</v>
      </c>
      <c r="C721" s="48">
        <v>209100720</v>
      </c>
      <c r="D721" s="43" t="str">
        <f t="shared" si="55"/>
        <v>2-0910-0720</v>
      </c>
      <c r="E721" s="48" t="s">
        <v>579</v>
      </c>
      <c r="F721" s="43" t="str">
        <f t="shared" si="56"/>
        <v>ANTONY JOSE</v>
      </c>
      <c r="G721" s="43" t="str">
        <f t="shared" si="57"/>
        <v>ANTONY</v>
      </c>
      <c r="H721" s="43" t="str">
        <f t="shared" si="58"/>
        <v>VARGAS ESQUIVEL</v>
      </c>
      <c r="I721" s="43" t="str">
        <f t="shared" si="59"/>
        <v>ANTONY VARGAS ESQUIVEL</v>
      </c>
      <c r="J721" s="37" t="s">
        <v>2241</v>
      </c>
      <c r="K721" s="37">
        <v>10</v>
      </c>
      <c r="L721" s="37">
        <v>3</v>
      </c>
      <c r="M721" s="37" t="s">
        <v>1</v>
      </c>
    </row>
    <row r="722" spans="2:13" x14ac:dyDescent="0.25">
      <c r="B722" s="48">
        <v>719</v>
      </c>
      <c r="C722" s="52">
        <v>402810836</v>
      </c>
      <c r="D722" s="43" t="str">
        <f t="shared" si="55"/>
        <v>4-0281-0836</v>
      </c>
      <c r="E722" s="52" t="s">
        <v>581</v>
      </c>
      <c r="F722" s="43" t="str">
        <f t="shared" si="56"/>
        <v>ARAN DANIEL</v>
      </c>
      <c r="G722" s="43" t="str">
        <f t="shared" si="57"/>
        <v>ARAN</v>
      </c>
      <c r="H722" s="43" t="str">
        <f t="shared" si="58"/>
        <v>ACOSTA SALAZAR</v>
      </c>
      <c r="I722" s="43" t="str">
        <f t="shared" si="59"/>
        <v>ARAN ACOSTA SALAZAR</v>
      </c>
      <c r="J722" s="37" t="s">
        <v>582</v>
      </c>
      <c r="K722" s="37">
        <v>10</v>
      </c>
      <c r="L722" s="37">
        <v>3</v>
      </c>
      <c r="M722" s="37" t="s">
        <v>0</v>
      </c>
    </row>
    <row r="723" spans="2:13" x14ac:dyDescent="0.25">
      <c r="B723" s="46">
        <v>720</v>
      </c>
      <c r="C723" s="52">
        <v>209120844</v>
      </c>
      <c r="D723" s="43" t="str">
        <f t="shared" si="55"/>
        <v>2-0912-0844</v>
      </c>
      <c r="E723" s="52" t="s">
        <v>583</v>
      </c>
      <c r="F723" s="43" t="str">
        <f t="shared" si="56"/>
        <v>SCARLET NAYMA</v>
      </c>
      <c r="G723" s="43" t="str">
        <f t="shared" si="57"/>
        <v>SCARLET</v>
      </c>
      <c r="H723" s="43" t="str">
        <f t="shared" si="58"/>
        <v>ACUÑA GONZALEZ</v>
      </c>
      <c r="I723" s="43" t="str">
        <f t="shared" si="59"/>
        <v>SCARLET ACUÑA GONZALEZ</v>
      </c>
      <c r="J723" s="37" t="s">
        <v>582</v>
      </c>
      <c r="K723" s="37">
        <v>10</v>
      </c>
      <c r="L723" s="37">
        <v>3</v>
      </c>
      <c r="M723" s="37" t="s">
        <v>0</v>
      </c>
    </row>
    <row r="724" spans="2:13" x14ac:dyDescent="0.25">
      <c r="B724" s="48">
        <v>721</v>
      </c>
      <c r="C724" s="52">
        <v>209240937</v>
      </c>
      <c r="D724" s="43" t="str">
        <f t="shared" si="55"/>
        <v>2-0924-0937</v>
      </c>
      <c r="E724" s="52" t="s">
        <v>584</v>
      </c>
      <c r="F724" s="43" t="str">
        <f t="shared" si="56"/>
        <v>MATIAS</v>
      </c>
      <c r="G724" s="43" t="str">
        <f t="shared" si="57"/>
        <v>MATIAS</v>
      </c>
      <c r="H724" s="43" t="str">
        <f t="shared" si="58"/>
        <v>ALVAREZ ALVAREZ</v>
      </c>
      <c r="I724" s="43" t="str">
        <f t="shared" si="59"/>
        <v>MATIAS ALVAREZ ALVAREZ</v>
      </c>
      <c r="J724" s="37" t="s">
        <v>582</v>
      </c>
      <c r="K724" s="37">
        <v>10</v>
      </c>
      <c r="L724" s="37">
        <v>3</v>
      </c>
      <c r="M724" s="37" t="s">
        <v>0</v>
      </c>
    </row>
    <row r="725" spans="2:13" x14ac:dyDescent="0.25">
      <c r="B725" s="48">
        <v>722</v>
      </c>
      <c r="C725" s="52">
        <v>209220045</v>
      </c>
      <c r="D725" s="43" t="str">
        <f t="shared" si="55"/>
        <v>2-0922-0045</v>
      </c>
      <c r="E725" s="52" t="s">
        <v>585</v>
      </c>
      <c r="F725" s="43" t="str">
        <f t="shared" si="56"/>
        <v>SAMUEL</v>
      </c>
      <c r="G725" s="43" t="str">
        <f t="shared" si="57"/>
        <v>SAMUEL</v>
      </c>
      <c r="H725" s="43" t="str">
        <f t="shared" si="58"/>
        <v>ARGUEDAS RODRIGUEZ</v>
      </c>
      <c r="I725" s="43" t="str">
        <f t="shared" si="59"/>
        <v>SAMUEL ARGUEDAS RODRIGUEZ</v>
      </c>
      <c r="J725" s="37" t="s">
        <v>582</v>
      </c>
      <c r="K725" s="37">
        <v>10</v>
      </c>
      <c r="L725" s="37">
        <v>3</v>
      </c>
      <c r="M725" s="37" t="s">
        <v>0</v>
      </c>
    </row>
    <row r="726" spans="2:13" x14ac:dyDescent="0.25">
      <c r="B726" s="46">
        <v>723</v>
      </c>
      <c r="C726" s="54">
        <v>208980901</v>
      </c>
      <c r="D726" s="43" t="str">
        <f t="shared" si="55"/>
        <v>2-0898-0901</v>
      </c>
      <c r="E726" s="54" t="s">
        <v>586</v>
      </c>
      <c r="F726" s="43" t="str">
        <f t="shared" si="56"/>
        <v>ALISON JAZMIN</v>
      </c>
      <c r="G726" s="43" t="str">
        <f t="shared" si="57"/>
        <v>ALISON</v>
      </c>
      <c r="H726" s="43" t="str">
        <f t="shared" si="58"/>
        <v>BADILLA MONTERO</v>
      </c>
      <c r="I726" s="43" t="str">
        <f t="shared" si="59"/>
        <v>ALISON BADILLA MONTERO</v>
      </c>
      <c r="J726" s="37" t="s">
        <v>582</v>
      </c>
      <c r="K726" s="37">
        <v>10</v>
      </c>
      <c r="L726" s="37">
        <v>3</v>
      </c>
      <c r="M726" s="37" t="s">
        <v>0</v>
      </c>
    </row>
    <row r="727" spans="2:13" x14ac:dyDescent="0.25">
      <c r="B727" s="48">
        <v>724</v>
      </c>
      <c r="C727" s="52">
        <v>120640048</v>
      </c>
      <c r="D727" s="43" t="str">
        <f t="shared" si="55"/>
        <v>1-2064-0048</v>
      </c>
      <c r="E727" s="52" t="s">
        <v>2247</v>
      </c>
      <c r="F727" s="43" t="str">
        <f t="shared" si="56"/>
        <v>JOCKSAN</v>
      </c>
      <c r="G727" s="43" t="str">
        <f t="shared" si="57"/>
        <v>JOCKSAN</v>
      </c>
      <c r="H727" s="43" t="str">
        <f t="shared" si="58"/>
        <v>BENAVIDES BOLAÑOS</v>
      </c>
      <c r="I727" s="43" t="str">
        <f t="shared" si="59"/>
        <v>JOCKSAN BENAVIDES BOLAÑOS</v>
      </c>
      <c r="J727" s="37" t="s">
        <v>582</v>
      </c>
      <c r="K727" s="37">
        <v>10</v>
      </c>
      <c r="L727" s="37">
        <v>3</v>
      </c>
      <c r="M727" s="37" t="s">
        <v>0</v>
      </c>
    </row>
    <row r="728" spans="2:13" x14ac:dyDescent="0.25">
      <c r="B728" s="48">
        <v>725</v>
      </c>
      <c r="C728" s="52">
        <v>209170164</v>
      </c>
      <c r="D728" s="43" t="str">
        <f t="shared" si="55"/>
        <v>2-0917-0164</v>
      </c>
      <c r="E728" s="52" t="s">
        <v>587</v>
      </c>
      <c r="F728" s="43" t="str">
        <f t="shared" si="56"/>
        <v>SEBASTIAN</v>
      </c>
      <c r="G728" s="43" t="str">
        <f t="shared" si="57"/>
        <v>SEBASTIAN</v>
      </c>
      <c r="H728" s="43" t="str">
        <f t="shared" si="58"/>
        <v>CERDAS VARGAS</v>
      </c>
      <c r="I728" s="43" t="str">
        <f t="shared" si="59"/>
        <v>SEBASTIAN CERDAS VARGAS</v>
      </c>
      <c r="J728" s="37" t="s">
        <v>582</v>
      </c>
      <c r="K728" s="37">
        <v>10</v>
      </c>
      <c r="L728" s="37">
        <v>3</v>
      </c>
      <c r="M728" s="37" t="s">
        <v>0</v>
      </c>
    </row>
    <row r="729" spans="2:13" x14ac:dyDescent="0.25">
      <c r="B729" s="46">
        <v>726</v>
      </c>
      <c r="C729" s="52">
        <v>119940619</v>
      </c>
      <c r="D729" s="43" t="str">
        <f t="shared" si="55"/>
        <v>1-1994-0619</v>
      </c>
      <c r="E729" s="52" t="s">
        <v>588</v>
      </c>
      <c r="F729" s="43" t="str">
        <f t="shared" si="56"/>
        <v>ROY ANDERSON</v>
      </c>
      <c r="G729" s="43" t="str">
        <f t="shared" si="57"/>
        <v>ROY</v>
      </c>
      <c r="H729" s="43" t="str">
        <f t="shared" si="58"/>
        <v>CESPEDES MUÑOZ</v>
      </c>
      <c r="I729" s="43" t="str">
        <f t="shared" si="59"/>
        <v>ROY CESPEDES MUÑOZ</v>
      </c>
      <c r="J729" s="37" t="s">
        <v>582</v>
      </c>
      <c r="K729" s="37">
        <v>10</v>
      </c>
      <c r="L729" s="37">
        <v>3</v>
      </c>
      <c r="M729" s="37" t="s">
        <v>0</v>
      </c>
    </row>
    <row r="730" spans="2:13" x14ac:dyDescent="0.25">
      <c r="B730" s="48">
        <v>727</v>
      </c>
      <c r="C730" s="52">
        <v>305880841</v>
      </c>
      <c r="D730" s="43" t="str">
        <f t="shared" si="55"/>
        <v>3-0588-0841</v>
      </c>
      <c r="E730" s="52" t="s">
        <v>589</v>
      </c>
      <c r="F730" s="43" t="str">
        <f t="shared" si="56"/>
        <v>KENAN GABRIEL</v>
      </c>
      <c r="G730" s="43" t="str">
        <f t="shared" si="57"/>
        <v>KENAN</v>
      </c>
      <c r="H730" s="43" t="str">
        <f t="shared" si="58"/>
        <v>CHAVARRIA BENZA</v>
      </c>
      <c r="I730" s="43" t="str">
        <f t="shared" si="59"/>
        <v>KENAN CHAVARRIA BENZA</v>
      </c>
      <c r="J730" s="37" t="s">
        <v>582</v>
      </c>
      <c r="K730" s="37">
        <v>10</v>
      </c>
      <c r="L730" s="37">
        <v>3</v>
      </c>
      <c r="M730" s="37" t="s">
        <v>0</v>
      </c>
    </row>
    <row r="731" spans="2:13" x14ac:dyDescent="0.25">
      <c r="B731" s="48">
        <v>728</v>
      </c>
      <c r="C731" s="52">
        <v>209140064</v>
      </c>
      <c r="D731" s="43" t="str">
        <f t="shared" si="55"/>
        <v>2-0914-0064</v>
      </c>
      <c r="E731" s="52" t="s">
        <v>590</v>
      </c>
      <c r="F731" s="43" t="str">
        <f t="shared" si="56"/>
        <v>MARIANGEL</v>
      </c>
      <c r="G731" s="43" t="str">
        <f t="shared" si="57"/>
        <v>MARIANGEL</v>
      </c>
      <c r="H731" s="43" t="str">
        <f t="shared" si="58"/>
        <v>CHAVARRIA SAENZ</v>
      </c>
      <c r="I731" s="43" t="str">
        <f t="shared" si="59"/>
        <v>MARIANGEL CHAVARRIA SAENZ</v>
      </c>
      <c r="J731" s="37" t="s">
        <v>582</v>
      </c>
      <c r="K731" s="37">
        <v>10</v>
      </c>
      <c r="L731" s="37">
        <v>3</v>
      </c>
      <c r="M731" s="37" t="s">
        <v>0</v>
      </c>
    </row>
    <row r="732" spans="2:13" x14ac:dyDescent="0.25">
      <c r="B732" s="46">
        <v>729</v>
      </c>
      <c r="C732" s="52">
        <v>402830059</v>
      </c>
      <c r="D732" s="43" t="str">
        <f t="shared" si="55"/>
        <v>4-0283-0059</v>
      </c>
      <c r="E732" s="52" t="s">
        <v>591</v>
      </c>
      <c r="F732" s="43" t="str">
        <f t="shared" si="56"/>
        <v>AMANDA</v>
      </c>
      <c r="G732" s="43" t="str">
        <f t="shared" si="57"/>
        <v>AMANDA</v>
      </c>
      <c r="H732" s="43" t="str">
        <f t="shared" si="58"/>
        <v>ESPINOZA RODRIGUEZ</v>
      </c>
      <c r="I732" s="43" t="str">
        <f t="shared" si="59"/>
        <v>AMANDA ESPINOZA RODRIGUEZ</v>
      </c>
      <c r="J732" s="37" t="s">
        <v>582</v>
      </c>
      <c r="K732" s="37">
        <v>10</v>
      </c>
      <c r="L732" s="37">
        <v>3</v>
      </c>
      <c r="M732" s="37" t="s">
        <v>0</v>
      </c>
    </row>
    <row r="733" spans="2:13" x14ac:dyDescent="0.25">
      <c r="B733" s="48">
        <v>730</v>
      </c>
      <c r="C733" s="52">
        <v>209190568</v>
      </c>
      <c r="D733" s="43" t="str">
        <f t="shared" si="55"/>
        <v>2-0919-0568</v>
      </c>
      <c r="E733" s="52" t="s">
        <v>592</v>
      </c>
      <c r="F733" s="43" t="str">
        <f t="shared" si="56"/>
        <v>KEYLAN ALI</v>
      </c>
      <c r="G733" s="43" t="str">
        <f t="shared" si="57"/>
        <v>KEYLAN</v>
      </c>
      <c r="H733" s="43" t="str">
        <f t="shared" si="58"/>
        <v>GUTIERREZ ALEMAN</v>
      </c>
      <c r="I733" s="43" t="str">
        <f t="shared" si="59"/>
        <v>KEYLAN GUTIERREZ ALEMAN</v>
      </c>
      <c r="J733" s="37" t="s">
        <v>582</v>
      </c>
      <c r="K733" s="37">
        <v>10</v>
      </c>
      <c r="L733" s="37">
        <v>3</v>
      </c>
      <c r="M733" s="37" t="s">
        <v>0</v>
      </c>
    </row>
    <row r="734" spans="2:13" x14ac:dyDescent="0.25">
      <c r="B734" s="48">
        <v>731</v>
      </c>
      <c r="C734" s="52">
        <v>209150524</v>
      </c>
      <c r="D734" s="43" t="str">
        <f t="shared" si="55"/>
        <v>2-0915-0524</v>
      </c>
      <c r="E734" s="52" t="s">
        <v>593</v>
      </c>
      <c r="F734" s="43" t="str">
        <f t="shared" si="56"/>
        <v>CARLOS JESUA</v>
      </c>
      <c r="G734" s="43" t="str">
        <f t="shared" si="57"/>
        <v>CARLOS</v>
      </c>
      <c r="H734" s="43" t="str">
        <f t="shared" si="58"/>
        <v>LINARTE PEREZ</v>
      </c>
      <c r="I734" s="43" t="str">
        <f t="shared" si="59"/>
        <v>CARLOS LINARTE PEREZ</v>
      </c>
      <c r="J734" s="37" t="s">
        <v>582</v>
      </c>
      <c r="K734" s="37">
        <v>10</v>
      </c>
      <c r="L734" s="37">
        <v>3</v>
      </c>
      <c r="M734" s="37" t="s">
        <v>0</v>
      </c>
    </row>
    <row r="735" spans="2:13" x14ac:dyDescent="0.25">
      <c r="B735" s="46">
        <v>732</v>
      </c>
      <c r="C735" s="33">
        <v>402810302</v>
      </c>
      <c r="D735" s="43" t="str">
        <f t="shared" si="55"/>
        <v>4-0281-0302</v>
      </c>
      <c r="E735" s="33" t="s">
        <v>844</v>
      </c>
      <c r="F735" s="43" t="str">
        <f t="shared" si="56"/>
        <v>JEFFRY DANILO</v>
      </c>
      <c r="G735" s="43" t="str">
        <f t="shared" si="57"/>
        <v>JEFFRY</v>
      </c>
      <c r="H735" s="43" t="str">
        <f t="shared" si="58"/>
        <v>MARTINEZ LOPEZ</v>
      </c>
      <c r="I735" s="43" t="str">
        <f t="shared" si="59"/>
        <v>JEFFRY MARTINEZ LOPEZ</v>
      </c>
      <c r="J735" s="37" t="s">
        <v>582</v>
      </c>
      <c r="K735" s="37">
        <v>10</v>
      </c>
      <c r="L735" s="37">
        <v>3</v>
      </c>
      <c r="M735" s="37" t="s">
        <v>0</v>
      </c>
    </row>
    <row r="736" spans="2:13" x14ac:dyDescent="0.25">
      <c r="B736" s="48">
        <v>733</v>
      </c>
      <c r="C736" s="52">
        <v>120140302</v>
      </c>
      <c r="D736" s="43" t="str">
        <f t="shared" si="55"/>
        <v>1-2014-0302</v>
      </c>
      <c r="E736" s="52" t="s">
        <v>594</v>
      </c>
      <c r="F736" s="43" t="str">
        <f t="shared" si="56"/>
        <v>SOFIA</v>
      </c>
      <c r="G736" s="43" t="str">
        <f t="shared" si="57"/>
        <v>SOFIA</v>
      </c>
      <c r="H736" s="43" t="str">
        <f t="shared" si="58"/>
        <v>MONTERO UREÑA</v>
      </c>
      <c r="I736" s="43" t="str">
        <f t="shared" si="59"/>
        <v>SOFIA MONTERO UREÑA</v>
      </c>
      <c r="J736" s="37" t="s">
        <v>582</v>
      </c>
      <c r="K736" s="37">
        <v>10</v>
      </c>
      <c r="L736" s="37">
        <v>3</v>
      </c>
      <c r="M736" s="37" t="s">
        <v>0</v>
      </c>
    </row>
    <row r="737" spans="2:13" x14ac:dyDescent="0.25">
      <c r="B737" s="48">
        <v>734</v>
      </c>
      <c r="C737" s="52">
        <v>402820862</v>
      </c>
      <c r="D737" s="43" t="str">
        <f t="shared" si="55"/>
        <v>4-0282-0862</v>
      </c>
      <c r="E737" s="52" t="s">
        <v>2249</v>
      </c>
      <c r="F737" s="43" t="str">
        <f t="shared" si="56"/>
        <v>GILBERTH</v>
      </c>
      <c r="G737" s="43" t="str">
        <f t="shared" si="57"/>
        <v>GILBERTH</v>
      </c>
      <c r="H737" s="43" t="str">
        <f t="shared" si="58"/>
        <v>MORENO PANIAGUA</v>
      </c>
      <c r="I737" s="43" t="str">
        <f t="shared" si="59"/>
        <v>GILBERTH MORENO PANIAGUA</v>
      </c>
      <c r="J737" s="37" t="s">
        <v>582</v>
      </c>
      <c r="K737" s="37">
        <v>10</v>
      </c>
      <c r="L737" s="37">
        <v>3</v>
      </c>
      <c r="M737" s="37" t="s">
        <v>0</v>
      </c>
    </row>
    <row r="738" spans="2:13" x14ac:dyDescent="0.25">
      <c r="B738" s="46">
        <v>735</v>
      </c>
      <c r="C738" s="39">
        <v>120120048</v>
      </c>
      <c r="D738" s="43" t="str">
        <f t="shared" si="55"/>
        <v>1-2012-0048</v>
      </c>
      <c r="E738" s="39" t="s">
        <v>817</v>
      </c>
      <c r="F738" s="43" t="str">
        <f t="shared" si="56"/>
        <v>CALEB</v>
      </c>
      <c r="G738" s="43" t="str">
        <f t="shared" si="57"/>
        <v>CALEB</v>
      </c>
      <c r="H738" s="43" t="str">
        <f t="shared" si="58"/>
        <v>RAMIREZ ORTEGA</v>
      </c>
      <c r="I738" s="43" t="str">
        <f t="shared" si="59"/>
        <v>CALEB RAMIREZ ORTEGA</v>
      </c>
      <c r="J738" s="37" t="s">
        <v>582</v>
      </c>
      <c r="K738" s="37">
        <v>10</v>
      </c>
      <c r="L738" s="37">
        <v>3</v>
      </c>
      <c r="M738" s="37" t="s">
        <v>0</v>
      </c>
    </row>
    <row r="739" spans="2:13" x14ac:dyDescent="0.25">
      <c r="B739" s="48">
        <v>736</v>
      </c>
      <c r="C739" s="52">
        <v>402830307</v>
      </c>
      <c r="D739" s="43" t="str">
        <f t="shared" si="55"/>
        <v>4-0283-0307</v>
      </c>
      <c r="E739" s="52" t="s">
        <v>2248</v>
      </c>
      <c r="F739" s="43" t="str">
        <f t="shared" si="56"/>
        <v>JOSE</v>
      </c>
      <c r="G739" s="43" t="str">
        <f t="shared" si="57"/>
        <v>JOSE</v>
      </c>
      <c r="H739" s="43" t="str">
        <f t="shared" si="58"/>
        <v>SANCHEZ CARBALLO</v>
      </c>
      <c r="I739" s="43" t="str">
        <f t="shared" si="59"/>
        <v>JOSE SANCHEZ CARBALLO</v>
      </c>
      <c r="J739" s="37" t="s">
        <v>582</v>
      </c>
      <c r="K739" s="37">
        <v>10</v>
      </c>
      <c r="L739" s="37">
        <v>3</v>
      </c>
      <c r="M739" s="37" t="s">
        <v>0</v>
      </c>
    </row>
    <row r="740" spans="2:13" x14ac:dyDescent="0.25">
      <c r="B740" s="48">
        <v>737</v>
      </c>
      <c r="C740" s="52">
        <v>120660706</v>
      </c>
      <c r="D740" s="43" t="str">
        <f t="shared" si="55"/>
        <v>1-2066-0706</v>
      </c>
      <c r="E740" s="52" t="s">
        <v>595</v>
      </c>
      <c r="F740" s="43" t="str">
        <f t="shared" si="56"/>
        <v>MATIAS</v>
      </c>
      <c r="G740" s="43" t="str">
        <f t="shared" si="57"/>
        <v>MATIAS</v>
      </c>
      <c r="H740" s="43" t="str">
        <f t="shared" si="58"/>
        <v>SOTO PANIAGUA</v>
      </c>
      <c r="I740" s="43" t="str">
        <f t="shared" si="59"/>
        <v>MATIAS SOTO PANIAGUA</v>
      </c>
      <c r="J740" s="37" t="s">
        <v>582</v>
      </c>
      <c r="K740" s="37">
        <v>10</v>
      </c>
      <c r="L740" s="37">
        <v>3</v>
      </c>
      <c r="M740" s="37" t="s">
        <v>0</v>
      </c>
    </row>
    <row r="741" spans="2:13" x14ac:dyDescent="0.25">
      <c r="B741" s="46">
        <v>738</v>
      </c>
      <c r="C741" s="52">
        <v>402830486</v>
      </c>
      <c r="D741" s="43" t="str">
        <f t="shared" si="55"/>
        <v>4-0283-0486</v>
      </c>
      <c r="E741" s="52" t="s">
        <v>2244</v>
      </c>
      <c r="F741" s="43" t="str">
        <f t="shared" si="56"/>
        <v>JIMENA</v>
      </c>
      <c r="G741" s="43" t="str">
        <f t="shared" si="57"/>
        <v>JIMENA</v>
      </c>
      <c r="H741" s="43" t="str">
        <f t="shared" si="58"/>
        <v>VARGAS CARVAJAL</v>
      </c>
      <c r="I741" s="43" t="str">
        <f t="shared" si="59"/>
        <v>JIMENA VARGAS CARVAJAL</v>
      </c>
      <c r="J741" s="37" t="s">
        <v>582</v>
      </c>
      <c r="K741" s="37">
        <v>10</v>
      </c>
      <c r="L741" s="37">
        <v>3</v>
      </c>
      <c r="M741" s="37" t="s">
        <v>0</v>
      </c>
    </row>
    <row r="742" spans="2:13" x14ac:dyDescent="0.25">
      <c r="B742" s="48">
        <v>739</v>
      </c>
      <c r="C742" s="52">
        <v>209160506</v>
      </c>
      <c r="D742" s="43" t="str">
        <f t="shared" si="55"/>
        <v>2-0916-0506</v>
      </c>
      <c r="E742" s="52" t="s">
        <v>2331</v>
      </c>
      <c r="F742" s="43" t="str">
        <f t="shared" si="56"/>
        <v>BRITANY</v>
      </c>
      <c r="G742" s="43" t="str">
        <f t="shared" si="57"/>
        <v>BRITANY</v>
      </c>
      <c r="H742" s="43" t="str">
        <f t="shared" si="58"/>
        <v>AGUILAR MORA</v>
      </c>
      <c r="I742" s="43" t="str">
        <f t="shared" si="59"/>
        <v>BRITANY AGUILAR MORA</v>
      </c>
      <c r="J742" s="37" t="s">
        <v>2241</v>
      </c>
      <c r="K742" s="37">
        <v>10</v>
      </c>
      <c r="L742" s="37">
        <v>4</v>
      </c>
      <c r="M742" s="37" t="s">
        <v>1</v>
      </c>
    </row>
    <row r="743" spans="2:13" x14ac:dyDescent="0.25">
      <c r="B743" s="48">
        <v>740</v>
      </c>
      <c r="C743" s="52">
        <v>120690319</v>
      </c>
      <c r="D743" s="43" t="str">
        <f t="shared" si="55"/>
        <v>1-2069-0319</v>
      </c>
      <c r="E743" s="52" t="s">
        <v>596</v>
      </c>
      <c r="F743" s="43" t="str">
        <f t="shared" si="56"/>
        <v>LUIS FELIPE</v>
      </c>
      <c r="G743" s="43" t="str">
        <f t="shared" si="57"/>
        <v>LUIS</v>
      </c>
      <c r="H743" s="43" t="str">
        <f t="shared" si="58"/>
        <v>ALFARO ARCE</v>
      </c>
      <c r="I743" s="43" t="str">
        <f t="shared" si="59"/>
        <v>LUIS ALFARO ARCE</v>
      </c>
      <c r="J743" s="37" t="s">
        <v>2241</v>
      </c>
      <c r="K743" s="37">
        <v>10</v>
      </c>
      <c r="L743" s="37">
        <v>4</v>
      </c>
      <c r="M743" s="37" t="s">
        <v>1</v>
      </c>
    </row>
    <row r="744" spans="2:13" x14ac:dyDescent="0.25">
      <c r="B744" s="46">
        <v>741</v>
      </c>
      <c r="C744" s="52">
        <v>209220521</v>
      </c>
      <c r="D744" s="43" t="str">
        <f t="shared" si="55"/>
        <v>2-0922-0521</v>
      </c>
      <c r="E744" s="52" t="s">
        <v>597</v>
      </c>
      <c r="F744" s="43" t="str">
        <f t="shared" si="56"/>
        <v>SERGIO ALONSO</v>
      </c>
      <c r="G744" s="43" t="str">
        <f t="shared" si="57"/>
        <v>SERGIO</v>
      </c>
      <c r="H744" s="43" t="str">
        <f t="shared" si="58"/>
        <v>ARAYA BONILLA</v>
      </c>
      <c r="I744" s="43" t="str">
        <f t="shared" si="59"/>
        <v>SERGIO ARAYA BONILLA</v>
      </c>
      <c r="J744" s="37" t="s">
        <v>2241</v>
      </c>
      <c r="K744" s="37">
        <v>10</v>
      </c>
      <c r="L744" s="37">
        <v>4</v>
      </c>
      <c r="M744" s="37" t="s">
        <v>1</v>
      </c>
    </row>
    <row r="745" spans="2:13" x14ac:dyDescent="0.25">
      <c r="B745" s="48">
        <v>742</v>
      </c>
      <c r="C745" s="52">
        <v>120590868</v>
      </c>
      <c r="D745" s="43" t="str">
        <f t="shared" si="55"/>
        <v>1-2059-0868</v>
      </c>
      <c r="E745" s="52" t="s">
        <v>598</v>
      </c>
      <c r="F745" s="43" t="str">
        <f t="shared" si="56"/>
        <v>ABIGAIL</v>
      </c>
      <c r="G745" s="43" t="str">
        <f t="shared" si="57"/>
        <v>ABIGAIL</v>
      </c>
      <c r="H745" s="43" t="str">
        <f t="shared" si="58"/>
        <v>COTO NARVAEZ</v>
      </c>
      <c r="I745" s="43" t="str">
        <f t="shared" si="59"/>
        <v>ABIGAIL COTO NARVAEZ</v>
      </c>
      <c r="J745" s="37" t="s">
        <v>2241</v>
      </c>
      <c r="K745" s="37">
        <v>10</v>
      </c>
      <c r="L745" s="37">
        <v>4</v>
      </c>
      <c r="M745" s="37" t="s">
        <v>1</v>
      </c>
    </row>
    <row r="746" spans="2:13" x14ac:dyDescent="0.25">
      <c r="B746" s="48">
        <v>743</v>
      </c>
      <c r="C746" s="52">
        <v>209160227</v>
      </c>
      <c r="D746" s="43" t="str">
        <f t="shared" si="55"/>
        <v>2-0916-0227</v>
      </c>
      <c r="E746" s="52" t="s">
        <v>599</v>
      </c>
      <c r="F746" s="43" t="str">
        <f t="shared" si="56"/>
        <v>KEYLOR MAURICIO</v>
      </c>
      <c r="G746" s="43" t="str">
        <f t="shared" si="57"/>
        <v>KEYLOR</v>
      </c>
      <c r="H746" s="43" t="str">
        <f t="shared" si="58"/>
        <v>DIAZ MONTERO</v>
      </c>
      <c r="I746" s="43" t="str">
        <f t="shared" si="59"/>
        <v>KEYLOR DIAZ MONTERO</v>
      </c>
      <c r="J746" s="37" t="s">
        <v>2241</v>
      </c>
      <c r="K746" s="37">
        <v>10</v>
      </c>
      <c r="L746" s="37">
        <v>4</v>
      </c>
      <c r="M746" s="37" t="s">
        <v>1</v>
      </c>
    </row>
    <row r="747" spans="2:13" x14ac:dyDescent="0.25">
      <c r="B747" s="46">
        <v>744</v>
      </c>
      <c r="C747" s="52">
        <v>209170586</v>
      </c>
      <c r="D747" s="43" t="str">
        <f t="shared" si="55"/>
        <v>2-0917-0586</v>
      </c>
      <c r="E747" s="52" t="s">
        <v>600</v>
      </c>
      <c r="F747" s="43" t="str">
        <f t="shared" si="56"/>
        <v>NICOLAS</v>
      </c>
      <c r="G747" s="43" t="str">
        <f t="shared" si="57"/>
        <v>NICOLAS</v>
      </c>
      <c r="H747" s="43" t="str">
        <f t="shared" si="58"/>
        <v>FALLAS PORTILLA</v>
      </c>
      <c r="I747" s="43" t="str">
        <f t="shared" si="59"/>
        <v>NICOLAS FALLAS PORTILLA</v>
      </c>
      <c r="J747" s="37" t="s">
        <v>2241</v>
      </c>
      <c r="K747" s="37">
        <v>10</v>
      </c>
      <c r="L747" s="37">
        <v>4</v>
      </c>
      <c r="M747" s="37" t="s">
        <v>1</v>
      </c>
    </row>
    <row r="748" spans="2:13" x14ac:dyDescent="0.25">
      <c r="B748" s="48">
        <v>745</v>
      </c>
      <c r="C748" s="52">
        <v>402840526</v>
      </c>
      <c r="D748" s="43" t="str">
        <f t="shared" si="55"/>
        <v>4-0284-0526</v>
      </c>
      <c r="E748" s="52" t="s">
        <v>601</v>
      </c>
      <c r="F748" s="43" t="str">
        <f t="shared" si="56"/>
        <v>JUAN CARLOS</v>
      </c>
      <c r="G748" s="43" t="str">
        <f t="shared" si="57"/>
        <v>JUAN</v>
      </c>
      <c r="H748" s="43" t="str">
        <f t="shared" si="58"/>
        <v>GOMEZ RUIZ</v>
      </c>
      <c r="I748" s="43" t="str">
        <f t="shared" si="59"/>
        <v>JUAN GOMEZ RUIZ</v>
      </c>
      <c r="J748" s="37" t="s">
        <v>2241</v>
      </c>
      <c r="K748" s="37">
        <v>10</v>
      </c>
      <c r="L748" s="37">
        <v>4</v>
      </c>
      <c r="M748" s="37" t="s">
        <v>1</v>
      </c>
    </row>
    <row r="749" spans="2:13" x14ac:dyDescent="0.25">
      <c r="B749" s="48">
        <v>746</v>
      </c>
      <c r="C749" s="52">
        <v>209030853</v>
      </c>
      <c r="D749" s="43" t="str">
        <f t="shared" si="55"/>
        <v>2-0903-0853</v>
      </c>
      <c r="E749" s="52" t="s">
        <v>602</v>
      </c>
      <c r="F749" s="43" t="str">
        <f t="shared" si="56"/>
        <v>EMILY SOFIA</v>
      </c>
      <c r="G749" s="43" t="str">
        <f t="shared" si="57"/>
        <v>EMILY</v>
      </c>
      <c r="H749" s="43" t="str">
        <f t="shared" si="58"/>
        <v>GOMEZ UGALDE</v>
      </c>
      <c r="I749" s="43" t="str">
        <f t="shared" si="59"/>
        <v>EMILY GOMEZ UGALDE</v>
      </c>
      <c r="J749" s="37" t="s">
        <v>2241</v>
      </c>
      <c r="K749" s="37">
        <v>10</v>
      </c>
      <c r="L749" s="37">
        <v>4</v>
      </c>
      <c r="M749" s="37" t="s">
        <v>1</v>
      </c>
    </row>
    <row r="750" spans="2:13" x14ac:dyDescent="0.25">
      <c r="B750" s="46">
        <v>747</v>
      </c>
      <c r="C750" s="52">
        <v>209240997</v>
      </c>
      <c r="D750" s="43" t="str">
        <f t="shared" si="55"/>
        <v>2-0924-0997</v>
      </c>
      <c r="E750" s="52" t="s">
        <v>603</v>
      </c>
      <c r="F750" s="43" t="str">
        <f t="shared" si="56"/>
        <v>FIORELLA SOFIA</v>
      </c>
      <c r="G750" s="43" t="str">
        <f t="shared" si="57"/>
        <v>FIORELLA</v>
      </c>
      <c r="H750" s="43" t="str">
        <f t="shared" si="58"/>
        <v>GUZMAN RODRIGUEZ</v>
      </c>
      <c r="I750" s="43" t="str">
        <f t="shared" si="59"/>
        <v>FIORELLA GUZMAN RODRIGUEZ</v>
      </c>
      <c r="J750" s="37" t="s">
        <v>2241</v>
      </c>
      <c r="K750" s="37">
        <v>10</v>
      </c>
      <c r="L750" s="37">
        <v>4</v>
      </c>
      <c r="M750" s="37" t="s">
        <v>1</v>
      </c>
    </row>
    <row r="751" spans="2:13" x14ac:dyDescent="0.25">
      <c r="B751" s="48">
        <v>748</v>
      </c>
      <c r="C751" s="52">
        <v>504820838</v>
      </c>
      <c r="D751" s="43" t="str">
        <f t="shared" si="55"/>
        <v>5-0482-0838</v>
      </c>
      <c r="E751" s="52" t="s">
        <v>604</v>
      </c>
      <c r="F751" s="43" t="str">
        <f t="shared" si="56"/>
        <v>RACHELL ALONDRA</v>
      </c>
      <c r="G751" s="43" t="str">
        <f t="shared" si="57"/>
        <v>RACHELL</v>
      </c>
      <c r="H751" s="43" t="str">
        <f t="shared" si="58"/>
        <v>HERRA MEJIA</v>
      </c>
      <c r="I751" s="43" t="str">
        <f t="shared" si="59"/>
        <v>RACHELL HERRA MEJIA</v>
      </c>
      <c r="J751" s="37" t="s">
        <v>2241</v>
      </c>
      <c r="K751" s="37">
        <v>10</v>
      </c>
      <c r="L751" s="37">
        <v>4</v>
      </c>
      <c r="M751" s="37" t="s">
        <v>1</v>
      </c>
    </row>
    <row r="752" spans="2:13" x14ac:dyDescent="0.25">
      <c r="B752" s="48">
        <v>749</v>
      </c>
      <c r="C752" s="52">
        <v>209180677</v>
      </c>
      <c r="D752" s="43" t="str">
        <f t="shared" si="55"/>
        <v>2-0918-0677</v>
      </c>
      <c r="E752" s="52" t="s">
        <v>2329</v>
      </c>
      <c r="F752" s="43" t="str">
        <f t="shared" si="56"/>
        <v>CARMONA MAGDIEL</v>
      </c>
      <c r="G752" s="43" t="str">
        <f t="shared" si="57"/>
        <v>CARMONA</v>
      </c>
      <c r="H752" s="43" t="str">
        <f t="shared" si="58"/>
        <v>LE MAITRE</v>
      </c>
      <c r="I752" s="43" t="str">
        <f t="shared" si="59"/>
        <v>CARMONA LE MAITRE</v>
      </c>
      <c r="J752" s="37" t="s">
        <v>2241</v>
      </c>
      <c r="K752" s="37">
        <v>10</v>
      </c>
      <c r="L752" s="37">
        <v>4</v>
      </c>
      <c r="M752" s="37" t="s">
        <v>1</v>
      </c>
    </row>
    <row r="753" spans="2:13" x14ac:dyDescent="0.25">
      <c r="B753" s="46">
        <v>750</v>
      </c>
      <c r="C753" s="52">
        <v>209130088</v>
      </c>
      <c r="D753" s="43" t="str">
        <f t="shared" si="55"/>
        <v>2-0913-0088</v>
      </c>
      <c r="E753" s="52" t="s">
        <v>2330</v>
      </c>
      <c r="F753" s="43" t="str">
        <f t="shared" si="56"/>
        <v>SEBASTIAN</v>
      </c>
      <c r="G753" s="43" t="str">
        <f t="shared" si="57"/>
        <v>SEBASTIAN</v>
      </c>
      <c r="H753" s="43" t="str">
        <f t="shared" si="58"/>
        <v>MENDEZ CASTRO</v>
      </c>
      <c r="I753" s="43" t="str">
        <f t="shared" si="59"/>
        <v>SEBASTIAN MENDEZ CASTRO</v>
      </c>
      <c r="J753" s="37" t="s">
        <v>2241</v>
      </c>
      <c r="K753" s="37">
        <v>10</v>
      </c>
      <c r="L753" s="37">
        <v>4</v>
      </c>
      <c r="M753" s="37" t="s">
        <v>1</v>
      </c>
    </row>
    <row r="754" spans="2:13" x14ac:dyDescent="0.25">
      <c r="B754" s="48">
        <v>751</v>
      </c>
      <c r="C754" s="52">
        <v>402820078</v>
      </c>
      <c r="D754" s="43" t="str">
        <f t="shared" si="55"/>
        <v>4-0282-0078</v>
      </c>
      <c r="E754" s="52" t="s">
        <v>608</v>
      </c>
      <c r="F754" s="43" t="str">
        <f t="shared" si="56"/>
        <v>GABRIEL</v>
      </c>
      <c r="G754" s="43" t="str">
        <f t="shared" si="57"/>
        <v>GABRIEL</v>
      </c>
      <c r="H754" s="43" t="str">
        <f t="shared" si="58"/>
        <v>MORALES NUÑEZ</v>
      </c>
      <c r="I754" s="43" t="str">
        <f t="shared" si="59"/>
        <v>GABRIEL MORALES NUÑEZ</v>
      </c>
      <c r="J754" s="37" t="s">
        <v>2241</v>
      </c>
      <c r="K754" s="37">
        <v>10</v>
      </c>
      <c r="L754" s="37">
        <v>4</v>
      </c>
      <c r="M754" s="37" t="s">
        <v>1</v>
      </c>
    </row>
    <row r="755" spans="2:13" x14ac:dyDescent="0.25">
      <c r="B755" s="48">
        <v>752</v>
      </c>
      <c r="C755" s="52">
        <v>120710042</v>
      </c>
      <c r="D755" s="43" t="str">
        <f t="shared" si="55"/>
        <v>1-2071-0042</v>
      </c>
      <c r="E755" s="52" t="s">
        <v>605</v>
      </c>
      <c r="F755" s="43" t="str">
        <f t="shared" si="56"/>
        <v>MARIANGEL</v>
      </c>
      <c r="G755" s="43" t="str">
        <f t="shared" si="57"/>
        <v>MARIANGEL</v>
      </c>
      <c r="H755" s="43" t="str">
        <f t="shared" si="58"/>
        <v>NUÑEZ CALVO</v>
      </c>
      <c r="I755" s="43" t="str">
        <f t="shared" si="59"/>
        <v>MARIANGEL NUÑEZ CALVO</v>
      </c>
      <c r="J755" s="37" t="s">
        <v>2241</v>
      </c>
      <c r="K755" s="37">
        <v>10</v>
      </c>
      <c r="L755" s="37">
        <v>4</v>
      </c>
      <c r="M755" s="37" t="s">
        <v>1</v>
      </c>
    </row>
    <row r="756" spans="2:13" x14ac:dyDescent="0.25">
      <c r="B756" s="46">
        <v>753</v>
      </c>
      <c r="C756" s="52">
        <v>120500707</v>
      </c>
      <c r="D756" s="43" t="str">
        <f t="shared" si="55"/>
        <v>1-2050-0707</v>
      </c>
      <c r="E756" s="52" t="s">
        <v>606</v>
      </c>
      <c r="F756" s="43" t="str">
        <f t="shared" si="56"/>
        <v>AMANDA</v>
      </c>
      <c r="G756" s="43" t="str">
        <f t="shared" si="57"/>
        <v>AMANDA</v>
      </c>
      <c r="H756" s="43" t="str">
        <f t="shared" si="58"/>
        <v>NUÑEZ GAMBOA</v>
      </c>
      <c r="I756" s="43" t="str">
        <f t="shared" si="59"/>
        <v>AMANDA NUÑEZ GAMBOA</v>
      </c>
      <c r="J756" s="37" t="s">
        <v>2241</v>
      </c>
      <c r="K756" s="37">
        <v>10</v>
      </c>
      <c r="L756" s="37">
        <v>4</v>
      </c>
      <c r="M756" s="37" t="s">
        <v>1</v>
      </c>
    </row>
    <row r="757" spans="2:13" x14ac:dyDescent="0.25">
      <c r="B757" s="48">
        <v>754</v>
      </c>
      <c r="C757" s="52">
        <v>209020562</v>
      </c>
      <c r="D757" s="43" t="str">
        <f t="shared" si="55"/>
        <v>2-0902-0562</v>
      </c>
      <c r="E757" s="52" t="s">
        <v>607</v>
      </c>
      <c r="F757" s="43" t="str">
        <f t="shared" si="56"/>
        <v>LUZ VALERIA</v>
      </c>
      <c r="G757" s="43" t="str">
        <f t="shared" si="57"/>
        <v>LUZ</v>
      </c>
      <c r="H757" s="43" t="str">
        <f t="shared" si="58"/>
        <v>ROJAS MORENO</v>
      </c>
      <c r="I757" s="43" t="str">
        <f t="shared" si="59"/>
        <v>LUZ ROJAS MORENO</v>
      </c>
      <c r="J757" s="37" t="s">
        <v>2241</v>
      </c>
      <c r="K757" s="37">
        <v>10</v>
      </c>
      <c r="L757" s="37">
        <v>4</v>
      </c>
      <c r="M757" s="37" t="s">
        <v>1</v>
      </c>
    </row>
    <row r="758" spans="2:13" x14ac:dyDescent="0.25">
      <c r="B758" s="48">
        <v>755</v>
      </c>
      <c r="C758" s="33">
        <v>209070941</v>
      </c>
      <c r="D758" s="43" t="str">
        <f t="shared" si="55"/>
        <v>2-0907-0941</v>
      </c>
      <c r="E758" s="33" t="s">
        <v>2327</v>
      </c>
      <c r="F758" s="43" t="str">
        <f t="shared" si="56"/>
        <v>JOSEVETH</v>
      </c>
      <c r="G758" s="43" t="str">
        <f t="shared" si="57"/>
        <v>JOSEVETH</v>
      </c>
      <c r="H758" s="43" t="str">
        <f t="shared" si="58"/>
        <v>UGALDE ESQUIVEL</v>
      </c>
      <c r="I758" s="43" t="str">
        <f t="shared" si="59"/>
        <v>JOSEVETH UGALDE ESQUIVEL</v>
      </c>
      <c r="J758" s="37" t="s">
        <v>2241</v>
      </c>
      <c r="K758" s="37">
        <v>10</v>
      </c>
      <c r="L758" s="37">
        <v>4</v>
      </c>
      <c r="M758" s="37" t="s">
        <v>1</v>
      </c>
    </row>
    <row r="759" spans="2:13" x14ac:dyDescent="0.25">
      <c r="B759" s="46">
        <v>756</v>
      </c>
      <c r="C759" s="52">
        <v>209150074</v>
      </c>
      <c r="D759" s="43" t="str">
        <f t="shared" si="55"/>
        <v>2-0915-0074</v>
      </c>
      <c r="E759" s="52" t="s">
        <v>609</v>
      </c>
      <c r="F759" s="43" t="str">
        <f t="shared" si="56"/>
        <v>ESTEFANY MARIA</v>
      </c>
      <c r="G759" s="43" t="str">
        <f t="shared" si="57"/>
        <v>ESTEFANY</v>
      </c>
      <c r="H759" s="43" t="str">
        <f t="shared" si="58"/>
        <v>UMAÑA CASTRO</v>
      </c>
      <c r="I759" s="43" t="str">
        <f t="shared" si="59"/>
        <v>ESTEFANY UMAÑA CASTRO</v>
      </c>
      <c r="J759" s="37" t="s">
        <v>2241</v>
      </c>
      <c r="K759" s="37">
        <v>10</v>
      </c>
      <c r="L759" s="37">
        <v>4</v>
      </c>
      <c r="M759" s="37" t="s">
        <v>1</v>
      </c>
    </row>
    <row r="760" spans="2:13" x14ac:dyDescent="0.25">
      <c r="B760" s="48">
        <v>757</v>
      </c>
      <c r="C760" s="52">
        <v>402850174</v>
      </c>
      <c r="D760" s="43" t="str">
        <f t="shared" si="55"/>
        <v>4-0285-0174</v>
      </c>
      <c r="E760" s="52" t="s">
        <v>2328</v>
      </c>
      <c r="F760" s="43" t="str">
        <f t="shared" si="56"/>
        <v>STARLING</v>
      </c>
      <c r="G760" s="43" t="str">
        <f t="shared" si="57"/>
        <v>STARLING</v>
      </c>
      <c r="H760" s="43" t="str">
        <f t="shared" si="58"/>
        <v>VILCHEZ CHAVARRIA</v>
      </c>
      <c r="I760" s="43" t="str">
        <f t="shared" si="59"/>
        <v>STARLING VILCHEZ CHAVARRIA</v>
      </c>
      <c r="J760" s="37" t="s">
        <v>2241</v>
      </c>
      <c r="K760" s="37">
        <v>10</v>
      </c>
      <c r="L760" s="37">
        <v>4</v>
      </c>
      <c r="M760" s="37" t="s">
        <v>1</v>
      </c>
    </row>
    <row r="761" spans="2:13" x14ac:dyDescent="0.25">
      <c r="B761" s="48">
        <v>758</v>
      </c>
      <c r="C761" s="52">
        <v>120490481</v>
      </c>
      <c r="D761" s="43" t="str">
        <f t="shared" si="55"/>
        <v>1-2049-0481</v>
      </c>
      <c r="E761" s="52" t="s">
        <v>610</v>
      </c>
      <c r="F761" s="43" t="str">
        <f t="shared" si="56"/>
        <v>LEANDRO</v>
      </c>
      <c r="G761" s="43" t="str">
        <f t="shared" si="57"/>
        <v>LEANDRO</v>
      </c>
      <c r="H761" s="43" t="str">
        <f t="shared" si="58"/>
        <v>ARAYA LEON</v>
      </c>
      <c r="I761" s="43" t="str">
        <f t="shared" si="59"/>
        <v>LEANDRO ARAYA LEON</v>
      </c>
      <c r="J761" s="37" t="s">
        <v>741</v>
      </c>
      <c r="K761" s="37">
        <v>10</v>
      </c>
      <c r="L761" s="37">
        <v>4</v>
      </c>
      <c r="M761" s="37" t="s">
        <v>0</v>
      </c>
    </row>
    <row r="762" spans="2:13" x14ac:dyDescent="0.25">
      <c r="B762" s="46">
        <v>759</v>
      </c>
      <c r="C762" s="52">
        <v>209200764</v>
      </c>
      <c r="D762" s="43" t="str">
        <f t="shared" si="55"/>
        <v>2-0920-0764</v>
      </c>
      <c r="E762" s="52" t="s">
        <v>611</v>
      </c>
      <c r="F762" s="43" t="str">
        <f t="shared" si="56"/>
        <v>KIARA</v>
      </c>
      <c r="G762" s="43" t="str">
        <f t="shared" si="57"/>
        <v>KIARA</v>
      </c>
      <c r="H762" s="43" t="str">
        <f t="shared" si="58"/>
        <v>ARAYA SOTO</v>
      </c>
      <c r="I762" s="43" t="str">
        <f t="shared" si="59"/>
        <v>KIARA ARAYA SOTO</v>
      </c>
      <c r="J762" s="37" t="s">
        <v>741</v>
      </c>
      <c r="K762" s="37">
        <v>10</v>
      </c>
      <c r="L762" s="37">
        <v>4</v>
      </c>
      <c r="M762" s="37" t="s">
        <v>0</v>
      </c>
    </row>
    <row r="763" spans="2:13" x14ac:dyDescent="0.25">
      <c r="B763" s="48">
        <v>760</v>
      </c>
      <c r="C763" s="52">
        <v>209250031</v>
      </c>
      <c r="D763" s="43" t="str">
        <f t="shared" si="55"/>
        <v>2-0925-0031</v>
      </c>
      <c r="E763" s="52" t="s">
        <v>612</v>
      </c>
      <c r="F763" s="43" t="str">
        <f t="shared" si="56"/>
        <v>SANTIAGO</v>
      </c>
      <c r="G763" s="43" t="str">
        <f t="shared" si="57"/>
        <v>SANTIAGO</v>
      </c>
      <c r="H763" s="43" t="str">
        <f t="shared" si="58"/>
        <v>ARAYA VIQUEZ</v>
      </c>
      <c r="I763" s="43" t="str">
        <f t="shared" si="59"/>
        <v>SANTIAGO ARAYA VIQUEZ</v>
      </c>
      <c r="J763" s="37" t="s">
        <v>741</v>
      </c>
      <c r="K763" s="37">
        <v>10</v>
      </c>
      <c r="L763" s="37">
        <v>4</v>
      </c>
      <c r="M763" s="37" t="s">
        <v>0</v>
      </c>
    </row>
    <row r="764" spans="2:13" x14ac:dyDescent="0.25">
      <c r="B764" s="48">
        <v>761</v>
      </c>
      <c r="C764" s="52">
        <v>209200094</v>
      </c>
      <c r="D764" s="43" t="str">
        <f t="shared" si="55"/>
        <v>2-0920-0094</v>
      </c>
      <c r="E764" s="52" t="s">
        <v>613</v>
      </c>
      <c r="F764" s="43" t="str">
        <f t="shared" si="56"/>
        <v>JARED JOSUE</v>
      </c>
      <c r="G764" s="43" t="str">
        <f t="shared" si="57"/>
        <v>JARED</v>
      </c>
      <c r="H764" s="43" t="str">
        <f t="shared" si="58"/>
        <v>CHACON SANTAMARIA</v>
      </c>
      <c r="I764" s="43" t="str">
        <f t="shared" si="59"/>
        <v>JARED CHACON SANTAMARIA</v>
      </c>
      <c r="J764" s="37" t="s">
        <v>741</v>
      </c>
      <c r="K764" s="37">
        <v>10</v>
      </c>
      <c r="L764" s="37">
        <v>4</v>
      </c>
      <c r="M764" s="37" t="s">
        <v>0</v>
      </c>
    </row>
    <row r="765" spans="2:13" x14ac:dyDescent="0.25">
      <c r="B765" s="46">
        <v>762</v>
      </c>
      <c r="C765" s="52">
        <v>209140628</v>
      </c>
      <c r="D765" s="43" t="str">
        <f t="shared" si="55"/>
        <v>2-0914-0628</v>
      </c>
      <c r="E765" s="52" t="s">
        <v>614</v>
      </c>
      <c r="F765" s="43" t="str">
        <f t="shared" si="56"/>
        <v>ANGEL</v>
      </c>
      <c r="G765" s="43" t="str">
        <f t="shared" si="57"/>
        <v>ANGEL</v>
      </c>
      <c r="H765" s="43" t="str">
        <f t="shared" si="58"/>
        <v>ESCAMPINE SALGADO</v>
      </c>
      <c r="I765" s="43" t="str">
        <f t="shared" si="59"/>
        <v>ANGEL ESCAMPINE SALGADO</v>
      </c>
      <c r="J765" s="37" t="s">
        <v>741</v>
      </c>
      <c r="K765" s="37">
        <v>10</v>
      </c>
      <c r="L765" s="37">
        <v>4</v>
      </c>
      <c r="M765" s="37" t="s">
        <v>0</v>
      </c>
    </row>
    <row r="766" spans="2:13" x14ac:dyDescent="0.25">
      <c r="B766" s="48">
        <v>763</v>
      </c>
      <c r="C766" s="52">
        <v>402810841</v>
      </c>
      <c r="D766" s="43" t="str">
        <f t="shared" si="55"/>
        <v>4-0281-0841</v>
      </c>
      <c r="E766" s="52" t="s">
        <v>615</v>
      </c>
      <c r="F766" s="43" t="str">
        <f t="shared" si="56"/>
        <v>JIMENA DE LOS ANGELES</v>
      </c>
      <c r="G766" s="43" t="str">
        <f t="shared" si="57"/>
        <v>JIMENA</v>
      </c>
      <c r="H766" s="43" t="str">
        <f t="shared" si="58"/>
        <v>LEDEZMA SOLANO</v>
      </c>
      <c r="I766" s="43" t="str">
        <f t="shared" si="59"/>
        <v>JIMENA LEDEZMA SOLANO</v>
      </c>
      <c r="J766" s="37" t="s">
        <v>741</v>
      </c>
      <c r="K766" s="37">
        <v>10</v>
      </c>
      <c r="L766" s="37">
        <v>4</v>
      </c>
      <c r="M766" s="37" t="s">
        <v>0</v>
      </c>
    </row>
    <row r="767" spans="2:13" x14ac:dyDescent="0.25">
      <c r="B767" s="48">
        <v>764</v>
      </c>
      <c r="C767" s="52">
        <v>209140516</v>
      </c>
      <c r="D767" s="43" t="str">
        <f t="shared" si="55"/>
        <v>2-0914-0516</v>
      </c>
      <c r="E767" s="52" t="s">
        <v>616</v>
      </c>
      <c r="F767" s="43" t="str">
        <f t="shared" si="56"/>
        <v>FABIAN ALEXANDER</v>
      </c>
      <c r="G767" s="43" t="str">
        <f t="shared" si="57"/>
        <v>FABIAN</v>
      </c>
      <c r="H767" s="43" t="str">
        <f t="shared" si="58"/>
        <v>MERCADO SILVA</v>
      </c>
      <c r="I767" s="43" t="str">
        <f t="shared" si="59"/>
        <v>FABIAN MERCADO SILVA</v>
      </c>
      <c r="J767" s="37" t="s">
        <v>741</v>
      </c>
      <c r="K767" s="37">
        <v>10</v>
      </c>
      <c r="L767" s="37">
        <v>4</v>
      </c>
      <c r="M767" s="37" t="s">
        <v>0</v>
      </c>
    </row>
    <row r="768" spans="2:13" x14ac:dyDescent="0.25">
      <c r="B768" s="46">
        <v>765</v>
      </c>
      <c r="C768" s="52">
        <v>402840182</v>
      </c>
      <c r="D768" s="43" t="str">
        <f t="shared" si="55"/>
        <v>4-0284-0182</v>
      </c>
      <c r="E768" s="52" t="s">
        <v>617</v>
      </c>
      <c r="F768" s="43" t="str">
        <f t="shared" si="56"/>
        <v>EMILIANO</v>
      </c>
      <c r="G768" s="43" t="str">
        <f t="shared" si="57"/>
        <v>EMILIANO</v>
      </c>
      <c r="H768" s="43" t="str">
        <f t="shared" si="58"/>
        <v>MORA CARVAJAL</v>
      </c>
      <c r="I768" s="43" t="str">
        <f t="shared" si="59"/>
        <v>EMILIANO MORA CARVAJAL</v>
      </c>
      <c r="J768" s="37" t="s">
        <v>741</v>
      </c>
      <c r="K768" s="37">
        <v>10</v>
      </c>
      <c r="L768" s="37">
        <v>4</v>
      </c>
      <c r="M768" s="37" t="s">
        <v>0</v>
      </c>
    </row>
    <row r="769" spans="2:13" x14ac:dyDescent="0.25">
      <c r="B769" s="48">
        <v>766</v>
      </c>
      <c r="C769" s="52">
        <v>209200205</v>
      </c>
      <c r="D769" s="43" t="str">
        <f t="shared" si="55"/>
        <v>2-0920-0205</v>
      </c>
      <c r="E769" s="52" t="s">
        <v>618</v>
      </c>
      <c r="F769" s="43" t="str">
        <f t="shared" si="56"/>
        <v>SANTIAGO</v>
      </c>
      <c r="G769" s="43" t="str">
        <f t="shared" si="57"/>
        <v>SANTIAGO</v>
      </c>
      <c r="H769" s="43" t="str">
        <f t="shared" si="58"/>
        <v>MORALES CASTRO</v>
      </c>
      <c r="I769" s="43" t="str">
        <f t="shared" si="59"/>
        <v>SANTIAGO MORALES CASTRO</v>
      </c>
      <c r="J769" s="37" t="s">
        <v>741</v>
      </c>
      <c r="K769" s="37">
        <v>10</v>
      </c>
      <c r="L769" s="37">
        <v>4</v>
      </c>
      <c r="M769" s="37" t="s">
        <v>0</v>
      </c>
    </row>
    <row r="770" spans="2:13" x14ac:dyDescent="0.25">
      <c r="B770" s="48">
        <v>767</v>
      </c>
      <c r="C770" s="52">
        <v>209190502</v>
      </c>
      <c r="D770" s="43" t="str">
        <f t="shared" si="55"/>
        <v>2-0919-0502</v>
      </c>
      <c r="E770" s="52" t="s">
        <v>619</v>
      </c>
      <c r="F770" s="43" t="str">
        <f t="shared" si="56"/>
        <v>BRYAN</v>
      </c>
      <c r="G770" s="43" t="str">
        <f t="shared" si="57"/>
        <v>BRYAN</v>
      </c>
      <c r="H770" s="43" t="str">
        <f t="shared" si="58"/>
        <v>RAMIREZ IROLA</v>
      </c>
      <c r="I770" s="43" t="str">
        <f t="shared" si="59"/>
        <v>BRYAN RAMIREZ IROLA</v>
      </c>
      <c r="J770" s="37" t="s">
        <v>741</v>
      </c>
      <c r="K770" s="37">
        <v>10</v>
      </c>
      <c r="L770" s="37">
        <v>4</v>
      </c>
      <c r="M770" s="37" t="s">
        <v>0</v>
      </c>
    </row>
    <row r="771" spans="2:13" x14ac:dyDescent="0.25">
      <c r="B771" s="46">
        <v>768</v>
      </c>
      <c r="C771" s="52">
        <v>999990768</v>
      </c>
      <c r="D771" s="43" t="s">
        <v>2326</v>
      </c>
      <c r="E771" s="52" t="s">
        <v>620</v>
      </c>
      <c r="F771" s="43" t="str">
        <f t="shared" si="56"/>
        <v>KEVIN DAVID</v>
      </c>
      <c r="G771" s="43" t="str">
        <f t="shared" si="57"/>
        <v>KEVIN</v>
      </c>
      <c r="H771" s="43" t="str">
        <f t="shared" si="58"/>
        <v>RUIZ MEJIA</v>
      </c>
      <c r="I771" s="43" t="str">
        <f t="shared" si="59"/>
        <v>KEVIN RUIZ MEJIA</v>
      </c>
      <c r="J771" s="37" t="s">
        <v>741</v>
      </c>
      <c r="K771" s="37">
        <v>10</v>
      </c>
      <c r="L771" s="37">
        <v>4</v>
      </c>
      <c r="M771" s="37" t="s">
        <v>0</v>
      </c>
    </row>
    <row r="772" spans="2:13" x14ac:dyDescent="0.25">
      <c r="B772" s="48">
        <v>769</v>
      </c>
      <c r="C772" s="52">
        <v>209120360</v>
      </c>
      <c r="D772" s="43" t="str">
        <f t="shared" ref="D772:D835" si="60">IF(LEN(C772)=9,_xlfn.CONCAT(MID(C772,1,1),"-",MID(C772,2,4),"-",MID(C772,6,4)),TEXT(C772,"000000000000"))</f>
        <v>2-0912-0360</v>
      </c>
      <c r="E772" s="52" t="s">
        <v>621</v>
      </c>
      <c r="F772" s="43" t="str">
        <f t="shared" si="56"/>
        <v>YEUDY ALBERTO</v>
      </c>
      <c r="G772" s="43" t="str">
        <f t="shared" si="57"/>
        <v>YEUDY</v>
      </c>
      <c r="H772" s="43" t="str">
        <f t="shared" si="58"/>
        <v>SEGURA JIMENEZ</v>
      </c>
      <c r="I772" s="43" t="str">
        <f t="shared" si="59"/>
        <v>YEUDY SEGURA JIMENEZ</v>
      </c>
      <c r="J772" s="37" t="s">
        <v>741</v>
      </c>
      <c r="K772" s="37">
        <v>10</v>
      </c>
      <c r="L772" s="37">
        <v>4</v>
      </c>
      <c r="M772" s="37" t="s">
        <v>0</v>
      </c>
    </row>
    <row r="773" spans="2:13" x14ac:dyDescent="0.25">
      <c r="B773" s="48">
        <v>770</v>
      </c>
      <c r="C773" s="52">
        <v>209090475</v>
      </c>
      <c r="D773" s="43" t="str">
        <f t="shared" si="60"/>
        <v>2-0909-0475</v>
      </c>
      <c r="E773" s="52" t="s">
        <v>622</v>
      </c>
      <c r="F773" s="43" t="str">
        <f t="shared" ref="F773:F836" si="61">RIGHT(E773,LEN(E773)-SEARCH(" ",E773,SEARCH(" ",E773)+1))</f>
        <v>EMMANUEL DE JESUS</v>
      </c>
      <c r="G773" s="43" t="str">
        <f t="shared" ref="G773:G836" si="62">IFERROR(LEFT(F773,SEARCH(" ",F773,1)-1),F773)</f>
        <v>EMMANUEL</v>
      </c>
      <c r="H773" s="43" t="str">
        <f t="shared" ref="H773:H836" si="63">LEFT(E773,SEARCH(" ",E773,SEARCH(" ",E773)+1)-1)</f>
        <v>SOLANO MURILLO</v>
      </c>
      <c r="I773" s="43" t="str">
        <f t="shared" ref="I773:I836" si="64">_xlfn.CONCAT(G773," ",H773)</f>
        <v>EMMANUEL SOLANO MURILLO</v>
      </c>
      <c r="J773" s="37" t="s">
        <v>741</v>
      </c>
      <c r="K773" s="37">
        <v>10</v>
      </c>
      <c r="L773" s="37">
        <v>4</v>
      </c>
      <c r="M773" s="37" t="s">
        <v>0</v>
      </c>
    </row>
    <row r="774" spans="2:13" x14ac:dyDescent="0.25">
      <c r="B774" s="46">
        <v>771</v>
      </c>
      <c r="C774" s="48">
        <v>999990771</v>
      </c>
      <c r="D774" s="70" t="s">
        <v>623</v>
      </c>
      <c r="E774" s="52" t="s">
        <v>624</v>
      </c>
      <c r="F774" s="43" t="str">
        <f t="shared" si="61"/>
        <v>ALICIA LISSETH</v>
      </c>
      <c r="G774" s="43" t="str">
        <f t="shared" si="62"/>
        <v>ALICIA</v>
      </c>
      <c r="H774" s="43" t="str">
        <f t="shared" si="63"/>
        <v>TINOCO TORREZ</v>
      </c>
      <c r="I774" s="43" t="str">
        <f t="shared" si="64"/>
        <v>ALICIA TINOCO TORREZ</v>
      </c>
      <c r="J774" s="37" t="s">
        <v>741</v>
      </c>
      <c r="K774" s="37">
        <v>10</v>
      </c>
      <c r="L774" s="37">
        <v>4</v>
      </c>
      <c r="M774" s="37" t="s">
        <v>0</v>
      </c>
    </row>
    <row r="775" spans="2:13" x14ac:dyDescent="0.25">
      <c r="B775" s="48">
        <v>772</v>
      </c>
      <c r="C775" s="52">
        <v>120090091</v>
      </c>
      <c r="D775" s="43" t="str">
        <f t="shared" si="60"/>
        <v>1-2009-0091</v>
      </c>
      <c r="E775" s="52" t="s">
        <v>625</v>
      </c>
      <c r="F775" s="43" t="str">
        <f t="shared" si="61"/>
        <v xml:space="preserve">ANTHONY STEVEN </v>
      </c>
      <c r="G775" s="43" t="str">
        <f t="shared" si="62"/>
        <v>ANTHONY</v>
      </c>
      <c r="H775" s="43" t="str">
        <f t="shared" si="63"/>
        <v>VASQUEZ PALACIOS</v>
      </c>
      <c r="I775" s="43" t="str">
        <f t="shared" si="64"/>
        <v>ANTHONY VASQUEZ PALACIOS</v>
      </c>
      <c r="J775" s="37" t="s">
        <v>741</v>
      </c>
      <c r="K775" s="37">
        <v>10</v>
      </c>
      <c r="L775" s="37">
        <v>4</v>
      </c>
      <c r="M775" s="37" t="s">
        <v>0</v>
      </c>
    </row>
    <row r="776" spans="2:13" x14ac:dyDescent="0.25">
      <c r="B776" s="48">
        <v>773</v>
      </c>
      <c r="C776" s="52">
        <v>120320498</v>
      </c>
      <c r="D776" s="43" t="str">
        <f t="shared" si="60"/>
        <v>1-2032-0498</v>
      </c>
      <c r="E776" s="52" t="s">
        <v>626</v>
      </c>
      <c r="F776" s="43" t="str">
        <f t="shared" si="61"/>
        <v>JUSTIN JACOB</v>
      </c>
      <c r="G776" s="43" t="str">
        <f t="shared" si="62"/>
        <v>JUSTIN</v>
      </c>
      <c r="H776" s="43" t="str">
        <f t="shared" si="63"/>
        <v>VILLALOBOS CONEJO</v>
      </c>
      <c r="I776" s="43" t="str">
        <f t="shared" si="64"/>
        <v>JUSTIN VILLALOBOS CONEJO</v>
      </c>
      <c r="J776" s="37" t="s">
        <v>741</v>
      </c>
      <c r="K776" s="37">
        <v>10</v>
      </c>
      <c r="L776" s="37">
        <v>4</v>
      </c>
      <c r="M776" s="37" t="s">
        <v>0</v>
      </c>
    </row>
    <row r="777" spans="2:13" x14ac:dyDescent="0.25">
      <c r="B777" s="46">
        <v>774</v>
      </c>
      <c r="C777" s="52">
        <v>402770617</v>
      </c>
      <c r="D777" s="43" t="str">
        <f t="shared" si="60"/>
        <v>4-0277-0617</v>
      </c>
      <c r="E777" s="52" t="s">
        <v>627</v>
      </c>
      <c r="F777" s="43" t="str">
        <f t="shared" si="61"/>
        <v>JACQUELINE</v>
      </c>
      <c r="G777" s="43" t="str">
        <f t="shared" si="62"/>
        <v>JACQUELINE</v>
      </c>
      <c r="H777" s="43" t="str">
        <f t="shared" si="63"/>
        <v>VILLALOBOS TENORIO</v>
      </c>
      <c r="I777" s="43" t="str">
        <f t="shared" si="64"/>
        <v>JACQUELINE VILLALOBOS TENORIO</v>
      </c>
      <c r="J777" s="37" t="s">
        <v>741</v>
      </c>
      <c r="K777" s="37">
        <v>10</v>
      </c>
      <c r="L777" s="37">
        <v>4</v>
      </c>
      <c r="M777" s="37" t="s">
        <v>0</v>
      </c>
    </row>
    <row r="778" spans="2:13" x14ac:dyDescent="0.25">
      <c r="B778" s="48">
        <v>775</v>
      </c>
      <c r="C778" s="33">
        <v>209050444</v>
      </c>
      <c r="D778" s="43" t="str">
        <f t="shared" si="60"/>
        <v>2-0905-0444</v>
      </c>
      <c r="E778" s="33" t="s">
        <v>628</v>
      </c>
      <c r="F778" s="43" t="str">
        <f t="shared" si="61"/>
        <v>CRISTEL DAYANA</v>
      </c>
      <c r="G778" s="43" t="str">
        <f t="shared" si="62"/>
        <v>CRISTEL</v>
      </c>
      <c r="H778" s="43" t="str">
        <f t="shared" si="63"/>
        <v>ARAYA ALVARADO</v>
      </c>
      <c r="I778" s="43" t="str">
        <f t="shared" si="64"/>
        <v>CRISTEL ARAYA ALVARADO</v>
      </c>
      <c r="J778" s="37" t="s">
        <v>629</v>
      </c>
      <c r="K778" s="37">
        <v>10</v>
      </c>
      <c r="L778" s="37">
        <v>5</v>
      </c>
      <c r="M778" s="37" t="s">
        <v>1</v>
      </c>
    </row>
    <row r="779" spans="2:13" x14ac:dyDescent="0.25">
      <c r="B779" s="48">
        <v>776</v>
      </c>
      <c r="C779" s="39">
        <v>402840382</v>
      </c>
      <c r="D779" s="43" t="str">
        <f t="shared" si="60"/>
        <v>4-0284-0382</v>
      </c>
      <c r="E779" s="39" t="s">
        <v>630</v>
      </c>
      <c r="F779" s="43" t="str">
        <f t="shared" si="61"/>
        <v>YIRE FABIOLA</v>
      </c>
      <c r="G779" s="43" t="str">
        <f t="shared" si="62"/>
        <v>YIRE</v>
      </c>
      <c r="H779" s="43" t="str">
        <f t="shared" si="63"/>
        <v>CALERO MORALES</v>
      </c>
      <c r="I779" s="43" t="str">
        <f t="shared" si="64"/>
        <v>YIRE CALERO MORALES</v>
      </c>
      <c r="J779" s="37" t="s">
        <v>629</v>
      </c>
      <c r="K779" s="37">
        <v>10</v>
      </c>
      <c r="L779" s="37">
        <v>5</v>
      </c>
      <c r="M779" s="37" t="s">
        <v>1</v>
      </c>
    </row>
    <row r="780" spans="2:13" x14ac:dyDescent="0.25">
      <c r="B780" s="46">
        <v>777</v>
      </c>
      <c r="C780" s="33">
        <v>402840263</v>
      </c>
      <c r="D780" s="43" t="str">
        <f t="shared" si="60"/>
        <v>4-0284-0263</v>
      </c>
      <c r="E780" s="33" t="s">
        <v>631</v>
      </c>
      <c r="F780" s="43" t="str">
        <f t="shared" si="61"/>
        <v>JIMENA</v>
      </c>
      <c r="G780" s="43" t="str">
        <f t="shared" si="62"/>
        <v>JIMENA</v>
      </c>
      <c r="H780" s="43" t="str">
        <f t="shared" si="63"/>
        <v>CAMBRONERO VARGAS</v>
      </c>
      <c r="I780" s="43" t="str">
        <f t="shared" si="64"/>
        <v>JIMENA CAMBRONERO VARGAS</v>
      </c>
      <c r="J780" s="37" t="s">
        <v>629</v>
      </c>
      <c r="K780" s="37">
        <v>10</v>
      </c>
      <c r="L780" s="37">
        <v>5</v>
      </c>
      <c r="M780" s="37" t="s">
        <v>1</v>
      </c>
    </row>
    <row r="781" spans="2:13" x14ac:dyDescent="0.25">
      <c r="B781" s="48">
        <v>778</v>
      </c>
      <c r="C781" s="33">
        <v>402850401</v>
      </c>
      <c r="D781" s="43" t="str">
        <f t="shared" si="60"/>
        <v>4-0285-0401</v>
      </c>
      <c r="E781" s="33" t="s">
        <v>633</v>
      </c>
      <c r="F781" s="43" t="str">
        <f t="shared" si="61"/>
        <v>ANTHONY JOSUE</v>
      </c>
      <c r="G781" s="43" t="str">
        <f t="shared" si="62"/>
        <v>ANTHONY</v>
      </c>
      <c r="H781" s="43" t="str">
        <f t="shared" si="63"/>
        <v>CORTES GUTIERREZ</v>
      </c>
      <c r="I781" s="43" t="str">
        <f t="shared" si="64"/>
        <v>ANTHONY CORTES GUTIERREZ</v>
      </c>
      <c r="J781" s="37" t="s">
        <v>629</v>
      </c>
      <c r="K781" s="37">
        <v>10</v>
      </c>
      <c r="L781" s="37">
        <v>5</v>
      </c>
      <c r="M781" s="37" t="s">
        <v>1</v>
      </c>
    </row>
    <row r="782" spans="2:13" x14ac:dyDescent="0.25">
      <c r="B782" s="48">
        <v>779</v>
      </c>
      <c r="C782" s="39">
        <v>402840163</v>
      </c>
      <c r="D782" s="43" t="str">
        <f t="shared" si="60"/>
        <v>4-0284-0163</v>
      </c>
      <c r="E782" s="39" t="s">
        <v>634</v>
      </c>
      <c r="F782" s="43" t="str">
        <f t="shared" si="61"/>
        <v>GABRIEL IGNACIO</v>
      </c>
      <c r="G782" s="43" t="str">
        <f t="shared" si="62"/>
        <v>GABRIEL</v>
      </c>
      <c r="H782" s="43" t="str">
        <f t="shared" si="63"/>
        <v>GONZALEZ ALVAREZ</v>
      </c>
      <c r="I782" s="43" t="str">
        <f t="shared" si="64"/>
        <v>GABRIEL GONZALEZ ALVAREZ</v>
      </c>
      <c r="J782" s="37" t="s">
        <v>629</v>
      </c>
      <c r="K782" s="37">
        <v>10</v>
      </c>
      <c r="L782" s="37">
        <v>5</v>
      </c>
      <c r="M782" s="37" t="s">
        <v>1</v>
      </c>
    </row>
    <row r="783" spans="2:13" x14ac:dyDescent="0.25">
      <c r="B783" s="46">
        <v>780</v>
      </c>
      <c r="C783" s="33">
        <v>209170664</v>
      </c>
      <c r="D783" s="43" t="str">
        <f t="shared" si="60"/>
        <v>2-0917-0664</v>
      </c>
      <c r="E783" s="33" t="s">
        <v>635</v>
      </c>
      <c r="F783" s="43" t="str">
        <f t="shared" si="61"/>
        <v>BASTIAN JOSUE</v>
      </c>
      <c r="G783" s="43" t="str">
        <f t="shared" si="62"/>
        <v>BASTIAN</v>
      </c>
      <c r="H783" s="43" t="str">
        <f t="shared" si="63"/>
        <v>GONZALEZ PICADO</v>
      </c>
      <c r="I783" s="43" t="str">
        <f t="shared" si="64"/>
        <v>BASTIAN GONZALEZ PICADO</v>
      </c>
      <c r="J783" s="37" t="s">
        <v>629</v>
      </c>
      <c r="K783" s="37">
        <v>10</v>
      </c>
      <c r="L783" s="37">
        <v>5</v>
      </c>
      <c r="M783" s="37" t="s">
        <v>1</v>
      </c>
    </row>
    <row r="784" spans="2:13" x14ac:dyDescent="0.25">
      <c r="B784" s="48">
        <v>781</v>
      </c>
      <c r="C784" s="33">
        <v>209140556</v>
      </c>
      <c r="D784" s="43" t="str">
        <f t="shared" si="60"/>
        <v>2-0914-0556</v>
      </c>
      <c r="E784" s="33" t="s">
        <v>636</v>
      </c>
      <c r="F784" s="43" t="str">
        <f t="shared" si="61"/>
        <v>AHSLY MASSIEL</v>
      </c>
      <c r="G784" s="43" t="str">
        <f t="shared" si="62"/>
        <v>AHSLY</v>
      </c>
      <c r="H784" s="43" t="str">
        <f t="shared" si="63"/>
        <v>HERRERA PANIAGUA</v>
      </c>
      <c r="I784" s="43" t="str">
        <f t="shared" si="64"/>
        <v>AHSLY HERRERA PANIAGUA</v>
      </c>
      <c r="J784" s="37" t="s">
        <v>629</v>
      </c>
      <c r="K784" s="37">
        <v>10</v>
      </c>
      <c r="L784" s="37">
        <v>5</v>
      </c>
      <c r="M784" s="37" t="s">
        <v>1</v>
      </c>
    </row>
    <row r="785" spans="2:13" x14ac:dyDescent="0.25">
      <c r="B785" s="48">
        <v>782</v>
      </c>
      <c r="C785" s="33">
        <v>120500922</v>
      </c>
      <c r="D785" s="43" t="str">
        <f t="shared" si="60"/>
        <v>1-2050-0922</v>
      </c>
      <c r="E785" s="33" t="s">
        <v>637</v>
      </c>
      <c r="F785" s="43" t="str">
        <f t="shared" si="61"/>
        <v>SOPHIA</v>
      </c>
      <c r="G785" s="43" t="str">
        <f t="shared" si="62"/>
        <v>SOPHIA</v>
      </c>
      <c r="H785" s="43" t="str">
        <f t="shared" si="63"/>
        <v>LOPEZ BARREDA</v>
      </c>
      <c r="I785" s="43" t="str">
        <f t="shared" si="64"/>
        <v>SOPHIA LOPEZ BARREDA</v>
      </c>
      <c r="J785" s="37" t="s">
        <v>629</v>
      </c>
      <c r="K785" s="37">
        <v>10</v>
      </c>
      <c r="L785" s="37">
        <v>5</v>
      </c>
      <c r="M785" s="37" t="s">
        <v>1</v>
      </c>
    </row>
    <row r="786" spans="2:13" x14ac:dyDescent="0.25">
      <c r="B786" s="46">
        <v>783</v>
      </c>
      <c r="C786" s="33">
        <v>209190511</v>
      </c>
      <c r="D786" s="43" t="str">
        <f t="shared" si="60"/>
        <v>2-0919-0511</v>
      </c>
      <c r="E786" s="33" t="s">
        <v>638</v>
      </c>
      <c r="F786" s="43" t="str">
        <f t="shared" si="61"/>
        <v>MARY KATE</v>
      </c>
      <c r="G786" s="43" t="str">
        <f t="shared" si="62"/>
        <v>MARY</v>
      </c>
      <c r="H786" s="43" t="str">
        <f t="shared" si="63"/>
        <v>LOPEZ ORTIZ</v>
      </c>
      <c r="I786" s="43" t="str">
        <f t="shared" si="64"/>
        <v>MARY LOPEZ ORTIZ</v>
      </c>
      <c r="J786" s="37" t="s">
        <v>629</v>
      </c>
      <c r="K786" s="37">
        <v>10</v>
      </c>
      <c r="L786" s="37">
        <v>5</v>
      </c>
      <c r="M786" s="37" t="s">
        <v>1</v>
      </c>
    </row>
    <row r="787" spans="2:13" x14ac:dyDescent="0.25">
      <c r="B787" s="48">
        <v>784</v>
      </c>
      <c r="C787" s="33">
        <v>209220058</v>
      </c>
      <c r="D787" s="43" t="str">
        <f t="shared" si="60"/>
        <v>2-0922-0058</v>
      </c>
      <c r="E787" s="33" t="s">
        <v>639</v>
      </c>
      <c r="F787" s="43" t="str">
        <f t="shared" si="61"/>
        <v>JEAN PIERRE</v>
      </c>
      <c r="G787" s="43" t="str">
        <f t="shared" si="62"/>
        <v>JEAN</v>
      </c>
      <c r="H787" s="43" t="str">
        <f t="shared" si="63"/>
        <v>MARTINEZ CRUZ</v>
      </c>
      <c r="I787" s="43" t="str">
        <f t="shared" si="64"/>
        <v>JEAN MARTINEZ CRUZ</v>
      </c>
      <c r="J787" s="37" t="s">
        <v>629</v>
      </c>
      <c r="K787" s="37">
        <v>10</v>
      </c>
      <c r="L787" s="37">
        <v>5</v>
      </c>
      <c r="M787" s="37" t="s">
        <v>1</v>
      </c>
    </row>
    <row r="788" spans="2:13" x14ac:dyDescent="0.25">
      <c r="B788" s="48">
        <v>785</v>
      </c>
      <c r="C788" s="33">
        <v>999990785</v>
      </c>
      <c r="D788" s="70" t="s">
        <v>640</v>
      </c>
      <c r="E788" s="33" t="s">
        <v>641</v>
      </c>
      <c r="F788" s="43" t="str">
        <f t="shared" si="61"/>
        <v>ROBERTO CARLOS</v>
      </c>
      <c r="G788" s="43" t="str">
        <f t="shared" si="62"/>
        <v>ROBERTO</v>
      </c>
      <c r="H788" s="43" t="str">
        <f t="shared" si="63"/>
        <v>OBANDO LOPEZ</v>
      </c>
      <c r="I788" s="43" t="str">
        <f t="shared" si="64"/>
        <v>ROBERTO OBANDO LOPEZ</v>
      </c>
      <c r="J788" s="37" t="s">
        <v>629</v>
      </c>
      <c r="K788" s="37">
        <v>10</v>
      </c>
      <c r="L788" s="37">
        <v>5</v>
      </c>
      <c r="M788" s="37" t="s">
        <v>1</v>
      </c>
    </row>
    <row r="789" spans="2:13" x14ac:dyDescent="0.25">
      <c r="B789" s="46">
        <v>786</v>
      </c>
      <c r="C789" s="33">
        <v>209110882</v>
      </c>
      <c r="D789" s="43" t="str">
        <f t="shared" si="60"/>
        <v>2-0911-0882</v>
      </c>
      <c r="E789" s="33" t="s">
        <v>642</v>
      </c>
      <c r="F789" s="43" t="str">
        <f t="shared" si="61"/>
        <v>AMANDA LUCIA</v>
      </c>
      <c r="G789" s="43" t="str">
        <f t="shared" si="62"/>
        <v>AMANDA</v>
      </c>
      <c r="H789" s="43" t="str">
        <f t="shared" si="63"/>
        <v>PORRAS ALDANA</v>
      </c>
      <c r="I789" s="43" t="str">
        <f t="shared" si="64"/>
        <v>AMANDA PORRAS ALDANA</v>
      </c>
      <c r="J789" s="37" t="s">
        <v>629</v>
      </c>
      <c r="K789" s="37">
        <v>10</v>
      </c>
      <c r="L789" s="37">
        <v>5</v>
      </c>
      <c r="M789" s="37" t="s">
        <v>1</v>
      </c>
    </row>
    <row r="790" spans="2:13" x14ac:dyDescent="0.25">
      <c r="B790" s="48">
        <v>787</v>
      </c>
      <c r="C790" s="33">
        <v>402850079</v>
      </c>
      <c r="D790" s="43" t="str">
        <f t="shared" si="60"/>
        <v>4-0285-0079</v>
      </c>
      <c r="E790" s="33" t="s">
        <v>643</v>
      </c>
      <c r="F790" s="43" t="str">
        <f t="shared" si="61"/>
        <v>LUIS GUILLERMO</v>
      </c>
      <c r="G790" s="43" t="str">
        <f t="shared" si="62"/>
        <v>LUIS</v>
      </c>
      <c r="H790" s="43" t="str">
        <f t="shared" si="63"/>
        <v>SANCHEZ OVIEDO</v>
      </c>
      <c r="I790" s="43" t="str">
        <f t="shared" si="64"/>
        <v>LUIS SANCHEZ OVIEDO</v>
      </c>
      <c r="J790" s="37" t="s">
        <v>629</v>
      </c>
      <c r="K790" s="37">
        <v>10</v>
      </c>
      <c r="L790" s="37">
        <v>5</v>
      </c>
      <c r="M790" s="37" t="s">
        <v>1</v>
      </c>
    </row>
    <row r="791" spans="2:13" x14ac:dyDescent="0.25">
      <c r="B791" s="48">
        <v>788</v>
      </c>
      <c r="C791" s="33">
        <v>120480423</v>
      </c>
      <c r="D791" s="43" t="str">
        <f t="shared" si="60"/>
        <v>1-2048-0423</v>
      </c>
      <c r="E791" s="33" t="s">
        <v>644</v>
      </c>
      <c r="F791" s="43" t="str">
        <f t="shared" si="61"/>
        <v>TAIS NAYIVA</v>
      </c>
      <c r="G791" s="43" t="str">
        <f t="shared" si="62"/>
        <v>TAIS</v>
      </c>
      <c r="H791" s="43" t="str">
        <f t="shared" si="63"/>
        <v>SOTO SANCHEZ</v>
      </c>
      <c r="I791" s="43" t="str">
        <f t="shared" si="64"/>
        <v>TAIS SOTO SANCHEZ</v>
      </c>
      <c r="J791" s="37" t="s">
        <v>629</v>
      </c>
      <c r="K791" s="37">
        <v>10</v>
      </c>
      <c r="L791" s="37">
        <v>5</v>
      </c>
      <c r="M791" s="37" t="s">
        <v>1</v>
      </c>
    </row>
    <row r="792" spans="2:13" x14ac:dyDescent="0.25">
      <c r="B792" s="46">
        <v>789</v>
      </c>
      <c r="C792" s="33">
        <v>209110883</v>
      </c>
      <c r="D792" s="43" t="str">
        <f t="shared" si="60"/>
        <v>2-0911-0883</v>
      </c>
      <c r="E792" s="33" t="s">
        <v>645</v>
      </c>
      <c r="F792" s="43" t="str">
        <f t="shared" si="61"/>
        <v>FELIPE</v>
      </c>
      <c r="G792" s="43" t="str">
        <f t="shared" si="62"/>
        <v>FELIPE</v>
      </c>
      <c r="H792" s="43" t="str">
        <f t="shared" si="63"/>
        <v>TRAÑA GOMEZ</v>
      </c>
      <c r="I792" s="43" t="str">
        <f t="shared" si="64"/>
        <v>FELIPE TRAÑA GOMEZ</v>
      </c>
      <c r="J792" s="37" t="s">
        <v>629</v>
      </c>
      <c r="K792" s="37">
        <v>10</v>
      </c>
      <c r="L792" s="37">
        <v>5</v>
      </c>
      <c r="M792" s="37" t="s">
        <v>1</v>
      </c>
    </row>
    <row r="793" spans="2:13" x14ac:dyDescent="0.25">
      <c r="B793" s="48">
        <v>790</v>
      </c>
      <c r="C793" s="33">
        <v>209190718</v>
      </c>
      <c r="D793" s="43" t="str">
        <f t="shared" si="60"/>
        <v>2-0919-0718</v>
      </c>
      <c r="E793" s="33" t="s">
        <v>646</v>
      </c>
      <c r="F793" s="43" t="str">
        <f t="shared" si="61"/>
        <v>JOSUE DANIEL</v>
      </c>
      <c r="G793" s="43" t="str">
        <f t="shared" si="62"/>
        <v>JOSUE</v>
      </c>
      <c r="H793" s="43" t="str">
        <f t="shared" si="63"/>
        <v>VALVERDE JIMENEZ</v>
      </c>
      <c r="I793" s="43" t="str">
        <f t="shared" si="64"/>
        <v>JOSUE VALVERDE JIMENEZ</v>
      </c>
      <c r="J793" s="37" t="s">
        <v>629</v>
      </c>
      <c r="K793" s="37">
        <v>10</v>
      </c>
      <c r="L793" s="37">
        <v>5</v>
      </c>
      <c r="M793" s="37" t="s">
        <v>1</v>
      </c>
    </row>
    <row r="794" spans="2:13" x14ac:dyDescent="0.25">
      <c r="B794" s="48">
        <v>791</v>
      </c>
      <c r="C794" s="33">
        <v>209160473</v>
      </c>
      <c r="D794" s="43" t="str">
        <f t="shared" si="60"/>
        <v>2-0916-0473</v>
      </c>
      <c r="E794" s="33" t="s">
        <v>2332</v>
      </c>
      <c r="F794" s="43" t="str">
        <f t="shared" si="61"/>
        <v>FABIOLA DE JESUS</v>
      </c>
      <c r="G794" s="43" t="str">
        <f t="shared" si="62"/>
        <v>FABIOLA</v>
      </c>
      <c r="H794" s="43" t="str">
        <f t="shared" si="63"/>
        <v>ARGUELLO SABAT</v>
      </c>
      <c r="I794" s="43" t="str">
        <f t="shared" si="64"/>
        <v>FABIOLA ARGUELLO SABAT</v>
      </c>
      <c r="J794" s="37" t="s">
        <v>647</v>
      </c>
      <c r="K794" s="37">
        <v>10</v>
      </c>
      <c r="L794" s="37">
        <v>5</v>
      </c>
      <c r="M794" s="37" t="s">
        <v>0</v>
      </c>
    </row>
    <row r="795" spans="2:13" x14ac:dyDescent="0.25">
      <c r="B795" s="46">
        <v>792</v>
      </c>
      <c r="C795" s="33">
        <v>120520821</v>
      </c>
      <c r="D795" s="43" t="str">
        <f t="shared" si="60"/>
        <v>1-2052-0821</v>
      </c>
      <c r="E795" s="33" t="s">
        <v>648</v>
      </c>
      <c r="F795" s="43" t="str">
        <f t="shared" si="61"/>
        <v>JOHN SANTIAGO</v>
      </c>
      <c r="G795" s="43" t="str">
        <f t="shared" si="62"/>
        <v>JOHN</v>
      </c>
      <c r="H795" s="43" t="str">
        <f t="shared" si="63"/>
        <v>CASTRO SANTOS</v>
      </c>
      <c r="I795" s="43" t="str">
        <f t="shared" si="64"/>
        <v>JOHN CASTRO SANTOS</v>
      </c>
      <c r="J795" s="37" t="s">
        <v>647</v>
      </c>
      <c r="K795" s="37">
        <v>10</v>
      </c>
      <c r="L795" s="37">
        <v>5</v>
      </c>
      <c r="M795" s="37" t="s">
        <v>0</v>
      </c>
    </row>
    <row r="796" spans="2:13" x14ac:dyDescent="0.25">
      <c r="B796" s="48">
        <v>793</v>
      </c>
      <c r="C796" s="33">
        <v>120750401</v>
      </c>
      <c r="D796" s="43" t="str">
        <f t="shared" si="60"/>
        <v>1-2075-0401</v>
      </c>
      <c r="E796" s="33" t="s">
        <v>649</v>
      </c>
      <c r="F796" s="43" t="str">
        <f t="shared" si="61"/>
        <v>MATIAS MAXIMAS</v>
      </c>
      <c r="G796" s="43" t="str">
        <f t="shared" si="62"/>
        <v>MATIAS</v>
      </c>
      <c r="H796" s="43" t="str">
        <f t="shared" si="63"/>
        <v>HERMES ALFARO</v>
      </c>
      <c r="I796" s="43" t="str">
        <f t="shared" si="64"/>
        <v>MATIAS HERMES ALFARO</v>
      </c>
      <c r="J796" s="37" t="s">
        <v>647</v>
      </c>
      <c r="K796" s="37">
        <v>10</v>
      </c>
      <c r="L796" s="37">
        <v>5</v>
      </c>
      <c r="M796" s="37" t="s">
        <v>0</v>
      </c>
    </row>
    <row r="797" spans="2:13" x14ac:dyDescent="0.25">
      <c r="B797" s="48">
        <v>794</v>
      </c>
      <c r="C797" s="33">
        <v>402820512</v>
      </c>
      <c r="D797" s="43" t="str">
        <f t="shared" si="60"/>
        <v>4-0282-0512</v>
      </c>
      <c r="E797" s="33" t="s">
        <v>650</v>
      </c>
      <c r="F797" s="43" t="str">
        <f t="shared" si="61"/>
        <v>AARON GABRIEL</v>
      </c>
      <c r="G797" s="43" t="str">
        <f t="shared" si="62"/>
        <v>AARON</v>
      </c>
      <c r="H797" s="43" t="str">
        <f t="shared" si="63"/>
        <v>MORA ALVARADO</v>
      </c>
      <c r="I797" s="43" t="str">
        <f t="shared" si="64"/>
        <v>AARON MORA ALVARADO</v>
      </c>
      <c r="J797" s="37" t="s">
        <v>647</v>
      </c>
      <c r="K797" s="37">
        <v>10</v>
      </c>
      <c r="L797" s="37">
        <v>5</v>
      </c>
      <c r="M797" s="37" t="s">
        <v>0</v>
      </c>
    </row>
    <row r="798" spans="2:13" x14ac:dyDescent="0.25">
      <c r="B798" s="46">
        <v>795</v>
      </c>
      <c r="C798" s="33">
        <v>209220353</v>
      </c>
      <c r="D798" s="43" t="str">
        <f t="shared" si="60"/>
        <v>2-0922-0353</v>
      </c>
      <c r="E798" s="33" t="s">
        <v>651</v>
      </c>
      <c r="F798" s="43" t="str">
        <f t="shared" si="61"/>
        <v>RICARDO SEBASTIAN</v>
      </c>
      <c r="G798" s="43" t="str">
        <f t="shared" si="62"/>
        <v>RICARDO</v>
      </c>
      <c r="H798" s="43" t="str">
        <f t="shared" si="63"/>
        <v>MORA CARVAJAL</v>
      </c>
      <c r="I798" s="43" t="str">
        <f t="shared" si="64"/>
        <v>RICARDO MORA CARVAJAL</v>
      </c>
      <c r="J798" s="37" t="s">
        <v>647</v>
      </c>
      <c r="K798" s="37">
        <v>10</v>
      </c>
      <c r="L798" s="37">
        <v>5</v>
      </c>
      <c r="M798" s="37" t="s">
        <v>0</v>
      </c>
    </row>
    <row r="799" spans="2:13" x14ac:dyDescent="0.25">
      <c r="B799" s="48">
        <v>796</v>
      </c>
      <c r="C799" s="33">
        <v>209130177</v>
      </c>
      <c r="D799" s="43" t="str">
        <f t="shared" si="60"/>
        <v>2-0913-0177</v>
      </c>
      <c r="E799" s="33" t="s">
        <v>652</v>
      </c>
      <c r="F799" s="43" t="str">
        <f t="shared" si="61"/>
        <v>EITHAN DAVID</v>
      </c>
      <c r="G799" s="43" t="str">
        <f t="shared" si="62"/>
        <v>EITHAN</v>
      </c>
      <c r="H799" s="43" t="str">
        <f t="shared" si="63"/>
        <v>RODRIGUEZ ESPINOZA</v>
      </c>
      <c r="I799" s="43" t="str">
        <f t="shared" si="64"/>
        <v>EITHAN RODRIGUEZ ESPINOZA</v>
      </c>
      <c r="J799" s="37" t="s">
        <v>647</v>
      </c>
      <c r="K799" s="37">
        <v>10</v>
      </c>
      <c r="L799" s="37">
        <v>5</v>
      </c>
      <c r="M799" s="37" t="s">
        <v>0</v>
      </c>
    </row>
    <row r="800" spans="2:13" x14ac:dyDescent="0.25">
      <c r="B800" s="48">
        <v>797</v>
      </c>
      <c r="C800" s="33">
        <v>209200440</v>
      </c>
      <c r="D800" s="43" t="str">
        <f t="shared" si="60"/>
        <v>2-0920-0440</v>
      </c>
      <c r="E800" s="33" t="s">
        <v>653</v>
      </c>
      <c r="F800" s="43" t="str">
        <f t="shared" si="61"/>
        <v>MARIA JESUS</v>
      </c>
      <c r="G800" s="43" t="str">
        <f t="shared" si="62"/>
        <v>MARIA</v>
      </c>
      <c r="H800" s="43" t="str">
        <f t="shared" si="63"/>
        <v>SOLERA VALERIN</v>
      </c>
      <c r="I800" s="43" t="str">
        <f t="shared" si="64"/>
        <v>MARIA SOLERA VALERIN</v>
      </c>
      <c r="J800" s="37" t="s">
        <v>647</v>
      </c>
      <c r="K800" s="37">
        <v>10</v>
      </c>
      <c r="L800" s="37">
        <v>5</v>
      </c>
      <c r="M800" s="37" t="s">
        <v>0</v>
      </c>
    </row>
    <row r="801" spans="2:13" x14ac:dyDescent="0.25">
      <c r="B801" s="46">
        <v>798</v>
      </c>
      <c r="C801" s="33">
        <v>209210829</v>
      </c>
      <c r="D801" s="43" t="str">
        <f t="shared" si="60"/>
        <v>2-0921-0829</v>
      </c>
      <c r="E801" s="33" t="s">
        <v>654</v>
      </c>
      <c r="F801" s="43" t="str">
        <f t="shared" si="61"/>
        <v>JEISY SARAY</v>
      </c>
      <c r="G801" s="43" t="str">
        <f t="shared" si="62"/>
        <v>JEISY</v>
      </c>
      <c r="H801" s="43" t="str">
        <f t="shared" si="63"/>
        <v>VARGAS CHAVARRIA</v>
      </c>
      <c r="I801" s="43" t="str">
        <f t="shared" si="64"/>
        <v>JEISY VARGAS CHAVARRIA</v>
      </c>
      <c r="J801" s="37" t="s">
        <v>647</v>
      </c>
      <c r="K801" s="37">
        <v>10</v>
      </c>
      <c r="L801" s="37">
        <v>5</v>
      </c>
      <c r="M801" s="37" t="s">
        <v>0</v>
      </c>
    </row>
    <row r="802" spans="2:13" x14ac:dyDescent="0.25">
      <c r="B802" s="48">
        <v>799</v>
      </c>
      <c r="C802" s="52">
        <v>120610824</v>
      </c>
      <c r="D802" s="43" t="str">
        <f t="shared" si="60"/>
        <v>1-2061-0824</v>
      </c>
      <c r="E802" s="52" t="s">
        <v>655</v>
      </c>
      <c r="F802" s="43" t="str">
        <f t="shared" si="61"/>
        <v>MARCO ANDRE</v>
      </c>
      <c r="G802" s="43" t="str">
        <f t="shared" si="62"/>
        <v>MARCO</v>
      </c>
      <c r="H802" s="43" t="str">
        <f t="shared" si="63"/>
        <v>BRAVO HERRERA</v>
      </c>
      <c r="I802" s="43" t="str">
        <f t="shared" si="64"/>
        <v>MARCO BRAVO HERRERA</v>
      </c>
      <c r="J802" s="37" t="s">
        <v>656</v>
      </c>
      <c r="K802" s="37">
        <v>10</v>
      </c>
      <c r="L802" s="37">
        <v>6</v>
      </c>
      <c r="M802" s="37" t="s">
        <v>1</v>
      </c>
    </row>
    <row r="803" spans="2:13" x14ac:dyDescent="0.25">
      <c r="B803" s="48">
        <v>800</v>
      </c>
      <c r="C803" s="52">
        <v>209150527</v>
      </c>
      <c r="D803" s="43" t="str">
        <f t="shared" si="60"/>
        <v>2-0915-0527</v>
      </c>
      <c r="E803" s="52" t="s">
        <v>657</v>
      </c>
      <c r="F803" s="43" t="str">
        <f t="shared" si="61"/>
        <v>DOMINIC</v>
      </c>
      <c r="G803" s="43" t="str">
        <f t="shared" si="62"/>
        <v>DOMINIC</v>
      </c>
      <c r="H803" s="43" t="str">
        <f t="shared" si="63"/>
        <v>CAMPOS DELGADO</v>
      </c>
      <c r="I803" s="43" t="str">
        <f t="shared" si="64"/>
        <v>DOMINIC CAMPOS DELGADO</v>
      </c>
      <c r="J803" s="37" t="s">
        <v>656</v>
      </c>
      <c r="K803" s="37">
        <v>10</v>
      </c>
      <c r="L803" s="37">
        <v>6</v>
      </c>
      <c r="M803" s="37" t="s">
        <v>1</v>
      </c>
    </row>
    <row r="804" spans="2:13" x14ac:dyDescent="0.25">
      <c r="B804" s="46">
        <v>801</v>
      </c>
      <c r="C804" s="52">
        <v>402830332</v>
      </c>
      <c r="D804" s="43" t="str">
        <f t="shared" si="60"/>
        <v>4-0283-0332</v>
      </c>
      <c r="E804" s="52" t="s">
        <v>658</v>
      </c>
      <c r="F804" s="43" t="str">
        <f t="shared" si="61"/>
        <v>DANA PAOLA</v>
      </c>
      <c r="G804" s="43" t="str">
        <f t="shared" si="62"/>
        <v>DANA</v>
      </c>
      <c r="H804" s="43" t="str">
        <f t="shared" si="63"/>
        <v>CARVAJAL CAMACHO</v>
      </c>
      <c r="I804" s="43" t="str">
        <f t="shared" si="64"/>
        <v>DANA CARVAJAL CAMACHO</v>
      </c>
      <c r="J804" s="37" t="s">
        <v>656</v>
      </c>
      <c r="K804" s="37">
        <v>10</v>
      </c>
      <c r="L804" s="37">
        <v>6</v>
      </c>
      <c r="M804" s="37" t="s">
        <v>1</v>
      </c>
    </row>
    <row r="805" spans="2:13" x14ac:dyDescent="0.25">
      <c r="B805" s="48">
        <v>802</v>
      </c>
      <c r="C805" s="52">
        <v>402850096</v>
      </c>
      <c r="D805" s="43" t="str">
        <f t="shared" si="60"/>
        <v>4-0285-0096</v>
      </c>
      <c r="E805" s="52" t="s">
        <v>659</v>
      </c>
      <c r="F805" s="43" t="str">
        <f t="shared" si="61"/>
        <v>JOSE ANDRES</v>
      </c>
      <c r="G805" s="43" t="str">
        <f t="shared" si="62"/>
        <v>JOSE</v>
      </c>
      <c r="H805" s="43" t="str">
        <f t="shared" si="63"/>
        <v>CASCANTE MOLINA</v>
      </c>
      <c r="I805" s="43" t="str">
        <f t="shared" si="64"/>
        <v>JOSE CASCANTE MOLINA</v>
      </c>
      <c r="J805" s="37" t="s">
        <v>656</v>
      </c>
      <c r="K805" s="37">
        <v>10</v>
      </c>
      <c r="L805" s="37">
        <v>6</v>
      </c>
      <c r="M805" s="37" t="s">
        <v>1</v>
      </c>
    </row>
    <row r="806" spans="2:13" x14ac:dyDescent="0.25">
      <c r="B806" s="48">
        <v>803</v>
      </c>
      <c r="C806" s="52">
        <v>209180085</v>
      </c>
      <c r="D806" s="43" t="str">
        <f t="shared" si="60"/>
        <v>2-0918-0085</v>
      </c>
      <c r="E806" s="52" t="s">
        <v>660</v>
      </c>
      <c r="F806" s="43" t="str">
        <f t="shared" si="61"/>
        <v>EMILY NAHOMY</v>
      </c>
      <c r="G806" s="43" t="str">
        <f t="shared" si="62"/>
        <v>EMILY</v>
      </c>
      <c r="H806" s="43" t="str">
        <f t="shared" si="63"/>
        <v>CHAVES MIRANDA</v>
      </c>
      <c r="I806" s="43" t="str">
        <f t="shared" si="64"/>
        <v>EMILY CHAVES MIRANDA</v>
      </c>
      <c r="J806" s="37" t="s">
        <v>656</v>
      </c>
      <c r="K806" s="37">
        <v>10</v>
      </c>
      <c r="L806" s="37">
        <v>6</v>
      </c>
      <c r="M806" s="37" t="s">
        <v>1</v>
      </c>
    </row>
    <row r="807" spans="2:13" x14ac:dyDescent="0.25">
      <c r="B807" s="46">
        <v>804</v>
      </c>
      <c r="C807" s="52">
        <v>120450591</v>
      </c>
      <c r="D807" s="43" t="str">
        <f t="shared" si="60"/>
        <v>1-2045-0591</v>
      </c>
      <c r="E807" s="52" t="s">
        <v>661</v>
      </c>
      <c r="F807" s="43" t="str">
        <f t="shared" si="61"/>
        <v>NAOMY SOFIA</v>
      </c>
      <c r="G807" s="43" t="str">
        <f t="shared" si="62"/>
        <v>NAOMY</v>
      </c>
      <c r="H807" s="43" t="str">
        <f t="shared" si="63"/>
        <v>CHAVES ROJAS</v>
      </c>
      <c r="I807" s="43" t="str">
        <f t="shared" si="64"/>
        <v>NAOMY CHAVES ROJAS</v>
      </c>
      <c r="J807" s="37" t="s">
        <v>656</v>
      </c>
      <c r="K807" s="37">
        <v>10</v>
      </c>
      <c r="L807" s="37">
        <v>6</v>
      </c>
      <c r="M807" s="37" t="s">
        <v>1</v>
      </c>
    </row>
    <row r="808" spans="2:13" x14ac:dyDescent="0.25">
      <c r="B808" s="48">
        <v>805</v>
      </c>
      <c r="C808" s="52">
        <v>605210279</v>
      </c>
      <c r="D808" s="43" t="str">
        <f t="shared" si="60"/>
        <v>6-0521-0279</v>
      </c>
      <c r="E808" s="52" t="s">
        <v>662</v>
      </c>
      <c r="F808" s="43" t="str">
        <f t="shared" si="61"/>
        <v>MARIEL ALEXANDRA</v>
      </c>
      <c r="G808" s="43" t="str">
        <f t="shared" si="62"/>
        <v>MARIEL</v>
      </c>
      <c r="H808" s="43" t="str">
        <f t="shared" si="63"/>
        <v>FERNANDEZ TREJOS</v>
      </c>
      <c r="I808" s="43" t="str">
        <f t="shared" si="64"/>
        <v>MARIEL FERNANDEZ TREJOS</v>
      </c>
      <c r="J808" s="37" t="s">
        <v>656</v>
      </c>
      <c r="K808" s="37">
        <v>10</v>
      </c>
      <c r="L808" s="37">
        <v>6</v>
      </c>
      <c r="M808" s="37" t="s">
        <v>1</v>
      </c>
    </row>
    <row r="809" spans="2:13" x14ac:dyDescent="0.25">
      <c r="B809" s="48">
        <v>806</v>
      </c>
      <c r="C809" s="52">
        <v>402860516</v>
      </c>
      <c r="D809" s="43" t="str">
        <f t="shared" si="60"/>
        <v>4-0286-0516</v>
      </c>
      <c r="E809" s="52" t="s">
        <v>663</v>
      </c>
      <c r="F809" s="43" t="str">
        <f t="shared" si="61"/>
        <v>ALESSANDRO</v>
      </c>
      <c r="G809" s="43" t="str">
        <f t="shared" si="62"/>
        <v>ALESSANDRO</v>
      </c>
      <c r="H809" s="43" t="str">
        <f t="shared" si="63"/>
        <v>GONZALEZ JIMENEZ</v>
      </c>
      <c r="I809" s="43" t="str">
        <f t="shared" si="64"/>
        <v>ALESSANDRO GONZALEZ JIMENEZ</v>
      </c>
      <c r="J809" s="37" t="s">
        <v>656</v>
      </c>
      <c r="K809" s="37">
        <v>10</v>
      </c>
      <c r="L809" s="37">
        <v>6</v>
      </c>
      <c r="M809" s="37" t="s">
        <v>1</v>
      </c>
    </row>
    <row r="810" spans="2:13" x14ac:dyDescent="0.25">
      <c r="B810" s="46">
        <v>807</v>
      </c>
      <c r="C810" s="52">
        <v>209050837</v>
      </c>
      <c r="D810" s="43" t="str">
        <f t="shared" si="60"/>
        <v>2-0905-0837</v>
      </c>
      <c r="E810" s="52" t="s">
        <v>664</v>
      </c>
      <c r="F810" s="43" t="str">
        <f t="shared" si="61"/>
        <v>ISHMAEL ALESSANDRO</v>
      </c>
      <c r="G810" s="43" t="str">
        <f t="shared" si="62"/>
        <v>ISHMAEL</v>
      </c>
      <c r="H810" s="43" t="str">
        <f t="shared" si="63"/>
        <v>GUTIERREZ CUARESMA</v>
      </c>
      <c r="I810" s="43" t="str">
        <f t="shared" si="64"/>
        <v>ISHMAEL GUTIERREZ CUARESMA</v>
      </c>
      <c r="J810" s="37" t="s">
        <v>656</v>
      </c>
      <c r="K810" s="37">
        <v>10</v>
      </c>
      <c r="L810" s="37">
        <v>6</v>
      </c>
      <c r="M810" s="37" t="s">
        <v>1</v>
      </c>
    </row>
    <row r="811" spans="2:13" x14ac:dyDescent="0.25">
      <c r="B811" s="48">
        <v>808</v>
      </c>
      <c r="C811" s="52">
        <v>209150388</v>
      </c>
      <c r="D811" s="43" t="str">
        <f t="shared" si="60"/>
        <v>2-0915-0388</v>
      </c>
      <c r="E811" s="52" t="s">
        <v>665</v>
      </c>
      <c r="F811" s="43" t="str">
        <f t="shared" si="61"/>
        <v>GABRIEL JOSUE</v>
      </c>
      <c r="G811" s="43" t="str">
        <f t="shared" si="62"/>
        <v>GABRIEL</v>
      </c>
      <c r="H811" s="43" t="str">
        <f t="shared" si="63"/>
        <v>HERRERA FERNANDEZ</v>
      </c>
      <c r="I811" s="43" t="str">
        <f t="shared" si="64"/>
        <v>GABRIEL HERRERA FERNANDEZ</v>
      </c>
      <c r="J811" s="37" t="s">
        <v>656</v>
      </c>
      <c r="K811" s="37">
        <v>10</v>
      </c>
      <c r="L811" s="37">
        <v>6</v>
      </c>
      <c r="M811" s="37" t="s">
        <v>1</v>
      </c>
    </row>
    <row r="812" spans="2:13" x14ac:dyDescent="0.25">
      <c r="B812" s="48">
        <v>809</v>
      </c>
      <c r="C812" s="52">
        <v>209210193</v>
      </c>
      <c r="D812" s="43" t="str">
        <f t="shared" si="60"/>
        <v>2-0921-0193</v>
      </c>
      <c r="E812" s="52" t="s">
        <v>667</v>
      </c>
      <c r="F812" s="43" t="str">
        <f t="shared" si="61"/>
        <v>STACY ELENA</v>
      </c>
      <c r="G812" s="43" t="str">
        <f t="shared" si="62"/>
        <v>STACY</v>
      </c>
      <c r="H812" s="43" t="str">
        <f t="shared" si="63"/>
        <v>JIMENEZ JIMENEZ</v>
      </c>
      <c r="I812" s="43" t="str">
        <f t="shared" si="64"/>
        <v>STACY JIMENEZ JIMENEZ</v>
      </c>
      <c r="J812" s="37" t="s">
        <v>656</v>
      </c>
      <c r="K812" s="37">
        <v>10</v>
      </c>
      <c r="L812" s="37">
        <v>6</v>
      </c>
      <c r="M812" s="37" t="s">
        <v>1</v>
      </c>
    </row>
    <row r="813" spans="2:13" x14ac:dyDescent="0.25">
      <c r="B813" s="46">
        <v>810</v>
      </c>
      <c r="C813" s="52">
        <v>209200536</v>
      </c>
      <c r="D813" s="43" t="str">
        <f t="shared" si="60"/>
        <v>2-0920-0536</v>
      </c>
      <c r="E813" s="52" t="s">
        <v>668</v>
      </c>
      <c r="F813" s="43" t="str">
        <f t="shared" si="61"/>
        <v>AVRIL JIMENA</v>
      </c>
      <c r="G813" s="43" t="str">
        <f t="shared" si="62"/>
        <v>AVRIL</v>
      </c>
      <c r="H813" s="43" t="str">
        <f t="shared" si="63"/>
        <v>MORA ALFARO</v>
      </c>
      <c r="I813" s="43" t="str">
        <f t="shared" si="64"/>
        <v>AVRIL MORA ALFARO</v>
      </c>
      <c r="J813" s="37" t="s">
        <v>656</v>
      </c>
      <c r="K813" s="37">
        <v>10</v>
      </c>
      <c r="L813" s="37">
        <v>6</v>
      </c>
      <c r="M813" s="37" t="s">
        <v>1</v>
      </c>
    </row>
    <row r="814" spans="2:13" x14ac:dyDescent="0.25">
      <c r="B814" s="48">
        <v>811</v>
      </c>
      <c r="C814" s="52">
        <v>402810155</v>
      </c>
      <c r="D814" s="43" t="str">
        <f t="shared" si="60"/>
        <v>4-0281-0155</v>
      </c>
      <c r="E814" s="52" t="s">
        <v>669</v>
      </c>
      <c r="F814" s="43" t="str">
        <f t="shared" si="61"/>
        <v>JOSE DANIEL</v>
      </c>
      <c r="G814" s="43" t="str">
        <f t="shared" si="62"/>
        <v>JOSE</v>
      </c>
      <c r="H814" s="43" t="str">
        <f t="shared" si="63"/>
        <v>ORELLANA TORRES</v>
      </c>
      <c r="I814" s="43" t="str">
        <f t="shared" si="64"/>
        <v>JOSE ORELLANA TORRES</v>
      </c>
      <c r="J814" s="37" t="s">
        <v>656</v>
      </c>
      <c r="K814" s="37">
        <v>10</v>
      </c>
      <c r="L814" s="37">
        <v>6</v>
      </c>
      <c r="M814" s="37" t="s">
        <v>1</v>
      </c>
    </row>
    <row r="815" spans="2:13" x14ac:dyDescent="0.25">
      <c r="B815" s="48">
        <v>812</v>
      </c>
      <c r="C815" s="52">
        <v>209200067</v>
      </c>
      <c r="D815" s="43" t="str">
        <f t="shared" si="60"/>
        <v>2-0920-0067</v>
      </c>
      <c r="E815" s="52" t="s">
        <v>670</v>
      </c>
      <c r="F815" s="43" t="str">
        <f t="shared" si="61"/>
        <v>TIFANNY YARIANA</v>
      </c>
      <c r="G815" s="43" t="str">
        <f t="shared" si="62"/>
        <v>TIFANNY</v>
      </c>
      <c r="H815" s="43" t="str">
        <f t="shared" si="63"/>
        <v>OTOYA MATUS</v>
      </c>
      <c r="I815" s="43" t="str">
        <f t="shared" si="64"/>
        <v>TIFANNY OTOYA MATUS</v>
      </c>
      <c r="J815" s="37" t="s">
        <v>656</v>
      </c>
      <c r="K815" s="37">
        <v>10</v>
      </c>
      <c r="L815" s="37">
        <v>6</v>
      </c>
      <c r="M815" s="37" t="s">
        <v>1</v>
      </c>
    </row>
    <row r="816" spans="2:13" x14ac:dyDescent="0.25">
      <c r="B816" s="46">
        <v>813</v>
      </c>
      <c r="C816" s="52">
        <v>209040815</v>
      </c>
      <c r="D816" s="43" t="str">
        <f t="shared" si="60"/>
        <v>2-0904-0815</v>
      </c>
      <c r="E816" s="52" t="s">
        <v>671</v>
      </c>
      <c r="F816" s="43" t="str">
        <f t="shared" si="61"/>
        <v>MARY PAZ</v>
      </c>
      <c r="G816" s="43" t="str">
        <f t="shared" si="62"/>
        <v>MARY</v>
      </c>
      <c r="H816" s="43" t="str">
        <f t="shared" si="63"/>
        <v>OVIEDO SALAZAR</v>
      </c>
      <c r="I816" s="43" t="str">
        <f t="shared" si="64"/>
        <v>MARY OVIEDO SALAZAR</v>
      </c>
      <c r="J816" s="37" t="s">
        <v>656</v>
      </c>
      <c r="K816" s="37">
        <v>10</v>
      </c>
      <c r="L816" s="37">
        <v>6</v>
      </c>
      <c r="M816" s="37" t="s">
        <v>1</v>
      </c>
    </row>
    <row r="817" spans="2:13" x14ac:dyDescent="0.25">
      <c r="B817" s="48">
        <v>814</v>
      </c>
      <c r="C817" s="52">
        <v>209210489</v>
      </c>
      <c r="D817" s="43" t="str">
        <f t="shared" si="60"/>
        <v>2-0921-0489</v>
      </c>
      <c r="E817" s="52" t="s">
        <v>672</v>
      </c>
      <c r="F817" s="43" t="str">
        <f t="shared" si="61"/>
        <v>SARAY</v>
      </c>
      <c r="G817" s="43" t="str">
        <f t="shared" si="62"/>
        <v>SARAY</v>
      </c>
      <c r="H817" s="43" t="str">
        <f t="shared" si="63"/>
        <v>QUESADA BONILLA</v>
      </c>
      <c r="I817" s="43" t="str">
        <f t="shared" si="64"/>
        <v>SARAY QUESADA BONILLA</v>
      </c>
      <c r="J817" s="37" t="s">
        <v>656</v>
      </c>
      <c r="K817" s="37">
        <v>10</v>
      </c>
      <c r="L817" s="37">
        <v>6</v>
      </c>
      <c r="M817" s="37" t="s">
        <v>1</v>
      </c>
    </row>
    <row r="818" spans="2:13" x14ac:dyDescent="0.25">
      <c r="B818" s="48">
        <v>815</v>
      </c>
      <c r="C818" s="52">
        <v>209160311</v>
      </c>
      <c r="D818" s="43" t="str">
        <f t="shared" si="60"/>
        <v>2-0916-0311</v>
      </c>
      <c r="E818" s="52" t="s">
        <v>673</v>
      </c>
      <c r="F818" s="43" t="str">
        <f t="shared" si="61"/>
        <v>NICOLAS</v>
      </c>
      <c r="G818" s="43" t="str">
        <f t="shared" si="62"/>
        <v>NICOLAS</v>
      </c>
      <c r="H818" s="43" t="str">
        <f t="shared" si="63"/>
        <v>RODRIGUEZ CAMACHO</v>
      </c>
      <c r="I818" s="43" t="str">
        <f t="shared" si="64"/>
        <v>NICOLAS RODRIGUEZ CAMACHO</v>
      </c>
      <c r="J818" s="37" t="s">
        <v>656</v>
      </c>
      <c r="K818" s="37">
        <v>10</v>
      </c>
      <c r="L818" s="37">
        <v>6</v>
      </c>
      <c r="M818" s="37" t="s">
        <v>1</v>
      </c>
    </row>
    <row r="819" spans="2:13" x14ac:dyDescent="0.25">
      <c r="B819" s="46">
        <v>816</v>
      </c>
      <c r="C819" s="33">
        <v>209190711</v>
      </c>
      <c r="D819" s="43" t="str">
        <f t="shared" si="60"/>
        <v>2-0919-0711</v>
      </c>
      <c r="E819" s="33" t="s">
        <v>674</v>
      </c>
      <c r="F819" s="43" t="str">
        <f t="shared" si="61"/>
        <v>JOSE PAULO</v>
      </c>
      <c r="G819" s="43" t="str">
        <f t="shared" si="62"/>
        <v>JOSE</v>
      </c>
      <c r="H819" s="43" t="str">
        <f t="shared" si="63"/>
        <v>ALVARADO VALVERDE</v>
      </c>
      <c r="I819" s="43" t="str">
        <f t="shared" si="64"/>
        <v>JOSE ALVARADO VALVERDE</v>
      </c>
      <c r="J819" s="37" t="s">
        <v>675</v>
      </c>
      <c r="K819" s="37">
        <v>10</v>
      </c>
      <c r="L819" s="37">
        <v>6</v>
      </c>
      <c r="M819" s="37" t="s">
        <v>0</v>
      </c>
    </row>
    <row r="820" spans="2:13" x14ac:dyDescent="0.25">
      <c r="B820" s="48">
        <v>817</v>
      </c>
      <c r="C820" s="39">
        <v>208910223</v>
      </c>
      <c r="D820" s="43" t="str">
        <f t="shared" si="60"/>
        <v>2-0891-0223</v>
      </c>
      <c r="E820" s="39" t="s">
        <v>676</v>
      </c>
      <c r="F820" s="43" t="str">
        <f t="shared" si="61"/>
        <v>DERECK JOSUE</v>
      </c>
      <c r="G820" s="43" t="str">
        <f t="shared" si="62"/>
        <v>DERECK</v>
      </c>
      <c r="H820" s="43" t="str">
        <f t="shared" si="63"/>
        <v>BRENES ACUÑA</v>
      </c>
      <c r="I820" s="43" t="str">
        <f t="shared" si="64"/>
        <v>DERECK BRENES ACUÑA</v>
      </c>
      <c r="J820" s="37" t="s">
        <v>675</v>
      </c>
      <c r="K820" s="37">
        <v>10</v>
      </c>
      <c r="L820" s="37">
        <v>6</v>
      </c>
      <c r="M820" s="37" t="s">
        <v>0</v>
      </c>
    </row>
    <row r="821" spans="2:13" x14ac:dyDescent="0.25">
      <c r="B821" s="48">
        <v>818</v>
      </c>
      <c r="C821" s="33">
        <v>402830284</v>
      </c>
      <c r="D821" s="43" t="str">
        <f t="shared" si="60"/>
        <v>4-0283-0284</v>
      </c>
      <c r="E821" s="33" t="s">
        <v>677</v>
      </c>
      <c r="F821" s="43" t="str">
        <f t="shared" si="61"/>
        <v>HILLARY</v>
      </c>
      <c r="G821" s="43" t="str">
        <f t="shared" si="62"/>
        <v>HILLARY</v>
      </c>
      <c r="H821" s="43" t="str">
        <f t="shared" si="63"/>
        <v>CHAVARRIA RODRIGUEZ</v>
      </c>
      <c r="I821" s="43" t="str">
        <f t="shared" si="64"/>
        <v>HILLARY CHAVARRIA RODRIGUEZ</v>
      </c>
      <c r="J821" s="37" t="s">
        <v>675</v>
      </c>
      <c r="K821" s="37">
        <v>10</v>
      </c>
      <c r="L821" s="37">
        <v>6</v>
      </c>
      <c r="M821" s="37" t="s">
        <v>0</v>
      </c>
    </row>
    <row r="822" spans="2:13" x14ac:dyDescent="0.25">
      <c r="B822" s="46">
        <v>819</v>
      </c>
      <c r="C822" s="33">
        <v>209160281</v>
      </c>
      <c r="D822" s="43" t="str">
        <f t="shared" si="60"/>
        <v>2-0916-0281</v>
      </c>
      <c r="E822" s="33" t="s">
        <v>678</v>
      </c>
      <c r="F822" s="43" t="str">
        <f t="shared" si="61"/>
        <v>JOHEL EMILIANO</v>
      </c>
      <c r="G822" s="43" t="str">
        <f t="shared" si="62"/>
        <v>JOHEL</v>
      </c>
      <c r="H822" s="43" t="str">
        <f t="shared" si="63"/>
        <v>ESCOTO LUNA</v>
      </c>
      <c r="I822" s="43" t="str">
        <f t="shared" si="64"/>
        <v>JOHEL ESCOTO LUNA</v>
      </c>
      <c r="J822" s="37" t="s">
        <v>675</v>
      </c>
      <c r="K822" s="37">
        <v>10</v>
      </c>
      <c r="L822" s="37">
        <v>6</v>
      </c>
      <c r="M822" s="37" t="s">
        <v>0</v>
      </c>
    </row>
    <row r="823" spans="2:13" x14ac:dyDescent="0.25">
      <c r="B823" s="48">
        <v>820</v>
      </c>
      <c r="C823" s="33">
        <v>209110939</v>
      </c>
      <c r="D823" s="43" t="str">
        <f t="shared" si="60"/>
        <v>2-0911-0939</v>
      </c>
      <c r="E823" s="33" t="s">
        <v>679</v>
      </c>
      <c r="F823" s="43" t="str">
        <f t="shared" si="61"/>
        <v>SEBASTIAN</v>
      </c>
      <c r="G823" s="43" t="str">
        <f t="shared" si="62"/>
        <v>SEBASTIAN</v>
      </c>
      <c r="H823" s="43" t="str">
        <f t="shared" si="63"/>
        <v>FERNANDEZ GAMBOA</v>
      </c>
      <c r="I823" s="43" t="str">
        <f t="shared" si="64"/>
        <v>SEBASTIAN FERNANDEZ GAMBOA</v>
      </c>
      <c r="J823" s="37" t="s">
        <v>675</v>
      </c>
      <c r="K823" s="37">
        <v>10</v>
      </c>
      <c r="L823" s="37">
        <v>6</v>
      </c>
      <c r="M823" s="37" t="s">
        <v>0</v>
      </c>
    </row>
    <row r="824" spans="2:13" x14ac:dyDescent="0.25">
      <c r="B824" s="48">
        <v>821</v>
      </c>
      <c r="C824" s="33">
        <v>209240045</v>
      </c>
      <c r="D824" s="43" t="str">
        <f t="shared" si="60"/>
        <v>2-0924-0045</v>
      </c>
      <c r="E824" s="33" t="s">
        <v>680</v>
      </c>
      <c r="F824" s="43" t="str">
        <f t="shared" si="61"/>
        <v>MATIAS</v>
      </c>
      <c r="G824" s="43" t="str">
        <f t="shared" si="62"/>
        <v>MATIAS</v>
      </c>
      <c r="H824" s="43" t="str">
        <f t="shared" si="63"/>
        <v>GARCIA MONTERO</v>
      </c>
      <c r="I824" s="43" t="str">
        <f t="shared" si="64"/>
        <v>MATIAS GARCIA MONTERO</v>
      </c>
      <c r="J824" s="37" t="s">
        <v>675</v>
      </c>
      <c r="K824" s="37">
        <v>10</v>
      </c>
      <c r="L824" s="37">
        <v>6</v>
      </c>
      <c r="M824" s="37" t="s">
        <v>0</v>
      </c>
    </row>
    <row r="825" spans="2:13" x14ac:dyDescent="0.25">
      <c r="B825" s="46">
        <v>822</v>
      </c>
      <c r="C825" s="33">
        <v>209230020</v>
      </c>
      <c r="D825" s="43" t="str">
        <f t="shared" si="60"/>
        <v>2-0923-0020</v>
      </c>
      <c r="E825" s="33" t="s">
        <v>681</v>
      </c>
      <c r="F825" s="43" t="str">
        <f t="shared" si="61"/>
        <v>YARET EMMANUEL</v>
      </c>
      <c r="G825" s="43" t="str">
        <f t="shared" si="62"/>
        <v>YARET</v>
      </c>
      <c r="H825" s="43" t="str">
        <f t="shared" si="63"/>
        <v>GRANADOS VELAZQUEZ</v>
      </c>
      <c r="I825" s="43" t="str">
        <f t="shared" si="64"/>
        <v>YARET GRANADOS VELAZQUEZ</v>
      </c>
      <c r="J825" s="37" t="s">
        <v>675</v>
      </c>
      <c r="K825" s="37">
        <v>10</v>
      </c>
      <c r="L825" s="37">
        <v>6</v>
      </c>
      <c r="M825" s="37" t="s">
        <v>0</v>
      </c>
    </row>
    <row r="826" spans="2:13" x14ac:dyDescent="0.25">
      <c r="B826" s="48">
        <v>823</v>
      </c>
      <c r="C826" s="33">
        <v>402780847</v>
      </c>
      <c r="D826" s="43" t="str">
        <f t="shared" si="60"/>
        <v>4-0278-0847</v>
      </c>
      <c r="E826" s="33" t="s">
        <v>682</v>
      </c>
      <c r="F826" s="43" t="str">
        <f t="shared" si="61"/>
        <v>CHRISTOPER ALFONSO</v>
      </c>
      <c r="G826" s="43" t="str">
        <f t="shared" si="62"/>
        <v>CHRISTOPER</v>
      </c>
      <c r="H826" s="43" t="str">
        <f t="shared" si="63"/>
        <v>HERNANDEZ MORA</v>
      </c>
      <c r="I826" s="43" t="str">
        <f t="shared" si="64"/>
        <v>CHRISTOPER HERNANDEZ MORA</v>
      </c>
      <c r="J826" s="37" t="s">
        <v>675</v>
      </c>
      <c r="K826" s="37">
        <v>10</v>
      </c>
      <c r="L826" s="37">
        <v>6</v>
      </c>
      <c r="M826" s="37" t="s">
        <v>0</v>
      </c>
    </row>
    <row r="827" spans="2:13" x14ac:dyDescent="0.25">
      <c r="B827" s="48">
        <v>824</v>
      </c>
      <c r="C827" s="33">
        <v>209160373</v>
      </c>
      <c r="D827" s="43" t="str">
        <f t="shared" si="60"/>
        <v>2-0916-0373</v>
      </c>
      <c r="E827" s="33" t="s">
        <v>683</v>
      </c>
      <c r="F827" s="43" t="str">
        <f t="shared" si="61"/>
        <v>LARISSA</v>
      </c>
      <c r="G827" s="43" t="str">
        <f t="shared" si="62"/>
        <v>LARISSA</v>
      </c>
      <c r="H827" s="43" t="str">
        <f t="shared" si="63"/>
        <v>MARIN JIMENEZ</v>
      </c>
      <c r="I827" s="43" t="str">
        <f t="shared" si="64"/>
        <v>LARISSA MARIN JIMENEZ</v>
      </c>
      <c r="J827" s="37" t="s">
        <v>675</v>
      </c>
      <c r="K827" s="37">
        <v>10</v>
      </c>
      <c r="L827" s="37">
        <v>6</v>
      </c>
      <c r="M827" s="37" t="s">
        <v>0</v>
      </c>
    </row>
    <row r="828" spans="2:13" x14ac:dyDescent="0.25">
      <c r="B828" s="46">
        <v>825</v>
      </c>
      <c r="C828" s="33">
        <v>402830812</v>
      </c>
      <c r="D828" s="43" t="str">
        <f t="shared" si="60"/>
        <v>4-0283-0812</v>
      </c>
      <c r="E828" s="33" t="s">
        <v>684</v>
      </c>
      <c r="F828" s="43" t="str">
        <f t="shared" si="61"/>
        <v>GABRIEL JOSUE</v>
      </c>
      <c r="G828" s="43" t="str">
        <f t="shared" si="62"/>
        <v>GABRIEL</v>
      </c>
      <c r="H828" s="43" t="str">
        <f t="shared" si="63"/>
        <v>NUÑEZ SALAS</v>
      </c>
      <c r="I828" s="43" t="str">
        <f t="shared" si="64"/>
        <v>GABRIEL NUÑEZ SALAS</v>
      </c>
      <c r="J828" s="37" t="s">
        <v>675</v>
      </c>
      <c r="K828" s="37">
        <v>10</v>
      </c>
      <c r="L828" s="37">
        <v>6</v>
      </c>
      <c r="M828" s="37" t="s">
        <v>0</v>
      </c>
    </row>
    <row r="829" spans="2:13" x14ac:dyDescent="0.25">
      <c r="B829" s="48">
        <v>826</v>
      </c>
      <c r="C829" s="33">
        <v>209120753</v>
      </c>
      <c r="D829" s="43" t="str">
        <f t="shared" si="60"/>
        <v>2-0912-0753</v>
      </c>
      <c r="E829" s="33" t="s">
        <v>685</v>
      </c>
      <c r="F829" s="43" t="str">
        <f t="shared" si="61"/>
        <v>CHRISTOPHER</v>
      </c>
      <c r="G829" s="43" t="str">
        <f t="shared" si="62"/>
        <v>CHRISTOPHER</v>
      </c>
      <c r="H829" s="43" t="str">
        <f t="shared" si="63"/>
        <v>OVIEDO RAMIREZ</v>
      </c>
      <c r="I829" s="43" t="str">
        <f t="shared" si="64"/>
        <v>CHRISTOPHER OVIEDO RAMIREZ</v>
      </c>
      <c r="J829" s="37" t="s">
        <v>675</v>
      </c>
      <c r="K829" s="37">
        <v>10</v>
      </c>
      <c r="L829" s="37">
        <v>6</v>
      </c>
      <c r="M829" s="37" t="s">
        <v>0</v>
      </c>
    </row>
    <row r="830" spans="2:13" x14ac:dyDescent="0.25">
      <c r="B830" s="48">
        <v>827</v>
      </c>
      <c r="C830" s="33">
        <v>120500316</v>
      </c>
      <c r="D830" s="43" t="str">
        <f t="shared" si="60"/>
        <v>1-2050-0316</v>
      </c>
      <c r="E830" s="33" t="s">
        <v>686</v>
      </c>
      <c r="F830" s="43" t="str">
        <f t="shared" si="61"/>
        <v>ARTURO</v>
      </c>
      <c r="G830" s="43" t="str">
        <f t="shared" si="62"/>
        <v>ARTURO</v>
      </c>
      <c r="H830" s="43" t="str">
        <f t="shared" si="63"/>
        <v>PANIAGUA SALAZAR</v>
      </c>
      <c r="I830" s="43" t="str">
        <f t="shared" si="64"/>
        <v>ARTURO PANIAGUA SALAZAR</v>
      </c>
      <c r="J830" s="37" t="s">
        <v>675</v>
      </c>
      <c r="K830" s="37">
        <v>10</v>
      </c>
      <c r="L830" s="37">
        <v>6</v>
      </c>
      <c r="M830" s="37" t="s">
        <v>0</v>
      </c>
    </row>
    <row r="831" spans="2:13" x14ac:dyDescent="0.25">
      <c r="B831" s="46">
        <v>828</v>
      </c>
      <c r="C831" s="33">
        <v>402830229</v>
      </c>
      <c r="D831" s="43" t="str">
        <f t="shared" si="60"/>
        <v>4-0283-0229</v>
      </c>
      <c r="E831" s="33" t="s">
        <v>687</v>
      </c>
      <c r="F831" s="43" t="str">
        <f t="shared" si="61"/>
        <v>FRANCELLA</v>
      </c>
      <c r="G831" s="43" t="str">
        <f t="shared" si="62"/>
        <v>FRANCELLA</v>
      </c>
      <c r="H831" s="43" t="str">
        <f t="shared" si="63"/>
        <v>RIVERA TERCERO</v>
      </c>
      <c r="I831" s="43" t="str">
        <f t="shared" si="64"/>
        <v>FRANCELLA RIVERA TERCERO</v>
      </c>
      <c r="J831" s="37" t="s">
        <v>675</v>
      </c>
      <c r="K831" s="37">
        <v>10</v>
      </c>
      <c r="L831" s="37">
        <v>6</v>
      </c>
      <c r="M831" s="37" t="s">
        <v>0</v>
      </c>
    </row>
    <row r="832" spans="2:13" x14ac:dyDescent="0.25">
      <c r="B832" s="48">
        <v>829</v>
      </c>
      <c r="C832" s="33">
        <v>402820586</v>
      </c>
      <c r="D832" s="43" t="str">
        <f t="shared" si="60"/>
        <v>4-0282-0586</v>
      </c>
      <c r="E832" s="33" t="s">
        <v>688</v>
      </c>
      <c r="F832" s="43" t="str">
        <f t="shared" si="61"/>
        <v>KEYLOR DAVID</v>
      </c>
      <c r="G832" s="43" t="str">
        <f t="shared" si="62"/>
        <v>KEYLOR</v>
      </c>
      <c r="H832" s="43" t="str">
        <f t="shared" si="63"/>
        <v>RODRIGUEZ LARA</v>
      </c>
      <c r="I832" s="43" t="str">
        <f t="shared" si="64"/>
        <v>KEYLOR RODRIGUEZ LARA</v>
      </c>
      <c r="J832" s="37" t="s">
        <v>675</v>
      </c>
      <c r="K832" s="37">
        <v>10</v>
      </c>
      <c r="L832" s="37">
        <v>6</v>
      </c>
      <c r="M832" s="37" t="s">
        <v>0</v>
      </c>
    </row>
    <row r="833" spans="2:13" x14ac:dyDescent="0.25">
      <c r="B833" s="48">
        <v>830</v>
      </c>
      <c r="C833" s="33">
        <v>402840987</v>
      </c>
      <c r="D833" s="43" t="str">
        <f t="shared" si="60"/>
        <v>4-0284-0987</v>
      </c>
      <c r="E833" s="33" t="s">
        <v>690</v>
      </c>
      <c r="F833" s="43" t="str">
        <f t="shared" si="61"/>
        <v>VALERIA</v>
      </c>
      <c r="G833" s="43" t="str">
        <f t="shared" si="62"/>
        <v>VALERIA</v>
      </c>
      <c r="H833" s="43" t="str">
        <f t="shared" si="63"/>
        <v>SANDOVAL ALFARO</v>
      </c>
      <c r="I833" s="43" t="str">
        <f t="shared" si="64"/>
        <v>VALERIA SANDOVAL ALFARO</v>
      </c>
      <c r="J833" s="37" t="s">
        <v>675</v>
      </c>
      <c r="K833" s="37">
        <v>10</v>
      </c>
      <c r="L833" s="37">
        <v>6</v>
      </c>
      <c r="M833" s="37" t="s">
        <v>0</v>
      </c>
    </row>
    <row r="834" spans="2:13" x14ac:dyDescent="0.25">
      <c r="B834" s="46">
        <v>831</v>
      </c>
      <c r="C834" s="33">
        <v>209110978</v>
      </c>
      <c r="D834" s="43" t="str">
        <f t="shared" si="60"/>
        <v>2-0911-0978</v>
      </c>
      <c r="E834" s="33" t="s">
        <v>691</v>
      </c>
      <c r="F834" s="43" t="str">
        <f t="shared" si="61"/>
        <v>JOSUE DAVID</v>
      </c>
      <c r="G834" s="43" t="str">
        <f t="shared" si="62"/>
        <v>JOSUE</v>
      </c>
      <c r="H834" s="43" t="str">
        <f t="shared" si="63"/>
        <v>SIRIAS RODRIGUEZ</v>
      </c>
      <c r="I834" s="43" t="str">
        <f t="shared" si="64"/>
        <v>JOSUE SIRIAS RODRIGUEZ</v>
      </c>
      <c r="J834" s="37" t="s">
        <v>675</v>
      </c>
      <c r="K834" s="37">
        <v>10</v>
      </c>
      <c r="L834" s="37">
        <v>6</v>
      </c>
      <c r="M834" s="37" t="s">
        <v>0</v>
      </c>
    </row>
    <row r="835" spans="2:13" x14ac:dyDescent="0.25">
      <c r="B835" s="48">
        <v>832</v>
      </c>
      <c r="C835" s="33">
        <v>209230904</v>
      </c>
      <c r="D835" s="43" t="str">
        <f t="shared" si="60"/>
        <v>2-0923-0904</v>
      </c>
      <c r="E835" s="33" t="s">
        <v>692</v>
      </c>
      <c r="F835" s="43" t="str">
        <f t="shared" si="61"/>
        <v>IRVYN DAMIAN</v>
      </c>
      <c r="G835" s="43" t="str">
        <f t="shared" si="62"/>
        <v>IRVYN</v>
      </c>
      <c r="H835" s="43" t="str">
        <f t="shared" si="63"/>
        <v>VANEGAS VARGAS</v>
      </c>
      <c r="I835" s="43" t="str">
        <f t="shared" si="64"/>
        <v>IRVYN VANEGAS VARGAS</v>
      </c>
      <c r="J835" s="37" t="s">
        <v>675</v>
      </c>
      <c r="K835" s="37">
        <v>10</v>
      </c>
      <c r="L835" s="37">
        <v>6</v>
      </c>
      <c r="M835" s="37" t="s">
        <v>0</v>
      </c>
    </row>
    <row r="836" spans="2:13" x14ac:dyDescent="0.25">
      <c r="B836" s="48">
        <v>833</v>
      </c>
      <c r="C836" s="33">
        <v>209140422</v>
      </c>
      <c r="D836" s="43" t="str">
        <f t="shared" ref="D836:D899" si="65">IF(LEN(C836)=9,_xlfn.CONCAT(MID(C836,1,1),"-",MID(C836,2,4),"-",MID(C836,6,4)),TEXT(C836,"000000000000"))</f>
        <v>2-0914-0422</v>
      </c>
      <c r="E836" s="33" t="s">
        <v>693</v>
      </c>
      <c r="F836" s="43" t="str">
        <f t="shared" si="61"/>
        <v>JOSE MARIA</v>
      </c>
      <c r="G836" s="43" t="str">
        <f t="shared" si="62"/>
        <v>JOSE</v>
      </c>
      <c r="H836" s="43" t="str">
        <f t="shared" si="63"/>
        <v>VELASQUEZ PEREZ</v>
      </c>
      <c r="I836" s="43" t="str">
        <f t="shared" si="64"/>
        <v>JOSE VELASQUEZ PEREZ</v>
      </c>
      <c r="J836" s="37" t="s">
        <v>675</v>
      </c>
      <c r="K836" s="37">
        <v>10</v>
      </c>
      <c r="L836" s="37">
        <v>6</v>
      </c>
      <c r="M836" s="37" t="s">
        <v>0</v>
      </c>
    </row>
    <row r="837" spans="2:13" x14ac:dyDescent="0.25">
      <c r="B837" s="46">
        <v>834</v>
      </c>
      <c r="C837" s="52">
        <v>209040984</v>
      </c>
      <c r="D837" s="43" t="str">
        <f t="shared" si="65"/>
        <v>2-0904-0984</v>
      </c>
      <c r="E837" s="52" t="s">
        <v>694</v>
      </c>
      <c r="F837" s="43" t="str">
        <f t="shared" ref="F837:F900" si="66">RIGHT(E837,LEN(E837)-SEARCH(" ",E837,SEARCH(" ",E837)+1))</f>
        <v>MANASES AARON</v>
      </c>
      <c r="G837" s="43" t="str">
        <f t="shared" ref="G837:G900" si="67">IFERROR(LEFT(F837,SEARCH(" ",F837,1)-1),F837)</f>
        <v>MANASES</v>
      </c>
      <c r="H837" s="43" t="str">
        <f t="shared" ref="H837:H900" si="68">LEFT(E837,SEARCH(" ",E837,SEARCH(" ",E837)+1)-1)</f>
        <v>ALVARADO ESPINOZA</v>
      </c>
      <c r="I837" s="43" t="str">
        <f t="shared" ref="I837:I900" si="69">_xlfn.CONCAT(G837," ",H837)</f>
        <v>MANASES ALVARADO ESPINOZA</v>
      </c>
      <c r="J837" s="37" t="s">
        <v>2241</v>
      </c>
      <c r="K837" s="37">
        <v>11</v>
      </c>
      <c r="L837" s="37">
        <v>1</v>
      </c>
      <c r="M837" s="37" t="s">
        <v>1</v>
      </c>
    </row>
    <row r="838" spans="2:13" x14ac:dyDescent="0.25">
      <c r="B838" s="48">
        <v>835</v>
      </c>
      <c r="C838" s="52">
        <v>209080019</v>
      </c>
      <c r="D838" s="43" t="str">
        <f t="shared" si="65"/>
        <v>2-0908-0019</v>
      </c>
      <c r="E838" s="52" t="s">
        <v>695</v>
      </c>
      <c r="F838" s="43" t="str">
        <f t="shared" si="66"/>
        <v>MARIA PAULA</v>
      </c>
      <c r="G838" s="43" t="str">
        <f t="shared" si="67"/>
        <v>MARIA</v>
      </c>
      <c r="H838" s="43" t="str">
        <f t="shared" si="68"/>
        <v>ALVARADO GONZALEZ</v>
      </c>
      <c r="I838" s="43" t="str">
        <f t="shared" si="69"/>
        <v>MARIA ALVARADO GONZALEZ</v>
      </c>
      <c r="J838" s="37" t="s">
        <v>2241</v>
      </c>
      <c r="K838" s="37">
        <v>11</v>
      </c>
      <c r="L838" s="37">
        <v>1</v>
      </c>
      <c r="M838" s="37" t="s">
        <v>1</v>
      </c>
    </row>
    <row r="839" spans="2:13" x14ac:dyDescent="0.25">
      <c r="B839" s="48">
        <v>836</v>
      </c>
      <c r="C839" s="52">
        <v>209020389</v>
      </c>
      <c r="D839" s="43" t="str">
        <f t="shared" si="65"/>
        <v>2-0902-0389</v>
      </c>
      <c r="E839" s="52" t="s">
        <v>696</v>
      </c>
      <c r="F839" s="43" t="str">
        <f t="shared" si="66"/>
        <v>BRANDON ALONSO</v>
      </c>
      <c r="G839" s="43" t="str">
        <f t="shared" si="67"/>
        <v>BRANDON</v>
      </c>
      <c r="H839" s="43" t="str">
        <f t="shared" si="68"/>
        <v>ALVAREZ CESPEDES</v>
      </c>
      <c r="I839" s="43" t="str">
        <f t="shared" si="69"/>
        <v>BRANDON ALVAREZ CESPEDES</v>
      </c>
      <c r="J839" s="37" t="s">
        <v>2241</v>
      </c>
      <c r="K839" s="37">
        <v>11</v>
      </c>
      <c r="L839" s="37">
        <v>1</v>
      </c>
      <c r="M839" s="37" t="s">
        <v>1</v>
      </c>
    </row>
    <row r="840" spans="2:13" x14ac:dyDescent="0.25">
      <c r="B840" s="46">
        <v>837</v>
      </c>
      <c r="C840" s="52">
        <v>120180884</v>
      </c>
      <c r="D840" s="43" t="str">
        <f t="shared" si="65"/>
        <v>1-2018-0884</v>
      </c>
      <c r="E840" s="52" t="s">
        <v>697</v>
      </c>
      <c r="F840" s="43" t="str">
        <f t="shared" si="66"/>
        <v>DAYANNA</v>
      </c>
      <c r="G840" s="43" t="str">
        <f t="shared" si="67"/>
        <v>DAYANNA</v>
      </c>
      <c r="H840" s="43" t="str">
        <f t="shared" si="68"/>
        <v>ALZATE CASTRILLON</v>
      </c>
      <c r="I840" s="43" t="str">
        <f t="shared" si="69"/>
        <v>DAYANNA ALZATE CASTRILLON</v>
      </c>
      <c r="J840" s="37" t="s">
        <v>2241</v>
      </c>
      <c r="K840" s="37">
        <v>11</v>
      </c>
      <c r="L840" s="37">
        <v>1</v>
      </c>
      <c r="M840" s="37" t="s">
        <v>1</v>
      </c>
    </row>
    <row r="841" spans="2:13" x14ac:dyDescent="0.25">
      <c r="B841" s="48">
        <v>838</v>
      </c>
      <c r="C841" s="52">
        <v>402800098</v>
      </c>
      <c r="D841" s="43" t="str">
        <f t="shared" si="65"/>
        <v>4-0280-0098</v>
      </c>
      <c r="E841" s="52" t="s">
        <v>698</v>
      </c>
      <c r="F841" s="43" t="str">
        <f t="shared" si="66"/>
        <v>DANIEL ANDRES</v>
      </c>
      <c r="G841" s="43" t="str">
        <f t="shared" si="67"/>
        <v>DANIEL</v>
      </c>
      <c r="H841" s="43" t="str">
        <f t="shared" si="68"/>
        <v>AVALOS GONZALEZ</v>
      </c>
      <c r="I841" s="43" t="str">
        <f t="shared" si="69"/>
        <v>DANIEL AVALOS GONZALEZ</v>
      </c>
      <c r="J841" s="37" t="s">
        <v>2241</v>
      </c>
      <c r="K841" s="37">
        <v>11</v>
      </c>
      <c r="L841" s="37">
        <v>1</v>
      </c>
      <c r="M841" s="37" t="s">
        <v>1</v>
      </c>
    </row>
    <row r="842" spans="2:13" x14ac:dyDescent="0.25">
      <c r="B842" s="48">
        <v>839</v>
      </c>
      <c r="C842" s="52">
        <v>402780386</v>
      </c>
      <c r="D842" s="43" t="str">
        <f t="shared" si="65"/>
        <v>4-0278-0386</v>
      </c>
      <c r="E842" s="52" t="s">
        <v>699</v>
      </c>
      <c r="F842" s="43" t="str">
        <f t="shared" si="66"/>
        <v>NEISMY</v>
      </c>
      <c r="G842" s="43" t="str">
        <f t="shared" si="67"/>
        <v>NEISMY</v>
      </c>
      <c r="H842" s="43" t="str">
        <f t="shared" si="68"/>
        <v>CASCANTE SALMERON</v>
      </c>
      <c r="I842" s="43" t="str">
        <f t="shared" si="69"/>
        <v>NEISMY CASCANTE SALMERON</v>
      </c>
      <c r="J842" s="37" t="s">
        <v>2241</v>
      </c>
      <c r="K842" s="37">
        <v>11</v>
      </c>
      <c r="L842" s="37">
        <v>1</v>
      </c>
      <c r="M842" s="37" t="s">
        <v>1</v>
      </c>
    </row>
    <row r="843" spans="2:13" x14ac:dyDescent="0.25">
      <c r="B843" s="46">
        <v>840</v>
      </c>
      <c r="C843" s="52">
        <v>209090205</v>
      </c>
      <c r="D843" s="43" t="str">
        <f t="shared" si="65"/>
        <v>2-0909-0205</v>
      </c>
      <c r="E843" s="52" t="s">
        <v>700</v>
      </c>
      <c r="F843" s="43" t="str">
        <f t="shared" si="66"/>
        <v>SHEYDIS SUCEC</v>
      </c>
      <c r="G843" s="43" t="str">
        <f t="shared" si="67"/>
        <v>SHEYDIS</v>
      </c>
      <c r="H843" s="43" t="str">
        <f t="shared" si="68"/>
        <v>FERNANDEZ MONTERO</v>
      </c>
      <c r="I843" s="43" t="str">
        <f t="shared" si="69"/>
        <v>SHEYDIS FERNANDEZ MONTERO</v>
      </c>
      <c r="J843" s="37" t="s">
        <v>2241</v>
      </c>
      <c r="K843" s="37">
        <v>11</v>
      </c>
      <c r="L843" s="37">
        <v>1</v>
      </c>
      <c r="M843" s="37" t="s">
        <v>1</v>
      </c>
    </row>
    <row r="844" spans="2:13" x14ac:dyDescent="0.25">
      <c r="B844" s="48">
        <v>841</v>
      </c>
      <c r="C844" s="52">
        <v>402780148</v>
      </c>
      <c r="D844" s="43" t="str">
        <f t="shared" si="65"/>
        <v>4-0278-0148</v>
      </c>
      <c r="E844" s="52" t="s">
        <v>701</v>
      </c>
      <c r="F844" s="43" t="str">
        <f t="shared" si="66"/>
        <v>LEONIDAS</v>
      </c>
      <c r="G844" s="43" t="str">
        <f t="shared" si="67"/>
        <v>LEONIDAS</v>
      </c>
      <c r="H844" s="43" t="str">
        <f t="shared" si="68"/>
        <v>GUZMAN BRENES</v>
      </c>
      <c r="I844" s="43" t="str">
        <f t="shared" si="69"/>
        <v>LEONIDAS GUZMAN BRENES</v>
      </c>
      <c r="J844" s="37" t="s">
        <v>2241</v>
      </c>
      <c r="K844" s="37">
        <v>11</v>
      </c>
      <c r="L844" s="37">
        <v>1</v>
      </c>
      <c r="M844" s="37" t="s">
        <v>1</v>
      </c>
    </row>
    <row r="845" spans="2:13" x14ac:dyDescent="0.25">
      <c r="B845" s="48">
        <v>842</v>
      </c>
      <c r="C845" s="52">
        <v>209010635</v>
      </c>
      <c r="D845" s="43" t="str">
        <f t="shared" si="65"/>
        <v>2-0901-0635</v>
      </c>
      <c r="E845" s="52" t="s">
        <v>702</v>
      </c>
      <c r="F845" s="43" t="str">
        <f t="shared" si="66"/>
        <v>ABIGAIL</v>
      </c>
      <c r="G845" s="43" t="str">
        <f t="shared" si="67"/>
        <v>ABIGAIL</v>
      </c>
      <c r="H845" s="43" t="str">
        <f t="shared" si="68"/>
        <v>HIDALGO VALVERDE</v>
      </c>
      <c r="I845" s="43" t="str">
        <f t="shared" si="69"/>
        <v>ABIGAIL HIDALGO VALVERDE</v>
      </c>
      <c r="J845" s="37" t="s">
        <v>2241</v>
      </c>
      <c r="K845" s="37">
        <v>11</v>
      </c>
      <c r="L845" s="37">
        <v>1</v>
      </c>
      <c r="M845" s="37" t="s">
        <v>1</v>
      </c>
    </row>
    <row r="846" spans="2:13" x14ac:dyDescent="0.25">
      <c r="B846" s="46">
        <v>843</v>
      </c>
      <c r="C846" s="52">
        <v>209040285</v>
      </c>
      <c r="D846" s="43" t="str">
        <f t="shared" si="65"/>
        <v>2-0904-0285</v>
      </c>
      <c r="E846" s="52" t="s">
        <v>703</v>
      </c>
      <c r="F846" s="43" t="str">
        <f t="shared" si="66"/>
        <v>GENESIS PRISCILA</v>
      </c>
      <c r="G846" s="43" t="str">
        <f t="shared" si="67"/>
        <v>GENESIS</v>
      </c>
      <c r="H846" s="43" t="str">
        <f t="shared" si="68"/>
        <v>MARTINEZ CRUZ</v>
      </c>
      <c r="I846" s="43" t="str">
        <f t="shared" si="69"/>
        <v>GENESIS MARTINEZ CRUZ</v>
      </c>
      <c r="J846" s="37" t="s">
        <v>2241</v>
      </c>
      <c r="K846" s="37">
        <v>11</v>
      </c>
      <c r="L846" s="37">
        <v>1</v>
      </c>
      <c r="M846" s="37" t="s">
        <v>1</v>
      </c>
    </row>
    <row r="847" spans="2:13" x14ac:dyDescent="0.25">
      <c r="B847" s="48">
        <v>844</v>
      </c>
      <c r="C847" s="52">
        <v>402780628</v>
      </c>
      <c r="D847" s="43" t="str">
        <f t="shared" si="65"/>
        <v>4-0278-0628</v>
      </c>
      <c r="E847" s="52" t="s">
        <v>704</v>
      </c>
      <c r="F847" s="43" t="str">
        <f t="shared" si="66"/>
        <v>MARIA AUXILIADORA</v>
      </c>
      <c r="G847" s="43" t="str">
        <f t="shared" si="67"/>
        <v>MARIA</v>
      </c>
      <c r="H847" s="43" t="str">
        <f t="shared" si="68"/>
        <v>MENDEZ ARAYA</v>
      </c>
      <c r="I847" s="43" t="str">
        <f t="shared" si="69"/>
        <v>MARIA MENDEZ ARAYA</v>
      </c>
      <c r="J847" s="37" t="s">
        <v>2241</v>
      </c>
      <c r="K847" s="37">
        <v>11</v>
      </c>
      <c r="L847" s="37">
        <v>1</v>
      </c>
      <c r="M847" s="37" t="s">
        <v>1</v>
      </c>
    </row>
    <row r="848" spans="2:13" x14ac:dyDescent="0.25">
      <c r="B848" s="48">
        <v>845</v>
      </c>
      <c r="C848" s="52">
        <v>209020045</v>
      </c>
      <c r="D848" s="43" t="str">
        <f t="shared" si="65"/>
        <v>2-0902-0045</v>
      </c>
      <c r="E848" s="52" t="s">
        <v>705</v>
      </c>
      <c r="F848" s="43" t="str">
        <f t="shared" si="66"/>
        <v>STACY MARIANA</v>
      </c>
      <c r="G848" s="43" t="str">
        <f t="shared" si="67"/>
        <v>STACY</v>
      </c>
      <c r="H848" s="43" t="str">
        <f t="shared" si="68"/>
        <v>MESEN SALAZAR</v>
      </c>
      <c r="I848" s="43" t="str">
        <f t="shared" si="69"/>
        <v>STACY MESEN SALAZAR</v>
      </c>
      <c r="J848" s="37" t="s">
        <v>2241</v>
      </c>
      <c r="K848" s="37">
        <v>11</v>
      </c>
      <c r="L848" s="37">
        <v>1</v>
      </c>
      <c r="M848" s="37" t="s">
        <v>1</v>
      </c>
    </row>
    <row r="849" spans="2:13" x14ac:dyDescent="0.25">
      <c r="B849" s="46">
        <v>846</v>
      </c>
      <c r="C849" s="52">
        <v>402780409</v>
      </c>
      <c r="D849" s="43" t="str">
        <f t="shared" si="65"/>
        <v>4-0278-0409</v>
      </c>
      <c r="E849" s="52" t="s">
        <v>706</v>
      </c>
      <c r="F849" s="43" t="str">
        <f t="shared" si="66"/>
        <v>JAFETH</v>
      </c>
      <c r="G849" s="43" t="str">
        <f t="shared" si="67"/>
        <v>JAFETH</v>
      </c>
      <c r="H849" s="43" t="str">
        <f t="shared" si="68"/>
        <v>MUÑOZ ULATE</v>
      </c>
      <c r="I849" s="43" t="str">
        <f t="shared" si="69"/>
        <v>JAFETH MUÑOZ ULATE</v>
      </c>
      <c r="J849" s="37" t="s">
        <v>2241</v>
      </c>
      <c r="K849" s="37">
        <v>11</v>
      </c>
      <c r="L849" s="37">
        <v>1</v>
      </c>
      <c r="M849" s="37" t="s">
        <v>1</v>
      </c>
    </row>
    <row r="850" spans="2:13" x14ac:dyDescent="0.25">
      <c r="B850" s="48">
        <v>847</v>
      </c>
      <c r="C850" s="52">
        <v>209110690</v>
      </c>
      <c r="D850" s="43" t="str">
        <f t="shared" si="65"/>
        <v>2-0911-0690</v>
      </c>
      <c r="E850" s="33" t="s">
        <v>707</v>
      </c>
      <c r="F850" s="43" t="str">
        <f t="shared" si="66"/>
        <v>ASHLEY TATIANA</v>
      </c>
      <c r="G850" s="43" t="str">
        <f t="shared" si="67"/>
        <v>ASHLEY</v>
      </c>
      <c r="H850" s="43" t="str">
        <f t="shared" si="68"/>
        <v>SOLANO ESCOTO</v>
      </c>
      <c r="I850" s="43" t="str">
        <f t="shared" si="69"/>
        <v>ASHLEY SOLANO ESCOTO</v>
      </c>
      <c r="J850" s="37" t="s">
        <v>2241</v>
      </c>
      <c r="K850" s="37">
        <v>11</v>
      </c>
      <c r="L850" s="37">
        <v>1</v>
      </c>
      <c r="M850" s="37" t="s">
        <v>1</v>
      </c>
    </row>
    <row r="851" spans="2:13" x14ac:dyDescent="0.25">
      <c r="B851" s="48">
        <v>848</v>
      </c>
      <c r="C851" s="52">
        <v>209000812</v>
      </c>
      <c r="D851" s="43" t="str">
        <f t="shared" si="65"/>
        <v>2-0900-0812</v>
      </c>
      <c r="E851" s="52" t="s">
        <v>708</v>
      </c>
      <c r="F851" s="43" t="str">
        <f t="shared" si="66"/>
        <v>DAMNEE MICHELLE</v>
      </c>
      <c r="G851" s="43" t="str">
        <f t="shared" si="67"/>
        <v>DAMNEE</v>
      </c>
      <c r="H851" s="43" t="str">
        <f t="shared" si="68"/>
        <v>ULLOA ARGUEDAS</v>
      </c>
      <c r="I851" s="43" t="str">
        <f t="shared" si="69"/>
        <v>DAMNEE ULLOA ARGUEDAS</v>
      </c>
      <c r="J851" s="37" t="s">
        <v>2241</v>
      </c>
      <c r="K851" s="37">
        <v>11</v>
      </c>
      <c r="L851" s="37">
        <v>1</v>
      </c>
      <c r="M851" s="37" t="s">
        <v>1</v>
      </c>
    </row>
    <row r="852" spans="2:13" x14ac:dyDescent="0.25">
      <c r="B852" s="46">
        <v>849</v>
      </c>
      <c r="C852" s="52">
        <v>208970959</v>
      </c>
      <c r="D852" s="43" t="str">
        <f t="shared" si="65"/>
        <v>2-0897-0959</v>
      </c>
      <c r="E852" s="52" t="s">
        <v>709</v>
      </c>
      <c r="F852" s="43" t="str">
        <f t="shared" si="66"/>
        <v>DAVID FRANCISCO</v>
      </c>
      <c r="G852" s="43" t="str">
        <f t="shared" si="67"/>
        <v>DAVID</v>
      </c>
      <c r="H852" s="43" t="str">
        <f t="shared" si="68"/>
        <v>VARGAS LINARES</v>
      </c>
      <c r="I852" s="43" t="str">
        <f t="shared" si="69"/>
        <v>DAVID VARGAS LINARES</v>
      </c>
      <c r="J852" s="37" t="s">
        <v>2241</v>
      </c>
      <c r="K852" s="37">
        <v>11</v>
      </c>
      <c r="L852" s="37">
        <v>1</v>
      </c>
      <c r="M852" s="37" t="s">
        <v>1</v>
      </c>
    </row>
    <row r="853" spans="2:13" x14ac:dyDescent="0.25">
      <c r="B853" s="48">
        <v>850</v>
      </c>
      <c r="C853" s="53">
        <v>208920056</v>
      </c>
      <c r="D853" s="43" t="str">
        <f t="shared" si="65"/>
        <v>2-0892-0056</v>
      </c>
      <c r="E853" s="33" t="s">
        <v>710</v>
      </c>
      <c r="F853" s="43" t="str">
        <f t="shared" si="66"/>
        <v>STIBALY MARIA</v>
      </c>
      <c r="G853" s="43" t="str">
        <f t="shared" si="67"/>
        <v>STIBALY</v>
      </c>
      <c r="H853" s="43" t="str">
        <f t="shared" si="68"/>
        <v>VARGAS MONTERO</v>
      </c>
      <c r="I853" s="43" t="str">
        <f t="shared" si="69"/>
        <v>STIBALY VARGAS MONTERO</v>
      </c>
      <c r="J853" s="37" t="s">
        <v>2241</v>
      </c>
      <c r="K853" s="37">
        <v>11</v>
      </c>
      <c r="L853" s="37">
        <v>1</v>
      </c>
      <c r="M853" s="37" t="s">
        <v>1</v>
      </c>
    </row>
    <row r="854" spans="2:13" x14ac:dyDescent="0.25">
      <c r="B854" s="48">
        <v>851</v>
      </c>
      <c r="C854" s="52">
        <v>120410228</v>
      </c>
      <c r="D854" s="43" t="str">
        <f t="shared" si="65"/>
        <v>1-2041-0228</v>
      </c>
      <c r="E854" s="52" t="s">
        <v>711</v>
      </c>
      <c r="F854" s="43" t="str">
        <f t="shared" si="66"/>
        <v>ASIEL DARIANA</v>
      </c>
      <c r="G854" s="43" t="str">
        <f t="shared" si="67"/>
        <v>ASIEL</v>
      </c>
      <c r="H854" s="43" t="str">
        <f t="shared" si="68"/>
        <v>ALFARO CARRION</v>
      </c>
      <c r="I854" s="43" t="str">
        <f t="shared" si="69"/>
        <v>ASIEL ALFARO CARRION</v>
      </c>
      <c r="J854" s="37" t="s">
        <v>2333</v>
      </c>
      <c r="K854" s="37">
        <v>11</v>
      </c>
      <c r="L854" s="37">
        <v>1</v>
      </c>
      <c r="M854" s="37" t="s">
        <v>0</v>
      </c>
    </row>
    <row r="855" spans="2:13" x14ac:dyDescent="0.25">
      <c r="B855" s="46">
        <v>852</v>
      </c>
      <c r="C855" s="52">
        <v>209110384</v>
      </c>
      <c r="D855" s="43" t="str">
        <f t="shared" si="65"/>
        <v>2-0911-0384</v>
      </c>
      <c r="E855" s="52" t="s">
        <v>712</v>
      </c>
      <c r="F855" s="43" t="str">
        <f t="shared" si="66"/>
        <v>JESHUA ALEJANDRO</v>
      </c>
      <c r="G855" s="43" t="str">
        <f t="shared" si="67"/>
        <v>JESHUA</v>
      </c>
      <c r="H855" s="43" t="str">
        <f t="shared" si="68"/>
        <v>BARRANTES DURAN</v>
      </c>
      <c r="I855" s="43" t="str">
        <f t="shared" si="69"/>
        <v>JESHUA BARRANTES DURAN</v>
      </c>
      <c r="J855" s="37" t="s">
        <v>2333</v>
      </c>
      <c r="K855" s="37">
        <v>11</v>
      </c>
      <c r="L855" s="37">
        <v>1</v>
      </c>
      <c r="M855" s="37" t="s">
        <v>0</v>
      </c>
    </row>
    <row r="856" spans="2:13" x14ac:dyDescent="0.25">
      <c r="B856" s="48">
        <v>853</v>
      </c>
      <c r="C856" s="54">
        <v>999990853</v>
      </c>
      <c r="D856" s="70" t="s">
        <v>713</v>
      </c>
      <c r="E856" s="54" t="s">
        <v>714</v>
      </c>
      <c r="F856" s="43" t="str">
        <f t="shared" si="66"/>
        <v>ASHLEY</v>
      </c>
      <c r="G856" s="43" t="str">
        <f t="shared" si="67"/>
        <v>ASHLEY</v>
      </c>
      <c r="H856" s="43" t="str">
        <f t="shared" si="68"/>
        <v>BRICEÑO RODRIGUEZ</v>
      </c>
      <c r="I856" s="43" t="str">
        <f t="shared" si="69"/>
        <v>ASHLEY BRICEÑO RODRIGUEZ</v>
      </c>
      <c r="J856" s="37" t="s">
        <v>2333</v>
      </c>
      <c r="K856" s="37">
        <v>11</v>
      </c>
      <c r="L856" s="37">
        <v>1</v>
      </c>
      <c r="M856" s="37" t="s">
        <v>0</v>
      </c>
    </row>
    <row r="857" spans="2:13" x14ac:dyDescent="0.25">
      <c r="B857" s="48">
        <v>854</v>
      </c>
      <c r="C857" s="52">
        <v>209020548</v>
      </c>
      <c r="D857" s="43" t="str">
        <f t="shared" si="65"/>
        <v>2-0902-0548</v>
      </c>
      <c r="E857" s="52" t="s">
        <v>715</v>
      </c>
      <c r="F857" s="43" t="str">
        <f t="shared" si="66"/>
        <v>AXEL SNEY</v>
      </c>
      <c r="G857" s="43" t="str">
        <f t="shared" si="67"/>
        <v>AXEL</v>
      </c>
      <c r="H857" s="43" t="str">
        <f t="shared" si="68"/>
        <v>CAMBRONERO BLANDON</v>
      </c>
      <c r="I857" s="43" t="str">
        <f t="shared" si="69"/>
        <v>AXEL CAMBRONERO BLANDON</v>
      </c>
      <c r="J857" s="37" t="s">
        <v>2333</v>
      </c>
      <c r="K857" s="37">
        <v>11</v>
      </c>
      <c r="L857" s="37">
        <v>1</v>
      </c>
      <c r="M857" s="37" t="s">
        <v>0</v>
      </c>
    </row>
    <row r="858" spans="2:13" x14ac:dyDescent="0.25">
      <c r="B858" s="46">
        <v>855</v>
      </c>
      <c r="C858" s="52">
        <v>209070831</v>
      </c>
      <c r="D858" s="43" t="str">
        <f t="shared" si="65"/>
        <v>2-0907-0831</v>
      </c>
      <c r="E858" s="52" t="s">
        <v>716</v>
      </c>
      <c r="F858" s="43" t="str">
        <f t="shared" si="66"/>
        <v>SOFIA</v>
      </c>
      <c r="G858" s="43" t="str">
        <f t="shared" si="67"/>
        <v>SOFIA</v>
      </c>
      <c r="H858" s="43" t="str">
        <f t="shared" si="68"/>
        <v>CARMONA BARQUERO</v>
      </c>
      <c r="I858" s="43" t="str">
        <f t="shared" si="69"/>
        <v>SOFIA CARMONA BARQUERO</v>
      </c>
      <c r="J858" s="37" t="s">
        <v>2333</v>
      </c>
      <c r="K858" s="37">
        <v>11</v>
      </c>
      <c r="L858" s="37">
        <v>1</v>
      </c>
      <c r="M858" s="37" t="s">
        <v>0</v>
      </c>
    </row>
    <row r="859" spans="2:13" x14ac:dyDescent="0.25">
      <c r="B859" s="48">
        <v>856</v>
      </c>
      <c r="C859" s="52">
        <v>999990856</v>
      </c>
      <c r="D859" s="70" t="s">
        <v>717</v>
      </c>
      <c r="E859" s="33" t="s">
        <v>718</v>
      </c>
      <c r="F859" s="43" t="str">
        <f t="shared" si="66"/>
        <v>VANNESA</v>
      </c>
      <c r="G859" s="43" t="str">
        <f t="shared" si="67"/>
        <v>VANNESA</v>
      </c>
      <c r="H859" s="43" t="str">
        <f t="shared" si="68"/>
        <v>CEPERO ACOSTA</v>
      </c>
      <c r="I859" s="43" t="str">
        <f t="shared" si="69"/>
        <v>VANNESA CEPERO ACOSTA</v>
      </c>
      <c r="J859" s="37" t="s">
        <v>2333</v>
      </c>
      <c r="K859" s="37">
        <v>11</v>
      </c>
      <c r="L859" s="37">
        <v>1</v>
      </c>
      <c r="M859" s="37" t="s">
        <v>0</v>
      </c>
    </row>
    <row r="860" spans="2:13" x14ac:dyDescent="0.25">
      <c r="B860" s="48">
        <v>857</v>
      </c>
      <c r="C860" s="52">
        <v>402790668</v>
      </c>
      <c r="D860" s="43" t="str">
        <f t="shared" si="65"/>
        <v>4-0279-0668</v>
      </c>
      <c r="E860" s="52" t="s">
        <v>719</v>
      </c>
      <c r="F860" s="43" t="str">
        <f t="shared" si="66"/>
        <v>JULIANA</v>
      </c>
      <c r="G860" s="43" t="str">
        <f t="shared" si="67"/>
        <v>JULIANA</v>
      </c>
      <c r="H860" s="43" t="str">
        <f t="shared" si="68"/>
        <v>DIAZ MONTEZUMA</v>
      </c>
      <c r="I860" s="43" t="str">
        <f t="shared" si="69"/>
        <v>JULIANA DIAZ MONTEZUMA</v>
      </c>
      <c r="J860" s="37" t="s">
        <v>2333</v>
      </c>
      <c r="K860" s="37">
        <v>11</v>
      </c>
      <c r="L860" s="37">
        <v>1</v>
      </c>
      <c r="M860" s="37" t="s">
        <v>0</v>
      </c>
    </row>
    <row r="861" spans="2:13" x14ac:dyDescent="0.25">
      <c r="B861" s="46">
        <v>858</v>
      </c>
      <c r="C861" s="52">
        <v>209060507</v>
      </c>
      <c r="D861" s="43" t="str">
        <f t="shared" si="65"/>
        <v>2-0906-0507</v>
      </c>
      <c r="E861" s="52" t="s">
        <v>720</v>
      </c>
      <c r="F861" s="43" t="str">
        <f t="shared" si="66"/>
        <v>MARIA FERNANDA</v>
      </c>
      <c r="G861" s="43" t="str">
        <f t="shared" si="67"/>
        <v>MARIA</v>
      </c>
      <c r="H861" s="43" t="str">
        <f t="shared" si="68"/>
        <v>JIMENEZ OLIVAS</v>
      </c>
      <c r="I861" s="43" t="str">
        <f t="shared" si="69"/>
        <v>MARIA JIMENEZ OLIVAS</v>
      </c>
      <c r="J861" s="37" t="s">
        <v>2333</v>
      </c>
      <c r="K861" s="37">
        <v>11</v>
      </c>
      <c r="L861" s="37">
        <v>1</v>
      </c>
      <c r="M861" s="37" t="s">
        <v>0</v>
      </c>
    </row>
    <row r="862" spans="2:13" x14ac:dyDescent="0.25">
      <c r="B862" s="48">
        <v>859</v>
      </c>
      <c r="C862" s="33">
        <v>209020535</v>
      </c>
      <c r="D862" s="43" t="str">
        <f t="shared" si="65"/>
        <v>2-0902-0535</v>
      </c>
      <c r="E862" s="33" t="s">
        <v>721</v>
      </c>
      <c r="F862" s="43" t="str">
        <f t="shared" si="66"/>
        <v>DILAN FABIAN</v>
      </c>
      <c r="G862" s="43" t="str">
        <f t="shared" si="67"/>
        <v>DILAN</v>
      </c>
      <c r="H862" s="43" t="str">
        <f t="shared" si="68"/>
        <v>MARTINEZ SANCHEZ</v>
      </c>
      <c r="I862" s="43" t="str">
        <f t="shared" si="69"/>
        <v>DILAN MARTINEZ SANCHEZ</v>
      </c>
      <c r="J862" s="37" t="s">
        <v>2333</v>
      </c>
      <c r="K862" s="37">
        <v>11</v>
      </c>
      <c r="L862" s="37">
        <v>1</v>
      </c>
      <c r="M862" s="37" t="s">
        <v>0</v>
      </c>
    </row>
    <row r="863" spans="2:13" x14ac:dyDescent="0.25">
      <c r="B863" s="48">
        <v>860</v>
      </c>
      <c r="C863" s="33">
        <v>208970539</v>
      </c>
      <c r="D863" s="43" t="str">
        <f t="shared" si="65"/>
        <v>2-0897-0539</v>
      </c>
      <c r="E863" s="33" t="s">
        <v>722</v>
      </c>
      <c r="F863" s="43" t="str">
        <f t="shared" si="66"/>
        <v>DESIREE BRIGITTE</v>
      </c>
      <c r="G863" s="43" t="str">
        <f t="shared" si="67"/>
        <v>DESIREE</v>
      </c>
      <c r="H863" s="43" t="str">
        <f t="shared" si="68"/>
        <v>MIRANDA GAMBOA</v>
      </c>
      <c r="I863" s="43" t="str">
        <f t="shared" si="69"/>
        <v>DESIREE MIRANDA GAMBOA</v>
      </c>
      <c r="J863" s="37" t="s">
        <v>2333</v>
      </c>
      <c r="K863" s="37">
        <v>11</v>
      </c>
      <c r="L863" s="37">
        <v>1</v>
      </c>
      <c r="M863" s="37" t="s">
        <v>0</v>
      </c>
    </row>
    <row r="864" spans="2:13" x14ac:dyDescent="0.25">
      <c r="B864" s="46">
        <v>861</v>
      </c>
      <c r="C864" s="33">
        <v>209050153</v>
      </c>
      <c r="D864" s="43" t="str">
        <f t="shared" si="65"/>
        <v>2-0905-0153</v>
      </c>
      <c r="E864" s="33" t="s">
        <v>723</v>
      </c>
      <c r="F864" s="43" t="str">
        <f t="shared" si="66"/>
        <v>BRITANNY</v>
      </c>
      <c r="G864" s="43" t="str">
        <f t="shared" si="67"/>
        <v>BRITANNY</v>
      </c>
      <c r="H864" s="43" t="str">
        <f t="shared" si="68"/>
        <v>VARGAS ESPINOZA</v>
      </c>
      <c r="I864" s="43" t="str">
        <f t="shared" si="69"/>
        <v>BRITANNY VARGAS ESPINOZA</v>
      </c>
      <c r="J864" s="37" t="s">
        <v>2333</v>
      </c>
      <c r="K864" s="37">
        <v>11</v>
      </c>
      <c r="L864" s="37">
        <v>1</v>
      </c>
      <c r="M864" s="37" t="s">
        <v>0</v>
      </c>
    </row>
    <row r="865" spans="2:13" x14ac:dyDescent="0.25">
      <c r="B865" s="48">
        <v>862</v>
      </c>
      <c r="C865" s="33">
        <v>208730886</v>
      </c>
      <c r="D865" s="43" t="str">
        <f t="shared" si="65"/>
        <v>2-0873-0886</v>
      </c>
      <c r="E865" s="33" t="s">
        <v>724</v>
      </c>
      <c r="F865" s="43" t="str">
        <f t="shared" si="66"/>
        <v>LUIS DAVID</v>
      </c>
      <c r="G865" s="43" t="str">
        <f t="shared" si="67"/>
        <v>LUIS</v>
      </c>
      <c r="H865" s="43" t="str">
        <f t="shared" si="68"/>
        <v>VASQUEZ PALACIOS</v>
      </c>
      <c r="I865" s="43" t="str">
        <f t="shared" si="69"/>
        <v>LUIS VASQUEZ PALACIOS</v>
      </c>
      <c r="J865" s="37" t="s">
        <v>2333</v>
      </c>
      <c r="K865" s="37">
        <v>11</v>
      </c>
      <c r="L865" s="37">
        <v>1</v>
      </c>
      <c r="M865" s="37" t="s">
        <v>0</v>
      </c>
    </row>
    <row r="866" spans="2:13" x14ac:dyDescent="0.25">
      <c r="B866" s="48">
        <v>863</v>
      </c>
      <c r="C866" s="54">
        <v>605120683</v>
      </c>
      <c r="D866" s="43" t="str">
        <f t="shared" si="65"/>
        <v>6-0512-0683</v>
      </c>
      <c r="E866" s="39" t="s">
        <v>725</v>
      </c>
      <c r="F866" s="43" t="str">
        <f t="shared" si="66"/>
        <v>BRITNEY</v>
      </c>
      <c r="G866" s="43" t="str">
        <f t="shared" si="67"/>
        <v>BRITNEY</v>
      </c>
      <c r="H866" s="43" t="str">
        <f t="shared" si="68"/>
        <v>VELAZQUEZ SANDOVAL</v>
      </c>
      <c r="I866" s="43" t="str">
        <f t="shared" si="69"/>
        <v>BRITNEY VELAZQUEZ SANDOVAL</v>
      </c>
      <c r="J866" s="37" t="s">
        <v>2333</v>
      </c>
      <c r="K866" s="37">
        <v>11</v>
      </c>
      <c r="L866" s="37">
        <v>1</v>
      </c>
      <c r="M866" s="37" t="s">
        <v>0</v>
      </c>
    </row>
    <row r="867" spans="2:13" x14ac:dyDescent="0.25">
      <c r="B867" s="46">
        <v>864</v>
      </c>
      <c r="C867" s="33">
        <v>209090101</v>
      </c>
      <c r="D867" s="43" t="str">
        <f t="shared" si="65"/>
        <v>2-0909-0101</v>
      </c>
      <c r="E867" s="33" t="s">
        <v>726</v>
      </c>
      <c r="F867" s="43" t="str">
        <f t="shared" si="66"/>
        <v>MELANIE</v>
      </c>
      <c r="G867" s="43" t="str">
        <f t="shared" si="67"/>
        <v>MELANIE</v>
      </c>
      <c r="H867" s="43" t="str">
        <f t="shared" si="68"/>
        <v>VILLALOBOS MORA</v>
      </c>
      <c r="I867" s="43" t="str">
        <f t="shared" si="69"/>
        <v>MELANIE VILLALOBOS MORA</v>
      </c>
      <c r="J867" s="37" t="s">
        <v>2333</v>
      </c>
      <c r="K867" s="37">
        <v>11</v>
      </c>
      <c r="L867" s="37">
        <v>1</v>
      </c>
      <c r="M867" s="37" t="s">
        <v>0</v>
      </c>
    </row>
    <row r="868" spans="2:13" x14ac:dyDescent="0.25">
      <c r="B868" s="48">
        <v>865</v>
      </c>
      <c r="C868" s="33">
        <v>208970563</v>
      </c>
      <c r="D868" s="43" t="str">
        <f t="shared" si="65"/>
        <v>2-0897-0563</v>
      </c>
      <c r="E868" s="33" t="s">
        <v>727</v>
      </c>
      <c r="F868" s="43" t="str">
        <f t="shared" si="66"/>
        <v>JUSTIN DANIEL</v>
      </c>
      <c r="G868" s="43" t="str">
        <f t="shared" si="67"/>
        <v>JUSTIN</v>
      </c>
      <c r="H868" s="43" t="str">
        <f t="shared" si="68"/>
        <v>VILLALOBOS VILLALOBOS</v>
      </c>
      <c r="I868" s="43" t="str">
        <f t="shared" si="69"/>
        <v>JUSTIN VILLALOBOS VILLALOBOS</v>
      </c>
      <c r="J868" s="37" t="s">
        <v>2333</v>
      </c>
      <c r="K868" s="37">
        <v>11</v>
      </c>
      <c r="L868" s="37">
        <v>1</v>
      </c>
      <c r="M868" s="37" t="s">
        <v>0</v>
      </c>
    </row>
    <row r="869" spans="2:13" x14ac:dyDescent="0.25">
      <c r="B869" s="48">
        <v>866</v>
      </c>
      <c r="C869" s="52">
        <v>209070595</v>
      </c>
      <c r="D869" s="43" t="str">
        <f t="shared" si="65"/>
        <v>2-0907-0595</v>
      </c>
      <c r="E869" s="52" t="s">
        <v>728</v>
      </c>
      <c r="F869" s="43" t="str">
        <f t="shared" si="66"/>
        <v>NATANAEL</v>
      </c>
      <c r="G869" s="43" t="str">
        <f t="shared" si="67"/>
        <v>NATANAEL</v>
      </c>
      <c r="H869" s="43" t="str">
        <f t="shared" si="68"/>
        <v>ARRIETA UREÑA</v>
      </c>
      <c r="I869" s="43" t="str">
        <f t="shared" si="69"/>
        <v>NATANAEL ARRIETA UREÑA</v>
      </c>
      <c r="J869" s="37" t="s">
        <v>2241</v>
      </c>
      <c r="K869" s="37">
        <v>11</v>
      </c>
      <c r="L869" s="37">
        <v>2</v>
      </c>
      <c r="M869" s="37" t="s">
        <v>1</v>
      </c>
    </row>
    <row r="870" spans="2:13" x14ac:dyDescent="0.25">
      <c r="B870" s="46">
        <v>867</v>
      </c>
      <c r="C870" s="52">
        <v>209040060</v>
      </c>
      <c r="D870" s="43" t="str">
        <f t="shared" si="65"/>
        <v>2-0904-0060</v>
      </c>
      <c r="E870" s="52" t="s">
        <v>729</v>
      </c>
      <c r="F870" s="43" t="str">
        <f t="shared" si="66"/>
        <v>ASHLEY NICOL</v>
      </c>
      <c r="G870" s="43" t="str">
        <f t="shared" si="67"/>
        <v>ASHLEY</v>
      </c>
      <c r="H870" s="43" t="str">
        <f t="shared" si="68"/>
        <v>BADILLA ARCIA</v>
      </c>
      <c r="I870" s="43" t="str">
        <f t="shared" si="69"/>
        <v>ASHLEY BADILLA ARCIA</v>
      </c>
      <c r="J870" s="37" t="s">
        <v>2241</v>
      </c>
      <c r="K870" s="37">
        <v>11</v>
      </c>
      <c r="L870" s="37">
        <v>2</v>
      </c>
      <c r="M870" s="37" t="s">
        <v>1</v>
      </c>
    </row>
    <row r="871" spans="2:13" x14ac:dyDescent="0.25">
      <c r="B871" s="48">
        <v>868</v>
      </c>
      <c r="C871" s="53">
        <v>208940765</v>
      </c>
      <c r="D871" s="43" t="str">
        <f t="shared" si="65"/>
        <v>2-0894-0765</v>
      </c>
      <c r="E871" s="53" t="s">
        <v>2335</v>
      </c>
      <c r="F871" s="43" t="str">
        <f t="shared" si="66"/>
        <v>RYAN</v>
      </c>
      <c r="G871" s="43" t="str">
        <f t="shared" si="67"/>
        <v>RYAN</v>
      </c>
      <c r="H871" s="43" t="str">
        <f t="shared" si="68"/>
        <v>BARQUERO MONTERO</v>
      </c>
      <c r="I871" s="43" t="str">
        <f t="shared" si="69"/>
        <v>RYAN BARQUERO MONTERO</v>
      </c>
      <c r="J871" s="37" t="s">
        <v>2241</v>
      </c>
      <c r="K871" s="37">
        <v>11</v>
      </c>
      <c r="L871" s="37">
        <v>2</v>
      </c>
      <c r="M871" s="37" t="s">
        <v>1</v>
      </c>
    </row>
    <row r="872" spans="2:13" x14ac:dyDescent="0.25">
      <c r="B872" s="48">
        <v>869</v>
      </c>
      <c r="C872" s="52">
        <v>402790414</v>
      </c>
      <c r="D872" s="43" t="str">
        <f t="shared" si="65"/>
        <v>4-0279-0414</v>
      </c>
      <c r="E872" s="52" t="s">
        <v>730</v>
      </c>
      <c r="F872" s="43" t="str">
        <f t="shared" si="66"/>
        <v>PAMELA MARIA</v>
      </c>
      <c r="G872" s="43" t="str">
        <f t="shared" si="67"/>
        <v>PAMELA</v>
      </c>
      <c r="H872" s="43" t="str">
        <f t="shared" si="68"/>
        <v>CAMPOS ALFARO</v>
      </c>
      <c r="I872" s="43" t="str">
        <f t="shared" si="69"/>
        <v>PAMELA CAMPOS ALFARO</v>
      </c>
      <c r="J872" s="37" t="s">
        <v>2241</v>
      </c>
      <c r="K872" s="37">
        <v>11</v>
      </c>
      <c r="L872" s="37">
        <v>2</v>
      </c>
      <c r="M872" s="37" t="s">
        <v>1</v>
      </c>
    </row>
    <row r="873" spans="2:13" x14ac:dyDescent="0.25">
      <c r="B873" s="46">
        <v>870</v>
      </c>
      <c r="C873" s="52">
        <v>208980672</v>
      </c>
      <c r="D873" s="43" t="str">
        <f t="shared" si="65"/>
        <v>2-0898-0672</v>
      </c>
      <c r="E873" s="52" t="s">
        <v>2336</v>
      </c>
      <c r="F873" s="43" t="str">
        <f t="shared" si="66"/>
        <v>BRITHANY</v>
      </c>
      <c r="G873" s="43" t="str">
        <f t="shared" si="67"/>
        <v>BRITHANY</v>
      </c>
      <c r="H873" s="43" t="str">
        <f t="shared" si="68"/>
        <v>CERDAS RODRIGUEZ</v>
      </c>
      <c r="I873" s="43" t="str">
        <f t="shared" si="69"/>
        <v>BRITHANY CERDAS RODRIGUEZ</v>
      </c>
      <c r="J873" s="37" t="s">
        <v>2241</v>
      </c>
      <c r="K873" s="37">
        <v>11</v>
      </c>
      <c r="L873" s="37">
        <v>2</v>
      </c>
      <c r="M873" s="37" t="s">
        <v>1</v>
      </c>
    </row>
    <row r="874" spans="2:13" x14ac:dyDescent="0.25">
      <c r="B874" s="48">
        <v>871</v>
      </c>
      <c r="C874" s="33">
        <v>208840812</v>
      </c>
      <c r="D874" s="43" t="str">
        <f t="shared" si="65"/>
        <v>2-0884-0812</v>
      </c>
      <c r="E874" s="33" t="s">
        <v>2334</v>
      </c>
      <c r="F874" s="43" t="str">
        <f t="shared" si="66"/>
        <v>AARON</v>
      </c>
      <c r="G874" s="43" t="str">
        <f t="shared" si="67"/>
        <v>AARON</v>
      </c>
      <c r="H874" s="43" t="str">
        <f t="shared" si="68"/>
        <v>CHAVES GONZALEZ</v>
      </c>
      <c r="I874" s="43" t="str">
        <f t="shared" si="69"/>
        <v>AARON CHAVES GONZALEZ</v>
      </c>
      <c r="J874" s="37" t="s">
        <v>675</v>
      </c>
      <c r="K874" s="37">
        <v>11</v>
      </c>
      <c r="L874" s="37">
        <v>2</v>
      </c>
      <c r="M874" s="37" t="s">
        <v>1</v>
      </c>
    </row>
    <row r="875" spans="2:13" x14ac:dyDescent="0.25">
      <c r="B875" s="48">
        <v>872</v>
      </c>
      <c r="C875" s="52">
        <v>120330988</v>
      </c>
      <c r="D875" s="43" t="str">
        <f t="shared" si="65"/>
        <v>1-2033-0988</v>
      </c>
      <c r="E875" s="52" t="s">
        <v>731</v>
      </c>
      <c r="F875" s="43" t="str">
        <f t="shared" si="66"/>
        <v>KEVIN DAVID</v>
      </c>
      <c r="G875" s="43" t="str">
        <f t="shared" si="67"/>
        <v>KEVIN</v>
      </c>
      <c r="H875" s="43" t="str">
        <f t="shared" si="68"/>
        <v>FLORES MURILLO</v>
      </c>
      <c r="I875" s="43" t="str">
        <f t="shared" si="69"/>
        <v>KEVIN FLORES MURILLO</v>
      </c>
      <c r="J875" s="37" t="s">
        <v>2241</v>
      </c>
      <c r="K875" s="37">
        <v>11</v>
      </c>
      <c r="L875" s="37">
        <v>2</v>
      </c>
      <c r="M875" s="37" t="s">
        <v>1</v>
      </c>
    </row>
    <row r="876" spans="2:13" x14ac:dyDescent="0.25">
      <c r="B876" s="46">
        <v>873</v>
      </c>
      <c r="C876" s="54">
        <v>402780941</v>
      </c>
      <c r="D876" s="43" t="str">
        <f t="shared" si="65"/>
        <v>4-0278-0941</v>
      </c>
      <c r="E876" s="54" t="s">
        <v>2337</v>
      </c>
      <c r="F876" s="43" t="str">
        <f t="shared" si="66"/>
        <v>NOEMY</v>
      </c>
      <c r="G876" s="43" t="str">
        <f t="shared" si="67"/>
        <v>NOEMY</v>
      </c>
      <c r="H876" s="43" t="str">
        <f t="shared" si="68"/>
        <v>GUERRERO CAMPOS</v>
      </c>
      <c r="I876" s="43" t="str">
        <f t="shared" si="69"/>
        <v>NOEMY GUERRERO CAMPOS</v>
      </c>
      <c r="J876" s="37" t="s">
        <v>2241</v>
      </c>
      <c r="K876" s="37">
        <v>11</v>
      </c>
      <c r="L876" s="37">
        <v>2</v>
      </c>
      <c r="M876" s="37" t="s">
        <v>1</v>
      </c>
    </row>
    <row r="877" spans="2:13" x14ac:dyDescent="0.25">
      <c r="B877" s="48">
        <v>874</v>
      </c>
      <c r="C877" s="52">
        <v>402790262</v>
      </c>
      <c r="D877" s="43" t="str">
        <f t="shared" si="65"/>
        <v>4-0279-0262</v>
      </c>
      <c r="E877" s="52" t="s">
        <v>732</v>
      </c>
      <c r="F877" s="43" t="str">
        <f t="shared" si="66"/>
        <v>JAIRO YURIEL</v>
      </c>
      <c r="G877" s="43" t="str">
        <f t="shared" si="67"/>
        <v>JAIRO</v>
      </c>
      <c r="H877" s="43" t="str">
        <f t="shared" si="68"/>
        <v>MENDOZA RODRIGUEZ</v>
      </c>
      <c r="I877" s="43" t="str">
        <f t="shared" si="69"/>
        <v>JAIRO MENDOZA RODRIGUEZ</v>
      </c>
      <c r="J877" s="37" t="s">
        <v>2241</v>
      </c>
      <c r="K877" s="37">
        <v>11</v>
      </c>
      <c r="L877" s="37">
        <v>2</v>
      </c>
      <c r="M877" s="37" t="s">
        <v>1</v>
      </c>
    </row>
    <row r="878" spans="2:13" x14ac:dyDescent="0.25">
      <c r="B878" s="48">
        <v>875</v>
      </c>
      <c r="C878" s="52">
        <v>208940024</v>
      </c>
      <c r="D878" s="43" t="str">
        <f t="shared" si="65"/>
        <v>2-0894-0024</v>
      </c>
      <c r="E878" s="52" t="s">
        <v>733</v>
      </c>
      <c r="F878" s="43" t="str">
        <f t="shared" si="66"/>
        <v>JULIO CESAR</v>
      </c>
      <c r="G878" s="43" t="str">
        <f t="shared" si="67"/>
        <v>JULIO</v>
      </c>
      <c r="H878" s="43" t="str">
        <f t="shared" si="68"/>
        <v>MOLINA RODRIGUEZ</v>
      </c>
      <c r="I878" s="43" t="str">
        <f t="shared" si="69"/>
        <v>JULIO MOLINA RODRIGUEZ</v>
      </c>
      <c r="J878" s="37" t="s">
        <v>2241</v>
      </c>
      <c r="K878" s="37">
        <v>11</v>
      </c>
      <c r="L878" s="37">
        <v>2</v>
      </c>
      <c r="M878" s="37" t="s">
        <v>1</v>
      </c>
    </row>
    <row r="879" spans="2:13" x14ac:dyDescent="0.25">
      <c r="B879" s="46">
        <v>876</v>
      </c>
      <c r="C879" s="52">
        <v>402810717</v>
      </c>
      <c r="D879" s="43" t="str">
        <f t="shared" si="65"/>
        <v>4-0281-0717</v>
      </c>
      <c r="E879" s="52" t="s">
        <v>734</v>
      </c>
      <c r="F879" s="43" t="str">
        <f t="shared" si="66"/>
        <v>AMY YHAEL</v>
      </c>
      <c r="G879" s="43" t="str">
        <f t="shared" si="67"/>
        <v>AMY</v>
      </c>
      <c r="H879" s="43" t="str">
        <f t="shared" si="68"/>
        <v>PARRA FIGUEROA</v>
      </c>
      <c r="I879" s="43" t="str">
        <f t="shared" si="69"/>
        <v>AMY PARRA FIGUEROA</v>
      </c>
      <c r="J879" s="37" t="s">
        <v>2241</v>
      </c>
      <c r="K879" s="37">
        <v>11</v>
      </c>
      <c r="L879" s="37">
        <v>2</v>
      </c>
      <c r="M879" s="37" t="s">
        <v>1</v>
      </c>
    </row>
    <row r="880" spans="2:13" x14ac:dyDescent="0.25">
      <c r="B880" s="48">
        <v>877</v>
      </c>
      <c r="C880" s="52">
        <v>209020248</v>
      </c>
      <c r="D880" s="43" t="str">
        <f t="shared" si="65"/>
        <v>2-0902-0248</v>
      </c>
      <c r="E880" s="52" t="s">
        <v>735</v>
      </c>
      <c r="F880" s="43" t="str">
        <f t="shared" si="66"/>
        <v>CAMILA</v>
      </c>
      <c r="G880" s="43" t="str">
        <f t="shared" si="67"/>
        <v>CAMILA</v>
      </c>
      <c r="H880" s="43" t="str">
        <f t="shared" si="68"/>
        <v>PEREZ UMAÑA</v>
      </c>
      <c r="I880" s="43" t="str">
        <f t="shared" si="69"/>
        <v>CAMILA PEREZ UMAÑA</v>
      </c>
      <c r="J880" s="37" t="s">
        <v>2241</v>
      </c>
      <c r="K880" s="37">
        <v>11</v>
      </c>
      <c r="L880" s="37">
        <v>2</v>
      </c>
      <c r="M880" s="37" t="s">
        <v>1</v>
      </c>
    </row>
    <row r="881" spans="2:13" x14ac:dyDescent="0.25">
      <c r="B881" s="48">
        <v>878</v>
      </c>
      <c r="C881" s="52">
        <v>402790918</v>
      </c>
      <c r="D881" s="43" t="str">
        <f t="shared" si="65"/>
        <v>4-0279-0918</v>
      </c>
      <c r="E881" s="52" t="s">
        <v>736</v>
      </c>
      <c r="F881" s="43" t="str">
        <f t="shared" si="66"/>
        <v>KEILYN GABRIELA</v>
      </c>
      <c r="G881" s="43" t="str">
        <f t="shared" si="67"/>
        <v>KEILYN</v>
      </c>
      <c r="H881" s="43" t="str">
        <f t="shared" si="68"/>
        <v>RAMIREZ SANCHEZ</v>
      </c>
      <c r="I881" s="43" t="str">
        <f t="shared" si="69"/>
        <v>KEILYN RAMIREZ SANCHEZ</v>
      </c>
      <c r="J881" s="37" t="s">
        <v>2241</v>
      </c>
      <c r="K881" s="37">
        <v>11</v>
      </c>
      <c r="L881" s="37">
        <v>2</v>
      </c>
      <c r="M881" s="37" t="s">
        <v>1</v>
      </c>
    </row>
    <row r="882" spans="2:13" x14ac:dyDescent="0.25">
      <c r="B882" s="46">
        <v>879</v>
      </c>
      <c r="C882" s="52">
        <v>209110213</v>
      </c>
      <c r="D882" s="43" t="str">
        <f t="shared" si="65"/>
        <v>2-0911-0213</v>
      </c>
      <c r="E882" s="52" t="s">
        <v>2338</v>
      </c>
      <c r="F882" s="43" t="str">
        <f t="shared" si="66"/>
        <v>BRIANA</v>
      </c>
      <c r="G882" s="43" t="str">
        <f t="shared" si="67"/>
        <v>BRIANA</v>
      </c>
      <c r="H882" s="43" t="str">
        <f t="shared" si="68"/>
        <v>RODRIGUEZ BARQUERO</v>
      </c>
      <c r="I882" s="43" t="str">
        <f t="shared" si="69"/>
        <v>BRIANA RODRIGUEZ BARQUERO</v>
      </c>
      <c r="J882" s="37" t="s">
        <v>2241</v>
      </c>
      <c r="K882" s="37">
        <v>11</v>
      </c>
      <c r="L882" s="37">
        <v>2</v>
      </c>
      <c r="M882" s="37" t="s">
        <v>1</v>
      </c>
    </row>
    <row r="883" spans="2:13" x14ac:dyDescent="0.25">
      <c r="B883" s="48">
        <v>880</v>
      </c>
      <c r="C883" s="52">
        <v>209000017</v>
      </c>
      <c r="D883" s="43" t="str">
        <f t="shared" si="65"/>
        <v>2-0900-0017</v>
      </c>
      <c r="E883" s="52" t="s">
        <v>737</v>
      </c>
      <c r="F883" s="43" t="str">
        <f t="shared" si="66"/>
        <v>JIMENA</v>
      </c>
      <c r="G883" s="43" t="str">
        <f t="shared" si="67"/>
        <v>JIMENA</v>
      </c>
      <c r="H883" s="43" t="str">
        <f t="shared" si="68"/>
        <v>SANCHEZ CAMBRONERO</v>
      </c>
      <c r="I883" s="43" t="str">
        <f t="shared" si="69"/>
        <v>JIMENA SANCHEZ CAMBRONERO</v>
      </c>
      <c r="J883" s="37" t="s">
        <v>2241</v>
      </c>
      <c r="K883" s="37">
        <v>11</v>
      </c>
      <c r="L883" s="37">
        <v>2</v>
      </c>
      <c r="M883" s="37" t="s">
        <v>1</v>
      </c>
    </row>
    <row r="884" spans="2:13" x14ac:dyDescent="0.25">
      <c r="B884" s="48">
        <v>881</v>
      </c>
      <c r="C884" s="52">
        <v>120100886</v>
      </c>
      <c r="D884" s="43" t="str">
        <f t="shared" si="65"/>
        <v>1-2010-0886</v>
      </c>
      <c r="E884" s="52" t="s">
        <v>738</v>
      </c>
      <c r="F884" s="43" t="str">
        <f t="shared" si="66"/>
        <v>ANTHONY DANIEL</v>
      </c>
      <c r="G884" s="43" t="str">
        <f t="shared" si="67"/>
        <v>ANTHONY</v>
      </c>
      <c r="H884" s="43" t="str">
        <f t="shared" si="68"/>
        <v>SEGURA GOMEZ</v>
      </c>
      <c r="I884" s="43" t="str">
        <f t="shared" si="69"/>
        <v>ANTHONY SEGURA GOMEZ</v>
      </c>
      <c r="J884" s="37" t="s">
        <v>2241</v>
      </c>
      <c r="K884" s="37">
        <v>11</v>
      </c>
      <c r="L884" s="37">
        <v>2</v>
      </c>
      <c r="M884" s="37" t="s">
        <v>1</v>
      </c>
    </row>
    <row r="885" spans="2:13" x14ac:dyDescent="0.25">
      <c r="B885" s="46">
        <v>882</v>
      </c>
      <c r="C885" s="52">
        <v>209060436</v>
      </c>
      <c r="D885" s="43" t="str">
        <f t="shared" si="65"/>
        <v>2-0906-0436</v>
      </c>
      <c r="E885" s="52" t="s">
        <v>739</v>
      </c>
      <c r="F885" s="43" t="str">
        <f t="shared" si="66"/>
        <v>NATALIA</v>
      </c>
      <c r="G885" s="43" t="str">
        <f t="shared" si="67"/>
        <v>NATALIA</v>
      </c>
      <c r="H885" s="43" t="str">
        <f t="shared" si="68"/>
        <v>SOLANO GARCIA</v>
      </c>
      <c r="I885" s="43" t="str">
        <f t="shared" si="69"/>
        <v>NATALIA SOLANO GARCIA</v>
      </c>
      <c r="J885" s="37" t="s">
        <v>2241</v>
      </c>
      <c r="K885" s="37">
        <v>11</v>
      </c>
      <c r="L885" s="37">
        <v>2</v>
      </c>
      <c r="M885" s="37" t="s">
        <v>1</v>
      </c>
    </row>
    <row r="886" spans="2:13" x14ac:dyDescent="0.25">
      <c r="B886" s="48">
        <v>883</v>
      </c>
      <c r="C886" s="52">
        <v>209000337</v>
      </c>
      <c r="D886" s="43" t="str">
        <f t="shared" si="65"/>
        <v>2-0900-0337</v>
      </c>
      <c r="E886" s="52" t="s">
        <v>2340</v>
      </c>
      <c r="F886" s="43" t="str">
        <f t="shared" si="66"/>
        <v>KEYSI</v>
      </c>
      <c r="G886" s="43" t="str">
        <f t="shared" si="67"/>
        <v>KEYSI</v>
      </c>
      <c r="H886" s="43" t="str">
        <f t="shared" si="68"/>
        <v>SOLERA CAMBRONERO</v>
      </c>
      <c r="I886" s="43" t="str">
        <f t="shared" si="69"/>
        <v>KEYSI SOLERA CAMBRONERO</v>
      </c>
      <c r="J886" s="37" t="s">
        <v>2241</v>
      </c>
      <c r="K886" s="37">
        <v>11</v>
      </c>
      <c r="L886" s="37">
        <v>2</v>
      </c>
      <c r="M886" s="37" t="s">
        <v>1</v>
      </c>
    </row>
    <row r="887" spans="2:13" x14ac:dyDescent="0.25">
      <c r="B887" s="48">
        <v>884</v>
      </c>
      <c r="C887" s="52">
        <v>208980021</v>
      </c>
      <c r="D887" s="43" t="str">
        <f t="shared" si="65"/>
        <v>2-0898-0021</v>
      </c>
      <c r="E887" s="52" t="s">
        <v>2339</v>
      </c>
      <c r="F887" s="43" t="str">
        <f t="shared" si="66"/>
        <v>NICOLLE</v>
      </c>
      <c r="G887" s="43" t="str">
        <f t="shared" si="67"/>
        <v>NICOLLE</v>
      </c>
      <c r="H887" s="43" t="str">
        <f t="shared" si="68"/>
        <v>SOLORZANO CALDERON</v>
      </c>
      <c r="I887" s="43" t="str">
        <f t="shared" si="69"/>
        <v>NICOLLE SOLORZANO CALDERON</v>
      </c>
      <c r="J887" s="37" t="s">
        <v>2241</v>
      </c>
      <c r="K887" s="37">
        <v>11</v>
      </c>
      <c r="L887" s="37">
        <v>2</v>
      </c>
      <c r="M887" s="37" t="s">
        <v>1</v>
      </c>
    </row>
    <row r="888" spans="2:13" x14ac:dyDescent="0.25">
      <c r="B888" s="46">
        <v>885</v>
      </c>
      <c r="C888" s="53">
        <v>208940351</v>
      </c>
      <c r="D888" s="43" t="str">
        <f t="shared" si="65"/>
        <v>2-0894-0351</v>
      </c>
      <c r="E888" s="53" t="s">
        <v>740</v>
      </c>
      <c r="F888" s="43" t="str">
        <f t="shared" si="66"/>
        <v>NATALIA</v>
      </c>
      <c r="G888" s="43" t="str">
        <f t="shared" si="67"/>
        <v>NATALIA</v>
      </c>
      <c r="H888" s="43" t="str">
        <f t="shared" si="68"/>
        <v>ARAYA MORA</v>
      </c>
      <c r="I888" s="43" t="str">
        <f t="shared" si="69"/>
        <v>NATALIA ARAYA MORA</v>
      </c>
      <c r="J888" s="37" t="s">
        <v>741</v>
      </c>
      <c r="K888" s="37">
        <v>11</v>
      </c>
      <c r="L888" s="37">
        <v>2</v>
      </c>
      <c r="M888" s="37" t="s">
        <v>0</v>
      </c>
    </row>
    <row r="889" spans="2:13" x14ac:dyDescent="0.25">
      <c r="B889" s="48">
        <v>886</v>
      </c>
      <c r="C889" s="33">
        <v>120160978</v>
      </c>
      <c r="D889" s="43" t="str">
        <f t="shared" si="65"/>
        <v>1-2016-0978</v>
      </c>
      <c r="E889" s="33" t="s">
        <v>742</v>
      </c>
      <c r="F889" s="43" t="str">
        <f t="shared" si="66"/>
        <v>ALESSANDRO MAURICIO</v>
      </c>
      <c r="G889" s="43" t="str">
        <f t="shared" si="67"/>
        <v>ALESSANDRO</v>
      </c>
      <c r="H889" s="43" t="str">
        <f t="shared" si="68"/>
        <v>ARCE VARGAS</v>
      </c>
      <c r="I889" s="43" t="str">
        <f t="shared" si="69"/>
        <v>ALESSANDRO ARCE VARGAS</v>
      </c>
      <c r="J889" s="37" t="s">
        <v>741</v>
      </c>
      <c r="K889" s="37">
        <v>11</v>
      </c>
      <c r="L889" s="37">
        <v>2</v>
      </c>
      <c r="M889" s="37" t="s">
        <v>0</v>
      </c>
    </row>
    <row r="890" spans="2:13" x14ac:dyDescent="0.25">
      <c r="B890" s="48">
        <v>887</v>
      </c>
      <c r="C890" s="33">
        <v>208840279</v>
      </c>
      <c r="D890" s="43" t="str">
        <f t="shared" si="65"/>
        <v>2-0884-0279</v>
      </c>
      <c r="E890" s="33" t="s">
        <v>743</v>
      </c>
      <c r="F890" s="43" t="str">
        <f t="shared" si="66"/>
        <v>AARON ISAAC</v>
      </c>
      <c r="G890" s="43" t="str">
        <f t="shared" si="67"/>
        <v>AARON</v>
      </c>
      <c r="H890" s="43" t="str">
        <f t="shared" si="68"/>
        <v>BRENES VARGAS</v>
      </c>
      <c r="I890" s="43" t="str">
        <f t="shared" si="69"/>
        <v>AARON BRENES VARGAS</v>
      </c>
      <c r="J890" s="37" t="s">
        <v>741</v>
      </c>
      <c r="K890" s="37">
        <v>11</v>
      </c>
      <c r="L890" s="37">
        <v>2</v>
      </c>
      <c r="M890" s="37" t="s">
        <v>0</v>
      </c>
    </row>
    <row r="891" spans="2:13" x14ac:dyDescent="0.25">
      <c r="B891" s="46">
        <v>888</v>
      </c>
      <c r="C891" s="33">
        <v>120170699</v>
      </c>
      <c r="D891" s="43" t="str">
        <f t="shared" si="65"/>
        <v>1-2017-0699</v>
      </c>
      <c r="E891" s="33" t="s">
        <v>2341</v>
      </c>
      <c r="F891" s="43" t="str">
        <f t="shared" si="66"/>
        <v>NAOMY SHARLOTEE</v>
      </c>
      <c r="G891" s="43" t="str">
        <f t="shared" si="67"/>
        <v>NAOMY</v>
      </c>
      <c r="H891" s="43" t="str">
        <f t="shared" si="68"/>
        <v>CARDENAS BLANCO</v>
      </c>
      <c r="I891" s="43" t="str">
        <f t="shared" si="69"/>
        <v>NAOMY CARDENAS BLANCO</v>
      </c>
      <c r="J891" s="37" t="s">
        <v>741</v>
      </c>
      <c r="K891" s="37">
        <v>11</v>
      </c>
      <c r="L891" s="37">
        <v>2</v>
      </c>
      <c r="M891" s="37" t="s">
        <v>0</v>
      </c>
    </row>
    <row r="892" spans="2:13" x14ac:dyDescent="0.25">
      <c r="B892" s="48">
        <v>889</v>
      </c>
      <c r="C892" s="33">
        <v>402780321</v>
      </c>
      <c r="D892" s="43" t="str">
        <f t="shared" si="65"/>
        <v>4-0278-0321</v>
      </c>
      <c r="E892" s="33" t="s">
        <v>744</v>
      </c>
      <c r="F892" s="43" t="str">
        <f t="shared" si="66"/>
        <v>BRANDON ANDRES</v>
      </c>
      <c r="G892" s="43" t="str">
        <f t="shared" si="67"/>
        <v>BRANDON</v>
      </c>
      <c r="H892" s="43" t="str">
        <f t="shared" si="68"/>
        <v>CARVAJAL AVENDAÑO</v>
      </c>
      <c r="I892" s="43" t="str">
        <f t="shared" si="69"/>
        <v>BRANDON CARVAJAL AVENDAÑO</v>
      </c>
      <c r="J892" s="37" t="s">
        <v>741</v>
      </c>
      <c r="K892" s="37">
        <v>11</v>
      </c>
      <c r="L892" s="37">
        <v>2</v>
      </c>
      <c r="M892" s="37" t="s">
        <v>0</v>
      </c>
    </row>
    <row r="893" spans="2:13" x14ac:dyDescent="0.25">
      <c r="B893" s="48">
        <v>890</v>
      </c>
      <c r="C893" s="39">
        <v>209120509</v>
      </c>
      <c r="D893" s="43" t="str">
        <f t="shared" si="65"/>
        <v>2-0912-0509</v>
      </c>
      <c r="E893" s="39" t="s">
        <v>745</v>
      </c>
      <c r="F893" s="43" t="str">
        <f t="shared" si="66"/>
        <v>CAROLINA DE LOS ANGELES</v>
      </c>
      <c r="G893" s="43" t="str">
        <f t="shared" si="67"/>
        <v>CAROLINA</v>
      </c>
      <c r="H893" s="43" t="str">
        <f t="shared" si="68"/>
        <v>CESPEDES GONZALEZ</v>
      </c>
      <c r="I893" s="43" t="str">
        <f t="shared" si="69"/>
        <v>CAROLINA CESPEDES GONZALEZ</v>
      </c>
      <c r="J893" s="37" t="s">
        <v>741</v>
      </c>
      <c r="K893" s="37">
        <v>11</v>
      </c>
      <c r="L893" s="37">
        <v>2</v>
      </c>
      <c r="M893" s="37" t="s">
        <v>0</v>
      </c>
    </row>
    <row r="894" spans="2:13" x14ac:dyDescent="0.25">
      <c r="B894" s="46">
        <v>891</v>
      </c>
      <c r="C894" s="39">
        <v>209480325</v>
      </c>
      <c r="D894" s="43" t="str">
        <f t="shared" si="65"/>
        <v>2-0948-0325</v>
      </c>
      <c r="E894" s="39" t="s">
        <v>746</v>
      </c>
      <c r="F894" s="43" t="str">
        <f t="shared" si="66"/>
        <v>VALENTINA</v>
      </c>
      <c r="G894" s="43" t="str">
        <f t="shared" si="67"/>
        <v>VALENTINA</v>
      </c>
      <c r="H894" s="43" t="str">
        <f t="shared" si="68"/>
        <v>FALLAS CERON</v>
      </c>
      <c r="I894" s="43" t="str">
        <f t="shared" si="69"/>
        <v>VALENTINA FALLAS CERON</v>
      </c>
      <c r="J894" s="37" t="s">
        <v>741</v>
      </c>
      <c r="K894" s="37">
        <v>11</v>
      </c>
      <c r="L894" s="37">
        <v>2</v>
      </c>
      <c r="M894" s="37" t="s">
        <v>0</v>
      </c>
    </row>
    <row r="895" spans="2:13" x14ac:dyDescent="0.25">
      <c r="B895" s="48">
        <v>892</v>
      </c>
      <c r="C895" s="33">
        <v>208990165</v>
      </c>
      <c r="D895" s="43" t="str">
        <f t="shared" si="65"/>
        <v>2-0899-0165</v>
      </c>
      <c r="E895" s="33" t="s">
        <v>747</v>
      </c>
      <c r="F895" s="43" t="str">
        <f t="shared" si="66"/>
        <v>MARIANGEL</v>
      </c>
      <c r="G895" s="43" t="str">
        <f t="shared" si="67"/>
        <v>MARIANGEL</v>
      </c>
      <c r="H895" s="43" t="str">
        <f t="shared" si="68"/>
        <v>GOMEZ FALLAS</v>
      </c>
      <c r="I895" s="43" t="str">
        <f t="shared" si="69"/>
        <v>MARIANGEL GOMEZ FALLAS</v>
      </c>
      <c r="J895" s="37" t="s">
        <v>741</v>
      </c>
      <c r="K895" s="37">
        <v>11</v>
      </c>
      <c r="L895" s="37">
        <v>2</v>
      </c>
      <c r="M895" s="37" t="s">
        <v>0</v>
      </c>
    </row>
    <row r="896" spans="2:13" x14ac:dyDescent="0.25">
      <c r="B896" s="48">
        <v>893</v>
      </c>
      <c r="C896" s="33">
        <v>208910097</v>
      </c>
      <c r="D896" s="43" t="str">
        <f t="shared" si="65"/>
        <v>2-0891-0097</v>
      </c>
      <c r="E896" s="33" t="s">
        <v>748</v>
      </c>
      <c r="F896" s="43" t="str">
        <f t="shared" si="66"/>
        <v>YUBELKA VICTORIA</v>
      </c>
      <c r="G896" s="43" t="str">
        <f t="shared" si="67"/>
        <v>YUBELKA</v>
      </c>
      <c r="H896" s="43" t="str">
        <f t="shared" si="68"/>
        <v>MAYORGA GARCIA</v>
      </c>
      <c r="I896" s="43" t="str">
        <f t="shared" si="69"/>
        <v>YUBELKA MAYORGA GARCIA</v>
      </c>
      <c r="J896" s="37" t="s">
        <v>741</v>
      </c>
      <c r="K896" s="37">
        <v>11</v>
      </c>
      <c r="L896" s="37">
        <v>2</v>
      </c>
      <c r="M896" s="37" t="s">
        <v>0</v>
      </c>
    </row>
    <row r="897" spans="2:13" x14ac:dyDescent="0.25">
      <c r="B897" s="46">
        <v>894</v>
      </c>
      <c r="C897" s="33">
        <v>402810365</v>
      </c>
      <c r="D897" s="43" t="str">
        <f t="shared" si="65"/>
        <v>4-0281-0365</v>
      </c>
      <c r="E897" s="33" t="s">
        <v>749</v>
      </c>
      <c r="F897" s="43" t="str">
        <f t="shared" si="66"/>
        <v>RODMERY SUSANA</v>
      </c>
      <c r="G897" s="43" t="str">
        <f t="shared" si="67"/>
        <v>RODMERY</v>
      </c>
      <c r="H897" s="43" t="str">
        <f t="shared" si="68"/>
        <v>MEJIAS ALFARO</v>
      </c>
      <c r="I897" s="43" t="str">
        <f t="shared" si="69"/>
        <v>RODMERY MEJIAS ALFARO</v>
      </c>
      <c r="J897" s="37" t="s">
        <v>741</v>
      </c>
      <c r="K897" s="37">
        <v>11</v>
      </c>
      <c r="L897" s="37">
        <v>2</v>
      </c>
      <c r="M897" s="37" t="s">
        <v>0</v>
      </c>
    </row>
    <row r="898" spans="2:13" x14ac:dyDescent="0.25">
      <c r="B898" s="48">
        <v>895</v>
      </c>
      <c r="C898" s="33">
        <v>208980621</v>
      </c>
      <c r="D898" s="43" t="str">
        <f t="shared" si="65"/>
        <v>2-0898-0621</v>
      </c>
      <c r="E898" s="33" t="s">
        <v>750</v>
      </c>
      <c r="F898" s="43" t="str">
        <f t="shared" si="66"/>
        <v>ESCARLETH DANIELA</v>
      </c>
      <c r="G898" s="43" t="str">
        <f t="shared" si="67"/>
        <v>ESCARLETH</v>
      </c>
      <c r="H898" s="43" t="str">
        <f t="shared" si="68"/>
        <v>RAMIREZ PERALTA</v>
      </c>
      <c r="I898" s="43" t="str">
        <f t="shared" si="69"/>
        <v>ESCARLETH RAMIREZ PERALTA</v>
      </c>
      <c r="J898" s="37" t="s">
        <v>741</v>
      </c>
      <c r="K898" s="37">
        <v>11</v>
      </c>
      <c r="L898" s="37">
        <v>2</v>
      </c>
      <c r="M898" s="37" t="s">
        <v>0</v>
      </c>
    </row>
    <row r="899" spans="2:13" x14ac:dyDescent="0.25">
      <c r="B899" s="48">
        <v>896</v>
      </c>
      <c r="C899" s="33">
        <v>120400397</v>
      </c>
      <c r="D899" s="43" t="str">
        <f t="shared" si="65"/>
        <v>1-2040-0397</v>
      </c>
      <c r="E899" s="33" t="s">
        <v>751</v>
      </c>
      <c r="F899" s="43" t="str">
        <f t="shared" si="66"/>
        <v>ALEXANDRA</v>
      </c>
      <c r="G899" s="43" t="str">
        <f t="shared" si="67"/>
        <v>ALEXANDRA</v>
      </c>
      <c r="H899" s="43" t="str">
        <f t="shared" si="68"/>
        <v>RODRIGUEZ BARRANTES</v>
      </c>
      <c r="I899" s="43" t="str">
        <f t="shared" si="69"/>
        <v>ALEXANDRA RODRIGUEZ BARRANTES</v>
      </c>
      <c r="J899" s="37" t="s">
        <v>741</v>
      </c>
      <c r="K899" s="37">
        <v>11</v>
      </c>
      <c r="L899" s="37">
        <v>2</v>
      </c>
      <c r="M899" s="37" t="s">
        <v>0</v>
      </c>
    </row>
    <row r="900" spans="2:13" x14ac:dyDescent="0.25">
      <c r="B900" s="46">
        <v>897</v>
      </c>
      <c r="C900" s="33">
        <v>120110312</v>
      </c>
      <c r="D900" s="43" t="str">
        <f t="shared" ref="D900:D963" si="70">IF(LEN(C900)=9,_xlfn.CONCAT(MID(C900,1,1),"-",MID(C900,2,4),"-",MID(C900,6,4)),TEXT(C900,"000000000000"))</f>
        <v>1-2011-0312</v>
      </c>
      <c r="E900" s="33" t="s">
        <v>752</v>
      </c>
      <c r="F900" s="43" t="str">
        <f t="shared" si="66"/>
        <v>ARIANA</v>
      </c>
      <c r="G900" s="43" t="str">
        <f t="shared" si="67"/>
        <v>ARIANA</v>
      </c>
      <c r="H900" s="43" t="str">
        <f t="shared" si="68"/>
        <v>RODRIGUEZ RODRIGUEZ</v>
      </c>
      <c r="I900" s="43" t="str">
        <f t="shared" si="69"/>
        <v>ARIANA RODRIGUEZ RODRIGUEZ</v>
      </c>
      <c r="J900" s="37" t="s">
        <v>741</v>
      </c>
      <c r="K900" s="37">
        <v>11</v>
      </c>
      <c r="L900" s="37">
        <v>2</v>
      </c>
      <c r="M900" s="37" t="s">
        <v>0</v>
      </c>
    </row>
    <row r="901" spans="2:13" x14ac:dyDescent="0.25">
      <c r="B901" s="48">
        <v>898</v>
      </c>
      <c r="C901" s="33">
        <v>209030904</v>
      </c>
      <c r="D901" s="43" t="str">
        <f t="shared" si="70"/>
        <v>2-0903-0904</v>
      </c>
      <c r="E901" s="33" t="s">
        <v>753</v>
      </c>
      <c r="F901" s="43" t="str">
        <f t="shared" ref="F901:F964" si="71">RIGHT(E901,LEN(E901)-SEARCH(" ",E901,SEARCH(" ",E901)+1))</f>
        <v>GERALD</v>
      </c>
      <c r="G901" s="43" t="str">
        <f t="shared" ref="G901:G964" si="72">IFERROR(LEFT(F901,SEARCH(" ",F901,1)-1),F901)</f>
        <v>GERALD</v>
      </c>
      <c r="H901" s="43" t="str">
        <f t="shared" ref="H901:H964" si="73">LEFT(E901,SEARCH(" ",E901,SEARCH(" ",E901)+1)-1)</f>
        <v>ROJAS MESEN</v>
      </c>
      <c r="I901" s="43" t="str">
        <f t="shared" ref="I901:I964" si="74">_xlfn.CONCAT(G901," ",H901)</f>
        <v>GERALD ROJAS MESEN</v>
      </c>
      <c r="J901" s="37" t="s">
        <v>741</v>
      </c>
      <c r="K901" s="37">
        <v>11</v>
      </c>
      <c r="L901" s="37">
        <v>2</v>
      </c>
      <c r="M901" s="37" t="s">
        <v>0</v>
      </c>
    </row>
    <row r="902" spans="2:13" x14ac:dyDescent="0.25">
      <c r="B902" s="48">
        <v>899</v>
      </c>
      <c r="C902" s="33">
        <v>402780818</v>
      </c>
      <c r="D902" s="43" t="str">
        <f t="shared" si="70"/>
        <v>4-0278-0818</v>
      </c>
      <c r="E902" s="33" t="s">
        <v>754</v>
      </c>
      <c r="F902" s="43" t="str">
        <f t="shared" si="71"/>
        <v>PABLO ALONSO</v>
      </c>
      <c r="G902" s="43" t="str">
        <f t="shared" si="72"/>
        <v>PABLO</v>
      </c>
      <c r="H902" s="43" t="str">
        <f t="shared" si="73"/>
        <v>ROJAS UGALDE</v>
      </c>
      <c r="I902" s="43" t="str">
        <f t="shared" si="74"/>
        <v>PABLO ROJAS UGALDE</v>
      </c>
      <c r="J902" s="37" t="s">
        <v>741</v>
      </c>
      <c r="K902" s="37">
        <v>11</v>
      </c>
      <c r="L902" s="37">
        <v>2</v>
      </c>
      <c r="M902" s="37" t="s">
        <v>0</v>
      </c>
    </row>
    <row r="903" spans="2:13" x14ac:dyDescent="0.25">
      <c r="B903" s="46">
        <v>900</v>
      </c>
      <c r="C903" s="52">
        <v>402780664</v>
      </c>
      <c r="D903" s="43" t="str">
        <f t="shared" si="70"/>
        <v>4-0278-0664</v>
      </c>
      <c r="E903" s="52" t="s">
        <v>755</v>
      </c>
      <c r="F903" s="43" t="str">
        <f t="shared" si="71"/>
        <v>ALEJANDRO</v>
      </c>
      <c r="G903" s="43" t="str">
        <f t="shared" si="72"/>
        <v>ALEJANDRO</v>
      </c>
      <c r="H903" s="43" t="str">
        <f t="shared" si="73"/>
        <v>ROJAS ZUMBADO</v>
      </c>
      <c r="I903" s="43" t="str">
        <f t="shared" si="74"/>
        <v>ALEJANDRO ROJAS ZUMBADO</v>
      </c>
      <c r="J903" s="37" t="s">
        <v>741</v>
      </c>
      <c r="K903" s="37">
        <v>11</v>
      </c>
      <c r="L903" s="37">
        <v>2</v>
      </c>
      <c r="M903" s="37" t="s">
        <v>0</v>
      </c>
    </row>
    <row r="904" spans="2:13" x14ac:dyDescent="0.25">
      <c r="B904" s="48">
        <v>901</v>
      </c>
      <c r="C904" s="52">
        <v>209070460</v>
      </c>
      <c r="D904" s="43" t="str">
        <f t="shared" si="70"/>
        <v>2-0907-0460</v>
      </c>
      <c r="E904" s="52" t="s">
        <v>756</v>
      </c>
      <c r="F904" s="43" t="str">
        <f t="shared" si="71"/>
        <v>DYLAN</v>
      </c>
      <c r="G904" s="43" t="str">
        <f t="shared" si="72"/>
        <v>DYLAN</v>
      </c>
      <c r="H904" s="43" t="str">
        <f t="shared" si="73"/>
        <v>SALAZAR CHINCHILLA</v>
      </c>
      <c r="I904" s="43" t="str">
        <f t="shared" si="74"/>
        <v>DYLAN SALAZAR CHINCHILLA</v>
      </c>
      <c r="J904" s="37" t="s">
        <v>741</v>
      </c>
      <c r="K904" s="37">
        <v>11</v>
      </c>
      <c r="L904" s="37">
        <v>2</v>
      </c>
      <c r="M904" s="37" t="s">
        <v>0</v>
      </c>
    </row>
    <row r="905" spans="2:13" x14ac:dyDescent="0.25">
      <c r="B905" s="48">
        <v>902</v>
      </c>
      <c r="C905" s="52">
        <v>208900464</v>
      </c>
      <c r="D905" s="43" t="str">
        <f t="shared" si="70"/>
        <v>2-0890-0464</v>
      </c>
      <c r="E905" s="52" t="s">
        <v>757</v>
      </c>
      <c r="F905" s="43" t="str">
        <f t="shared" si="71"/>
        <v>GABRIEL DE JESUS</v>
      </c>
      <c r="G905" s="43" t="str">
        <f t="shared" si="72"/>
        <v>GABRIEL</v>
      </c>
      <c r="H905" s="43" t="str">
        <f t="shared" si="73"/>
        <v>VALVERDE ARIAS</v>
      </c>
      <c r="I905" s="43" t="str">
        <f t="shared" si="74"/>
        <v>GABRIEL VALVERDE ARIAS</v>
      </c>
      <c r="J905" s="37" t="s">
        <v>741</v>
      </c>
      <c r="K905" s="37">
        <v>11</v>
      </c>
      <c r="L905" s="37">
        <v>2</v>
      </c>
      <c r="M905" s="37" t="s">
        <v>0</v>
      </c>
    </row>
    <row r="906" spans="2:13" x14ac:dyDescent="0.25">
      <c r="B906" s="46">
        <v>903</v>
      </c>
      <c r="C906" s="52">
        <v>208960814</v>
      </c>
      <c r="D906" s="43" t="str">
        <f t="shared" si="70"/>
        <v>2-0896-0814</v>
      </c>
      <c r="E906" s="52" t="s">
        <v>758</v>
      </c>
      <c r="F906" s="43" t="str">
        <f t="shared" si="71"/>
        <v>NICOLE DARIANA</v>
      </c>
      <c r="G906" s="43" t="str">
        <f t="shared" si="72"/>
        <v>NICOLE</v>
      </c>
      <c r="H906" s="43" t="str">
        <f t="shared" si="73"/>
        <v>ZAMORA ALVARADO</v>
      </c>
      <c r="I906" s="43" t="str">
        <f t="shared" si="74"/>
        <v>NICOLE ZAMORA ALVARADO</v>
      </c>
      <c r="J906" s="37" t="s">
        <v>741</v>
      </c>
      <c r="K906" s="37">
        <v>11</v>
      </c>
      <c r="L906" s="37">
        <v>2</v>
      </c>
      <c r="M906" s="37" t="s">
        <v>0</v>
      </c>
    </row>
    <row r="907" spans="2:13" x14ac:dyDescent="0.25">
      <c r="B907" s="48">
        <v>904</v>
      </c>
      <c r="C907" s="53">
        <v>402760242</v>
      </c>
      <c r="D907" s="43" t="str">
        <f t="shared" si="70"/>
        <v>4-0276-0242</v>
      </c>
      <c r="E907" s="33" t="s">
        <v>759</v>
      </c>
      <c r="F907" s="43" t="str">
        <f t="shared" si="71"/>
        <v>KEVIN ADRIAN</v>
      </c>
      <c r="G907" s="43" t="str">
        <f t="shared" si="72"/>
        <v>KEVIN</v>
      </c>
      <c r="H907" s="43" t="str">
        <f t="shared" si="73"/>
        <v>ARAGON SANCHEZ</v>
      </c>
      <c r="I907" s="43" t="str">
        <f t="shared" si="74"/>
        <v>KEVIN ARAGON SANCHEZ</v>
      </c>
      <c r="J907" s="37" t="s">
        <v>656</v>
      </c>
      <c r="K907" s="37">
        <v>11</v>
      </c>
      <c r="L907" s="37">
        <v>3</v>
      </c>
      <c r="M907" s="37" t="s">
        <v>1</v>
      </c>
    </row>
    <row r="908" spans="2:13" x14ac:dyDescent="0.25">
      <c r="B908" s="48">
        <v>905</v>
      </c>
      <c r="C908" s="54">
        <v>402810264</v>
      </c>
      <c r="D908" s="43" t="str">
        <f t="shared" si="70"/>
        <v>4-0281-0264</v>
      </c>
      <c r="E908" s="54" t="s">
        <v>760</v>
      </c>
      <c r="F908" s="43" t="str">
        <f t="shared" si="71"/>
        <v>KARINA DE LOS ANGELES</v>
      </c>
      <c r="G908" s="43" t="str">
        <f t="shared" si="72"/>
        <v>KARINA</v>
      </c>
      <c r="H908" s="43" t="str">
        <f t="shared" si="73"/>
        <v>BARRANTES OVIEDO</v>
      </c>
      <c r="I908" s="43" t="str">
        <f t="shared" si="74"/>
        <v>KARINA BARRANTES OVIEDO</v>
      </c>
      <c r="J908" s="37" t="s">
        <v>656</v>
      </c>
      <c r="K908" s="37">
        <v>11</v>
      </c>
      <c r="L908" s="37">
        <v>3</v>
      </c>
      <c r="M908" s="37" t="s">
        <v>1</v>
      </c>
    </row>
    <row r="909" spans="2:13" x14ac:dyDescent="0.25">
      <c r="B909" s="46">
        <v>906</v>
      </c>
      <c r="C909" s="52">
        <v>209030580</v>
      </c>
      <c r="D909" s="43" t="str">
        <f t="shared" si="70"/>
        <v>2-0903-0580</v>
      </c>
      <c r="E909" s="52" t="s">
        <v>761</v>
      </c>
      <c r="F909" s="43" t="str">
        <f t="shared" si="71"/>
        <v>JOSUE DAVID</v>
      </c>
      <c r="G909" s="43" t="str">
        <f t="shared" si="72"/>
        <v>JOSUE</v>
      </c>
      <c r="H909" s="43" t="str">
        <f t="shared" si="73"/>
        <v>CALVO MIRANDA</v>
      </c>
      <c r="I909" s="43" t="str">
        <f t="shared" si="74"/>
        <v>JOSUE CALVO MIRANDA</v>
      </c>
      <c r="J909" s="37" t="s">
        <v>656</v>
      </c>
      <c r="K909" s="37">
        <v>11</v>
      </c>
      <c r="L909" s="37">
        <v>3</v>
      </c>
      <c r="M909" s="37" t="s">
        <v>1</v>
      </c>
    </row>
    <row r="910" spans="2:13" x14ac:dyDescent="0.25">
      <c r="B910" s="48">
        <v>907</v>
      </c>
      <c r="C910" s="52">
        <v>120140271</v>
      </c>
      <c r="D910" s="43" t="str">
        <f t="shared" si="70"/>
        <v>1-2014-0271</v>
      </c>
      <c r="E910" s="52" t="s">
        <v>762</v>
      </c>
      <c r="F910" s="43" t="str">
        <f t="shared" si="71"/>
        <v>JOSE ABDIEL</v>
      </c>
      <c r="G910" s="43" t="str">
        <f t="shared" si="72"/>
        <v>JOSE</v>
      </c>
      <c r="H910" s="43" t="str">
        <f t="shared" si="73"/>
        <v>CALVO ROSALES</v>
      </c>
      <c r="I910" s="43" t="str">
        <f t="shared" si="74"/>
        <v>JOSE CALVO ROSALES</v>
      </c>
      <c r="J910" s="37" t="s">
        <v>656</v>
      </c>
      <c r="K910" s="37">
        <v>11</v>
      </c>
      <c r="L910" s="37">
        <v>3</v>
      </c>
      <c r="M910" s="37" t="s">
        <v>1</v>
      </c>
    </row>
    <row r="911" spans="2:13" x14ac:dyDescent="0.25">
      <c r="B911" s="48">
        <v>908</v>
      </c>
      <c r="C911" s="52">
        <v>999990908</v>
      </c>
      <c r="D911" s="70" t="s">
        <v>763</v>
      </c>
      <c r="E911" s="52" t="s">
        <v>764</v>
      </c>
      <c r="F911" s="43" t="str">
        <f t="shared" si="71"/>
        <v>CARLOS JULIAN</v>
      </c>
      <c r="G911" s="43" t="str">
        <f t="shared" si="72"/>
        <v>CARLOS</v>
      </c>
      <c r="H911" s="43" t="str">
        <f t="shared" si="73"/>
        <v>CASTILLO ACERO</v>
      </c>
      <c r="I911" s="43" t="str">
        <f t="shared" si="74"/>
        <v>CARLOS CASTILLO ACERO</v>
      </c>
      <c r="J911" s="37" t="s">
        <v>656</v>
      </c>
      <c r="K911" s="37">
        <v>11</v>
      </c>
      <c r="L911" s="37">
        <v>3</v>
      </c>
      <c r="M911" s="37" t="s">
        <v>1</v>
      </c>
    </row>
    <row r="912" spans="2:13" x14ac:dyDescent="0.25">
      <c r="B912" s="46">
        <v>909</v>
      </c>
      <c r="C912" s="52">
        <v>208970971</v>
      </c>
      <c r="D912" s="43" t="str">
        <f t="shared" si="70"/>
        <v>2-0897-0971</v>
      </c>
      <c r="E912" s="52" t="s">
        <v>765</v>
      </c>
      <c r="F912" s="43" t="str">
        <f t="shared" si="71"/>
        <v>KEYLIN TATIANA</v>
      </c>
      <c r="G912" s="43" t="str">
        <f t="shared" si="72"/>
        <v>KEYLIN</v>
      </c>
      <c r="H912" s="43" t="str">
        <f t="shared" si="73"/>
        <v>GARCIA PEÑA</v>
      </c>
      <c r="I912" s="43" t="str">
        <f t="shared" si="74"/>
        <v>KEYLIN GARCIA PEÑA</v>
      </c>
      <c r="J912" s="37" t="s">
        <v>656</v>
      </c>
      <c r="K912" s="37">
        <v>11</v>
      </c>
      <c r="L912" s="37">
        <v>3</v>
      </c>
      <c r="M912" s="37" t="s">
        <v>1</v>
      </c>
    </row>
    <row r="913" spans="2:13" x14ac:dyDescent="0.25">
      <c r="B913" s="48">
        <v>910</v>
      </c>
      <c r="C913" s="52">
        <v>120370958</v>
      </c>
      <c r="D913" s="43" t="str">
        <f t="shared" si="70"/>
        <v>1-2037-0958</v>
      </c>
      <c r="E913" s="52" t="s">
        <v>766</v>
      </c>
      <c r="F913" s="43" t="str">
        <f t="shared" si="71"/>
        <v xml:space="preserve">JOSEPH MATIAS </v>
      </c>
      <c r="G913" s="43" t="str">
        <f t="shared" si="72"/>
        <v>JOSEPH</v>
      </c>
      <c r="H913" s="43" t="str">
        <f t="shared" si="73"/>
        <v>HERNANDEZ PEREIRA</v>
      </c>
      <c r="I913" s="43" t="str">
        <f t="shared" si="74"/>
        <v>JOSEPH HERNANDEZ PEREIRA</v>
      </c>
      <c r="J913" s="37" t="s">
        <v>656</v>
      </c>
      <c r="K913" s="37">
        <v>11</v>
      </c>
      <c r="L913" s="37">
        <v>3</v>
      </c>
      <c r="M913" s="37" t="s">
        <v>1</v>
      </c>
    </row>
    <row r="914" spans="2:13" x14ac:dyDescent="0.25">
      <c r="B914" s="48">
        <v>911</v>
      </c>
      <c r="C914" s="52">
        <v>209030486</v>
      </c>
      <c r="D914" s="43" t="str">
        <f t="shared" si="70"/>
        <v>2-0903-0486</v>
      </c>
      <c r="E914" s="52" t="s">
        <v>767</v>
      </c>
      <c r="F914" s="43" t="str">
        <f t="shared" si="71"/>
        <v>MARIPAZ</v>
      </c>
      <c r="G914" s="43" t="str">
        <f t="shared" si="72"/>
        <v>MARIPAZ</v>
      </c>
      <c r="H914" s="43" t="str">
        <f t="shared" si="73"/>
        <v>MADRIGAL MAIRENA</v>
      </c>
      <c r="I914" s="43" t="str">
        <f t="shared" si="74"/>
        <v>MARIPAZ MADRIGAL MAIRENA</v>
      </c>
      <c r="J914" s="37" t="s">
        <v>656</v>
      </c>
      <c r="K914" s="37">
        <v>11</v>
      </c>
      <c r="L914" s="37">
        <v>3</v>
      </c>
      <c r="M914" s="37" t="s">
        <v>1</v>
      </c>
    </row>
    <row r="915" spans="2:13" x14ac:dyDescent="0.25">
      <c r="B915" s="46">
        <v>912</v>
      </c>
      <c r="C915" s="33">
        <v>402800503</v>
      </c>
      <c r="D915" s="43" t="str">
        <f t="shared" si="70"/>
        <v>4-0280-0503</v>
      </c>
      <c r="E915" s="33" t="s">
        <v>768</v>
      </c>
      <c r="F915" s="43" t="str">
        <f t="shared" si="71"/>
        <v>WILLIAN ALBERTO</v>
      </c>
      <c r="G915" s="43" t="str">
        <f t="shared" si="72"/>
        <v>WILLIAN</v>
      </c>
      <c r="H915" s="43" t="str">
        <f t="shared" si="73"/>
        <v>PANIAGUA MORALES</v>
      </c>
      <c r="I915" s="43" t="str">
        <f t="shared" si="74"/>
        <v>WILLIAN PANIAGUA MORALES</v>
      </c>
      <c r="J915" s="37" t="s">
        <v>656</v>
      </c>
      <c r="K915" s="37">
        <v>11</v>
      </c>
      <c r="L915" s="37">
        <v>3</v>
      </c>
      <c r="M915" s="37" t="s">
        <v>1</v>
      </c>
    </row>
    <row r="916" spans="2:13" x14ac:dyDescent="0.25">
      <c r="B916" s="48">
        <v>913</v>
      </c>
      <c r="C916" s="33">
        <v>209000836</v>
      </c>
      <c r="D916" s="43" t="str">
        <f t="shared" si="70"/>
        <v>2-0900-0836</v>
      </c>
      <c r="E916" s="33" t="s">
        <v>769</v>
      </c>
      <c r="F916" s="43" t="str">
        <f t="shared" si="71"/>
        <v>ISAAC SANTIAGO</v>
      </c>
      <c r="G916" s="43" t="str">
        <f t="shared" si="72"/>
        <v>ISAAC</v>
      </c>
      <c r="H916" s="43" t="str">
        <f t="shared" si="73"/>
        <v>RAMIREZ DIAZ</v>
      </c>
      <c r="I916" s="43" t="str">
        <f t="shared" si="74"/>
        <v>ISAAC RAMIREZ DIAZ</v>
      </c>
      <c r="J916" s="37" t="s">
        <v>656</v>
      </c>
      <c r="K916" s="37">
        <v>11</v>
      </c>
      <c r="L916" s="37">
        <v>3</v>
      </c>
      <c r="M916" s="37" t="s">
        <v>1</v>
      </c>
    </row>
    <row r="917" spans="2:13" x14ac:dyDescent="0.25">
      <c r="B917" s="48">
        <v>914</v>
      </c>
      <c r="C917" s="33">
        <v>209000151</v>
      </c>
      <c r="D917" s="43" t="str">
        <f t="shared" si="70"/>
        <v>2-0900-0151</v>
      </c>
      <c r="E917" s="33" t="s">
        <v>770</v>
      </c>
      <c r="F917" s="43" t="str">
        <f t="shared" si="71"/>
        <v xml:space="preserve">KIAN GERARDO </v>
      </c>
      <c r="G917" s="43" t="str">
        <f t="shared" si="72"/>
        <v>KIAN</v>
      </c>
      <c r="H917" s="43" t="str">
        <f t="shared" si="73"/>
        <v>SEGURA ABARCA</v>
      </c>
      <c r="I917" s="43" t="str">
        <f t="shared" si="74"/>
        <v>KIAN SEGURA ABARCA</v>
      </c>
      <c r="J917" s="37" t="s">
        <v>656</v>
      </c>
      <c r="K917" s="37">
        <v>11</v>
      </c>
      <c r="L917" s="37">
        <v>3</v>
      </c>
      <c r="M917" s="37" t="s">
        <v>1</v>
      </c>
    </row>
    <row r="918" spans="2:13" x14ac:dyDescent="0.25">
      <c r="B918" s="46">
        <v>915</v>
      </c>
      <c r="C918" s="52">
        <v>209020993</v>
      </c>
      <c r="D918" s="43" t="str">
        <f t="shared" si="70"/>
        <v>2-0902-0993</v>
      </c>
      <c r="E918" s="52" t="s">
        <v>772</v>
      </c>
      <c r="F918" s="43" t="str">
        <f t="shared" si="71"/>
        <v>THOMAS JOSUE</v>
      </c>
      <c r="G918" s="43" t="str">
        <f t="shared" si="72"/>
        <v>THOMAS</v>
      </c>
      <c r="H918" s="43" t="str">
        <f t="shared" si="73"/>
        <v>VEGA LOPEZ</v>
      </c>
      <c r="I918" s="43" t="str">
        <f t="shared" si="74"/>
        <v>THOMAS VEGA LOPEZ</v>
      </c>
      <c r="J918" s="37" t="s">
        <v>656</v>
      </c>
      <c r="K918" s="37">
        <v>11</v>
      </c>
      <c r="L918" s="37">
        <v>3</v>
      </c>
      <c r="M918" s="37" t="s">
        <v>1</v>
      </c>
    </row>
    <row r="919" spans="2:13" x14ac:dyDescent="0.25">
      <c r="B919" s="48">
        <v>916</v>
      </c>
      <c r="C919" s="52">
        <v>120210944</v>
      </c>
      <c r="D919" s="43" t="str">
        <f t="shared" si="70"/>
        <v>1-2021-0944</v>
      </c>
      <c r="E919" s="52" t="s">
        <v>773</v>
      </c>
      <c r="F919" s="43" t="str">
        <f t="shared" si="71"/>
        <v>JARED ARMANDO</v>
      </c>
      <c r="G919" s="43" t="str">
        <f t="shared" si="72"/>
        <v>JARED</v>
      </c>
      <c r="H919" s="43" t="str">
        <f t="shared" si="73"/>
        <v>ALVARADO ZUÑIGA</v>
      </c>
      <c r="I919" s="43" t="str">
        <f t="shared" si="74"/>
        <v>JARED ALVARADO ZUÑIGA</v>
      </c>
      <c r="J919" s="37" t="s">
        <v>774</v>
      </c>
      <c r="K919" s="37">
        <v>11</v>
      </c>
      <c r="L919" s="37">
        <v>3</v>
      </c>
      <c r="M919" s="37" t="s">
        <v>0</v>
      </c>
    </row>
    <row r="920" spans="2:13" x14ac:dyDescent="0.25">
      <c r="B920" s="48">
        <v>917</v>
      </c>
      <c r="C920" s="52">
        <v>703410038</v>
      </c>
      <c r="D920" s="43" t="str">
        <f t="shared" si="70"/>
        <v>7-0341-0038</v>
      </c>
      <c r="E920" s="52" t="s">
        <v>776</v>
      </c>
      <c r="F920" s="43" t="str">
        <f t="shared" si="71"/>
        <v>FABIANA</v>
      </c>
      <c r="G920" s="43" t="str">
        <f t="shared" si="72"/>
        <v>FABIANA</v>
      </c>
      <c r="H920" s="43" t="str">
        <f t="shared" si="73"/>
        <v>CHAVES MENDEZ</v>
      </c>
      <c r="I920" s="43" t="str">
        <f t="shared" si="74"/>
        <v>FABIANA CHAVES MENDEZ</v>
      </c>
      <c r="J920" s="37" t="s">
        <v>774</v>
      </c>
      <c r="K920" s="37">
        <v>11</v>
      </c>
      <c r="L920" s="37">
        <v>3</v>
      </c>
      <c r="M920" s="37" t="s">
        <v>0</v>
      </c>
    </row>
    <row r="921" spans="2:13" x14ac:dyDescent="0.25">
      <c r="B921" s="46">
        <v>918</v>
      </c>
      <c r="C921" s="52">
        <v>120020035</v>
      </c>
      <c r="D921" s="43" t="str">
        <f t="shared" si="70"/>
        <v>1-2002-0035</v>
      </c>
      <c r="E921" s="52" t="s">
        <v>777</v>
      </c>
      <c r="F921" s="43" t="str">
        <f t="shared" si="71"/>
        <v>SCARLETH CECILIA</v>
      </c>
      <c r="G921" s="43" t="str">
        <f t="shared" si="72"/>
        <v>SCARLETH</v>
      </c>
      <c r="H921" s="43" t="str">
        <f t="shared" si="73"/>
        <v>CORDOBA NUÑEZ</v>
      </c>
      <c r="I921" s="43" t="str">
        <f t="shared" si="74"/>
        <v>SCARLETH CORDOBA NUÑEZ</v>
      </c>
      <c r="J921" s="37" t="s">
        <v>774</v>
      </c>
      <c r="K921" s="37">
        <v>11</v>
      </c>
      <c r="L921" s="37">
        <v>3</v>
      </c>
      <c r="M921" s="37" t="s">
        <v>0</v>
      </c>
    </row>
    <row r="922" spans="2:13" x14ac:dyDescent="0.25">
      <c r="B922" s="48">
        <v>919</v>
      </c>
      <c r="C922" s="52">
        <v>209020235</v>
      </c>
      <c r="D922" s="43" t="str">
        <f t="shared" si="70"/>
        <v>2-0902-0235</v>
      </c>
      <c r="E922" s="52" t="s">
        <v>778</v>
      </c>
      <c r="F922" s="43" t="str">
        <f t="shared" si="71"/>
        <v>MANUEL EDUARDO</v>
      </c>
      <c r="G922" s="43" t="str">
        <f t="shared" si="72"/>
        <v>MANUEL</v>
      </c>
      <c r="H922" s="43" t="str">
        <f t="shared" si="73"/>
        <v>ESCOTO RIVERA</v>
      </c>
      <c r="I922" s="43" t="str">
        <f t="shared" si="74"/>
        <v>MANUEL ESCOTO RIVERA</v>
      </c>
      <c r="J922" s="37" t="s">
        <v>774</v>
      </c>
      <c r="K922" s="37">
        <v>11</v>
      </c>
      <c r="L922" s="37">
        <v>3</v>
      </c>
      <c r="M922" s="37" t="s">
        <v>0</v>
      </c>
    </row>
    <row r="923" spans="2:13" x14ac:dyDescent="0.25">
      <c r="B923" s="48">
        <v>920</v>
      </c>
      <c r="C923" s="52">
        <v>209050835</v>
      </c>
      <c r="D923" s="43" t="str">
        <f t="shared" si="70"/>
        <v>2-0905-0835</v>
      </c>
      <c r="E923" s="52" t="s">
        <v>779</v>
      </c>
      <c r="F923" s="43" t="str">
        <f t="shared" si="71"/>
        <v>ILAN DANIEL</v>
      </c>
      <c r="G923" s="43" t="str">
        <f t="shared" si="72"/>
        <v>ILAN</v>
      </c>
      <c r="H923" s="43" t="str">
        <f t="shared" si="73"/>
        <v>LUNA MALESPIN</v>
      </c>
      <c r="I923" s="43" t="str">
        <f t="shared" si="74"/>
        <v>ILAN LUNA MALESPIN</v>
      </c>
      <c r="J923" s="37" t="s">
        <v>774</v>
      </c>
      <c r="K923" s="37">
        <v>11</v>
      </c>
      <c r="L923" s="37">
        <v>3</v>
      </c>
      <c r="M923" s="37" t="s">
        <v>0</v>
      </c>
    </row>
    <row r="924" spans="2:13" x14ac:dyDescent="0.25">
      <c r="B924" s="46">
        <v>921</v>
      </c>
      <c r="C924" s="52">
        <v>209030130</v>
      </c>
      <c r="D924" s="43" t="str">
        <f t="shared" si="70"/>
        <v>2-0903-0130</v>
      </c>
      <c r="E924" s="52" t="s">
        <v>780</v>
      </c>
      <c r="F924" s="43" t="str">
        <f t="shared" si="71"/>
        <v>AMANDA</v>
      </c>
      <c r="G924" s="43" t="str">
        <f t="shared" si="72"/>
        <v>AMANDA</v>
      </c>
      <c r="H924" s="43" t="str">
        <f t="shared" si="73"/>
        <v>MATARRITA ARAYA</v>
      </c>
      <c r="I924" s="43" t="str">
        <f t="shared" si="74"/>
        <v>AMANDA MATARRITA ARAYA</v>
      </c>
      <c r="J924" s="37" t="s">
        <v>774</v>
      </c>
      <c r="K924" s="37">
        <v>11</v>
      </c>
      <c r="L924" s="37">
        <v>3</v>
      </c>
      <c r="M924" s="37" t="s">
        <v>0</v>
      </c>
    </row>
    <row r="925" spans="2:13" x14ac:dyDescent="0.25">
      <c r="B925" s="48">
        <v>922</v>
      </c>
      <c r="C925" s="52">
        <v>209010949</v>
      </c>
      <c r="D925" s="43" t="str">
        <f t="shared" si="70"/>
        <v>2-0901-0949</v>
      </c>
      <c r="E925" s="52" t="s">
        <v>781</v>
      </c>
      <c r="F925" s="43" t="str">
        <f t="shared" si="71"/>
        <v>SOFIA</v>
      </c>
      <c r="G925" s="43" t="str">
        <f t="shared" si="72"/>
        <v>SOFIA</v>
      </c>
      <c r="H925" s="43" t="str">
        <f t="shared" si="73"/>
        <v>MURILLO VALENCIANO</v>
      </c>
      <c r="I925" s="43" t="str">
        <f t="shared" si="74"/>
        <v>SOFIA MURILLO VALENCIANO</v>
      </c>
      <c r="J925" s="37" t="s">
        <v>774</v>
      </c>
      <c r="K925" s="37">
        <v>11</v>
      </c>
      <c r="L925" s="37">
        <v>3</v>
      </c>
      <c r="M925" s="37" t="s">
        <v>0</v>
      </c>
    </row>
    <row r="926" spans="2:13" x14ac:dyDescent="0.25">
      <c r="B926" s="48">
        <v>923</v>
      </c>
      <c r="C926" s="52">
        <v>120240039</v>
      </c>
      <c r="D926" s="43" t="str">
        <f t="shared" si="70"/>
        <v>1-2024-0039</v>
      </c>
      <c r="E926" s="52" t="s">
        <v>782</v>
      </c>
      <c r="F926" s="43" t="str">
        <f t="shared" si="71"/>
        <v>PIOTR FABRICIO</v>
      </c>
      <c r="G926" s="43" t="str">
        <f t="shared" si="72"/>
        <v>PIOTR</v>
      </c>
      <c r="H926" s="43" t="str">
        <f t="shared" si="73"/>
        <v>ORIAS MENA</v>
      </c>
      <c r="I926" s="43" t="str">
        <f t="shared" si="74"/>
        <v>PIOTR ORIAS MENA</v>
      </c>
      <c r="J926" s="37" t="s">
        <v>774</v>
      </c>
      <c r="K926" s="37">
        <v>11</v>
      </c>
      <c r="L926" s="37">
        <v>3</v>
      </c>
      <c r="M926" s="37" t="s">
        <v>0</v>
      </c>
    </row>
    <row r="927" spans="2:13" x14ac:dyDescent="0.25">
      <c r="B927" s="46">
        <v>924</v>
      </c>
      <c r="C927" s="52">
        <v>402810547</v>
      </c>
      <c r="D927" s="43" t="str">
        <f t="shared" si="70"/>
        <v>4-0281-0547</v>
      </c>
      <c r="E927" s="52" t="s">
        <v>783</v>
      </c>
      <c r="F927" s="43" t="str">
        <f t="shared" si="71"/>
        <v>OLMAN ALONSO</v>
      </c>
      <c r="G927" s="43" t="str">
        <f t="shared" si="72"/>
        <v>OLMAN</v>
      </c>
      <c r="H927" s="43" t="str">
        <f t="shared" si="73"/>
        <v>ORTEGA MACHADO</v>
      </c>
      <c r="I927" s="43" t="str">
        <f t="shared" si="74"/>
        <v>OLMAN ORTEGA MACHADO</v>
      </c>
      <c r="J927" s="37" t="s">
        <v>774</v>
      </c>
      <c r="K927" s="37">
        <v>11</v>
      </c>
      <c r="L927" s="37">
        <v>3</v>
      </c>
      <c r="M927" s="37" t="s">
        <v>0</v>
      </c>
    </row>
    <row r="928" spans="2:13" x14ac:dyDescent="0.25">
      <c r="B928" s="48">
        <v>925</v>
      </c>
      <c r="C928" s="52">
        <v>209070851</v>
      </c>
      <c r="D928" s="43" t="str">
        <f t="shared" si="70"/>
        <v>2-0907-0851</v>
      </c>
      <c r="E928" s="52" t="s">
        <v>784</v>
      </c>
      <c r="F928" s="43" t="str">
        <f t="shared" si="71"/>
        <v>SEBASTIAN ISAAC</v>
      </c>
      <c r="G928" s="43" t="str">
        <f t="shared" si="72"/>
        <v>SEBASTIAN</v>
      </c>
      <c r="H928" s="43" t="str">
        <f t="shared" si="73"/>
        <v>PICADO CHAVARRIA</v>
      </c>
      <c r="I928" s="43" t="str">
        <f t="shared" si="74"/>
        <v>SEBASTIAN PICADO CHAVARRIA</v>
      </c>
      <c r="J928" s="37" t="s">
        <v>774</v>
      </c>
      <c r="K928" s="37">
        <v>11</v>
      </c>
      <c r="L928" s="37">
        <v>3</v>
      </c>
      <c r="M928" s="37" t="s">
        <v>0</v>
      </c>
    </row>
    <row r="929" spans="2:13" x14ac:dyDescent="0.25">
      <c r="B929" s="48">
        <v>926</v>
      </c>
      <c r="C929" s="52">
        <v>209050122</v>
      </c>
      <c r="D929" s="43" t="str">
        <f t="shared" si="70"/>
        <v>2-0905-0122</v>
      </c>
      <c r="E929" s="52" t="s">
        <v>785</v>
      </c>
      <c r="F929" s="43" t="str">
        <f t="shared" si="71"/>
        <v>DANIEL</v>
      </c>
      <c r="G929" s="43" t="str">
        <f t="shared" si="72"/>
        <v>DANIEL</v>
      </c>
      <c r="H929" s="43" t="str">
        <f t="shared" si="73"/>
        <v>RIVERA SALAZAR</v>
      </c>
      <c r="I929" s="43" t="str">
        <f t="shared" si="74"/>
        <v>DANIEL RIVERA SALAZAR</v>
      </c>
      <c r="J929" s="37" t="s">
        <v>774</v>
      </c>
      <c r="K929" s="37">
        <v>11</v>
      </c>
      <c r="L929" s="37">
        <v>3</v>
      </c>
      <c r="M929" s="37" t="s">
        <v>0</v>
      </c>
    </row>
    <row r="930" spans="2:13" x14ac:dyDescent="0.25">
      <c r="B930" s="46">
        <v>927</v>
      </c>
      <c r="C930" s="52">
        <v>209020084</v>
      </c>
      <c r="D930" s="43" t="str">
        <f t="shared" si="70"/>
        <v>2-0902-0084</v>
      </c>
      <c r="E930" s="52" t="s">
        <v>786</v>
      </c>
      <c r="F930" s="43" t="str">
        <f t="shared" si="71"/>
        <v>ERICK JOSUE</v>
      </c>
      <c r="G930" s="43" t="str">
        <f t="shared" si="72"/>
        <v>ERICK</v>
      </c>
      <c r="H930" s="43" t="str">
        <f t="shared" si="73"/>
        <v>SALAS CORTES</v>
      </c>
      <c r="I930" s="43" t="str">
        <f t="shared" si="74"/>
        <v>ERICK SALAS CORTES</v>
      </c>
      <c r="J930" s="37" t="s">
        <v>774</v>
      </c>
      <c r="K930" s="37">
        <v>11</v>
      </c>
      <c r="L930" s="37">
        <v>3</v>
      </c>
      <c r="M930" s="37" t="s">
        <v>0</v>
      </c>
    </row>
    <row r="931" spans="2:13" x14ac:dyDescent="0.25">
      <c r="B931" s="48">
        <v>928</v>
      </c>
      <c r="C931" s="52">
        <v>119890176</v>
      </c>
      <c r="D931" s="43" t="str">
        <f t="shared" si="70"/>
        <v>1-1989-0176</v>
      </c>
      <c r="E931" s="52" t="s">
        <v>787</v>
      </c>
      <c r="F931" s="43" t="str">
        <f t="shared" si="71"/>
        <v>MATIAS</v>
      </c>
      <c r="G931" s="43" t="str">
        <f t="shared" si="72"/>
        <v>MATIAS</v>
      </c>
      <c r="H931" s="43" t="str">
        <f t="shared" si="73"/>
        <v>SALAS SALAZAR</v>
      </c>
      <c r="I931" s="43" t="str">
        <f t="shared" si="74"/>
        <v>MATIAS SALAS SALAZAR</v>
      </c>
      <c r="J931" s="37" t="s">
        <v>774</v>
      </c>
      <c r="K931" s="37">
        <v>11</v>
      </c>
      <c r="L931" s="37">
        <v>3</v>
      </c>
      <c r="M931" s="37" t="s">
        <v>0</v>
      </c>
    </row>
    <row r="932" spans="2:13" x14ac:dyDescent="0.25">
      <c r="B932" s="48">
        <v>929</v>
      </c>
      <c r="C932" s="52">
        <v>402770966</v>
      </c>
      <c r="D932" s="43" t="str">
        <f t="shared" si="70"/>
        <v>4-0277-0966</v>
      </c>
      <c r="E932" s="52" t="s">
        <v>788</v>
      </c>
      <c r="F932" s="43" t="str">
        <f t="shared" si="71"/>
        <v>SEBASTIAN</v>
      </c>
      <c r="G932" s="43" t="str">
        <f t="shared" si="72"/>
        <v>SEBASTIAN</v>
      </c>
      <c r="H932" s="43" t="str">
        <f t="shared" si="73"/>
        <v>SEGURA ROJAS</v>
      </c>
      <c r="I932" s="43" t="str">
        <f t="shared" si="74"/>
        <v>SEBASTIAN SEGURA ROJAS</v>
      </c>
      <c r="J932" s="37" t="s">
        <v>774</v>
      </c>
      <c r="K932" s="37">
        <v>11</v>
      </c>
      <c r="L932" s="37">
        <v>3</v>
      </c>
      <c r="M932" s="37" t="s">
        <v>0</v>
      </c>
    </row>
    <row r="933" spans="2:13" x14ac:dyDescent="0.25">
      <c r="B933" s="46">
        <v>930</v>
      </c>
      <c r="C933" s="52">
        <v>208970295</v>
      </c>
      <c r="D933" s="43" t="str">
        <f t="shared" si="70"/>
        <v>2-0897-0295</v>
      </c>
      <c r="E933" s="52" t="s">
        <v>789</v>
      </c>
      <c r="F933" s="43" t="str">
        <f t="shared" si="71"/>
        <v>ESTEBAN LORENZO</v>
      </c>
      <c r="G933" s="43" t="str">
        <f t="shared" si="72"/>
        <v>ESTEBAN</v>
      </c>
      <c r="H933" s="43" t="str">
        <f t="shared" si="73"/>
        <v>VARGAS SALAS</v>
      </c>
      <c r="I933" s="43" t="str">
        <f t="shared" si="74"/>
        <v>ESTEBAN VARGAS SALAS</v>
      </c>
      <c r="J933" s="37" t="s">
        <v>774</v>
      </c>
      <c r="K933" s="37">
        <v>11</v>
      </c>
      <c r="L933" s="37">
        <v>3</v>
      </c>
      <c r="M933" s="37" t="s">
        <v>0</v>
      </c>
    </row>
    <row r="934" spans="2:13" x14ac:dyDescent="0.25">
      <c r="B934" s="48">
        <v>931</v>
      </c>
      <c r="C934" s="52">
        <v>209000155</v>
      </c>
      <c r="D934" s="43" t="str">
        <f t="shared" si="70"/>
        <v>2-0900-0155</v>
      </c>
      <c r="E934" s="52" t="s">
        <v>790</v>
      </c>
      <c r="F934" s="43" t="str">
        <f t="shared" si="71"/>
        <v>MELANIE ARIADNA</v>
      </c>
      <c r="G934" s="43" t="str">
        <f t="shared" si="72"/>
        <v>MELANIE</v>
      </c>
      <c r="H934" s="43" t="str">
        <f t="shared" si="73"/>
        <v>VEGA LOPEZ</v>
      </c>
      <c r="I934" s="43" t="str">
        <f t="shared" si="74"/>
        <v>MELANIE VEGA LOPEZ</v>
      </c>
      <c r="J934" s="37" t="s">
        <v>774</v>
      </c>
      <c r="K934" s="37">
        <v>11</v>
      </c>
      <c r="L934" s="37">
        <v>3</v>
      </c>
      <c r="M934" s="37" t="s">
        <v>0</v>
      </c>
    </row>
    <row r="935" spans="2:13" x14ac:dyDescent="0.25">
      <c r="B935" s="48">
        <v>932</v>
      </c>
      <c r="C935" s="52">
        <v>209080458</v>
      </c>
      <c r="D935" s="43" t="str">
        <f t="shared" si="70"/>
        <v>2-0908-0458</v>
      </c>
      <c r="E935" s="52" t="s">
        <v>791</v>
      </c>
      <c r="F935" s="43" t="str">
        <f t="shared" si="71"/>
        <v>FABIOLA</v>
      </c>
      <c r="G935" s="43" t="str">
        <f t="shared" si="72"/>
        <v>FABIOLA</v>
      </c>
      <c r="H935" s="43" t="str">
        <f t="shared" si="73"/>
        <v>VENEGAS SOLIS</v>
      </c>
      <c r="I935" s="43" t="str">
        <f t="shared" si="74"/>
        <v>FABIOLA VENEGAS SOLIS</v>
      </c>
      <c r="J935" s="37" t="s">
        <v>774</v>
      </c>
      <c r="K935" s="37">
        <v>11</v>
      </c>
      <c r="L935" s="37">
        <v>3</v>
      </c>
      <c r="M935" s="37" t="s">
        <v>0</v>
      </c>
    </row>
    <row r="936" spans="2:13" x14ac:dyDescent="0.25">
      <c r="B936" s="46">
        <v>933</v>
      </c>
      <c r="C936" s="52">
        <v>209020599</v>
      </c>
      <c r="D936" s="43" t="str">
        <f t="shared" si="70"/>
        <v>2-0902-0599</v>
      </c>
      <c r="E936" s="52" t="s">
        <v>792</v>
      </c>
      <c r="F936" s="43" t="str">
        <f t="shared" si="71"/>
        <v>DILAN JESUS</v>
      </c>
      <c r="G936" s="43" t="str">
        <f t="shared" si="72"/>
        <v>DILAN</v>
      </c>
      <c r="H936" s="43" t="str">
        <f t="shared" si="73"/>
        <v>VILLALOBOS CASTRO</v>
      </c>
      <c r="I936" s="43" t="str">
        <f t="shared" si="74"/>
        <v>DILAN VILLALOBOS CASTRO</v>
      </c>
      <c r="J936" s="37" t="s">
        <v>774</v>
      </c>
      <c r="K936" s="37">
        <v>11</v>
      </c>
      <c r="L936" s="37">
        <v>3</v>
      </c>
      <c r="M936" s="37" t="s">
        <v>0</v>
      </c>
    </row>
    <row r="937" spans="2:13" x14ac:dyDescent="0.25">
      <c r="B937" s="48">
        <v>934</v>
      </c>
      <c r="C937" s="33">
        <v>209040832</v>
      </c>
      <c r="D937" s="43" t="str">
        <f t="shared" si="70"/>
        <v>2-0904-0832</v>
      </c>
      <c r="E937" s="33" t="s">
        <v>793</v>
      </c>
      <c r="F937" s="43" t="str">
        <f t="shared" si="71"/>
        <v>BRIANA CELESTE</v>
      </c>
      <c r="G937" s="43" t="str">
        <f t="shared" si="72"/>
        <v>BRIANA</v>
      </c>
      <c r="H937" s="43" t="str">
        <f t="shared" si="73"/>
        <v>ARAYA SOLANO</v>
      </c>
      <c r="I937" s="43" t="str">
        <f t="shared" si="74"/>
        <v>BRIANA ARAYA SOLANO</v>
      </c>
      <c r="J937" s="37" t="s">
        <v>550</v>
      </c>
      <c r="K937" s="37">
        <v>11</v>
      </c>
      <c r="L937" s="37">
        <v>4</v>
      </c>
      <c r="M937" s="37" t="s">
        <v>1</v>
      </c>
    </row>
    <row r="938" spans="2:13" x14ac:dyDescent="0.25">
      <c r="B938" s="48">
        <v>935</v>
      </c>
      <c r="C938" s="46">
        <v>209020263</v>
      </c>
      <c r="D938" s="43" t="str">
        <f t="shared" si="70"/>
        <v>2-0902-0263</v>
      </c>
      <c r="E938" s="32" t="s">
        <v>794</v>
      </c>
      <c r="F938" s="43" t="str">
        <f t="shared" si="71"/>
        <v>MARIPAZ</v>
      </c>
      <c r="G938" s="43" t="str">
        <f t="shared" si="72"/>
        <v>MARIPAZ</v>
      </c>
      <c r="H938" s="43" t="str">
        <f t="shared" si="73"/>
        <v>CAMPOS MONGE</v>
      </c>
      <c r="I938" s="43" t="str">
        <f t="shared" si="74"/>
        <v>MARIPAZ CAMPOS MONGE</v>
      </c>
      <c r="J938" s="37" t="s">
        <v>550</v>
      </c>
      <c r="K938" s="37">
        <v>11</v>
      </c>
      <c r="L938" s="37">
        <v>4</v>
      </c>
      <c r="M938" s="37" t="s">
        <v>1</v>
      </c>
    </row>
    <row r="939" spans="2:13" x14ac:dyDescent="0.25">
      <c r="B939" s="46">
        <v>936</v>
      </c>
      <c r="C939" s="55">
        <v>209020262</v>
      </c>
      <c r="D939" s="43" t="str">
        <f t="shared" si="70"/>
        <v>2-0902-0262</v>
      </c>
      <c r="E939" s="55" t="s">
        <v>795</v>
      </c>
      <c r="F939" s="43" t="str">
        <f t="shared" si="71"/>
        <v>SHARON SOFIA</v>
      </c>
      <c r="G939" s="43" t="str">
        <f t="shared" si="72"/>
        <v>SHARON</v>
      </c>
      <c r="H939" s="43" t="str">
        <f t="shared" si="73"/>
        <v>CAMPOS VILLALOBOS</v>
      </c>
      <c r="I939" s="43" t="str">
        <f t="shared" si="74"/>
        <v>SHARON CAMPOS VILLALOBOS</v>
      </c>
      <c r="J939" s="37" t="s">
        <v>550</v>
      </c>
      <c r="K939" s="37">
        <v>11</v>
      </c>
      <c r="L939" s="37">
        <v>4</v>
      </c>
      <c r="M939" s="37" t="s">
        <v>1</v>
      </c>
    </row>
    <row r="940" spans="2:13" x14ac:dyDescent="0.25">
      <c r="B940" s="48">
        <v>937</v>
      </c>
      <c r="C940" s="33">
        <v>209060752</v>
      </c>
      <c r="D940" s="43" t="str">
        <f t="shared" si="70"/>
        <v>2-0906-0752</v>
      </c>
      <c r="E940" s="33" t="s">
        <v>796</v>
      </c>
      <c r="F940" s="43" t="str">
        <f t="shared" si="71"/>
        <v>MARIA PAULA</v>
      </c>
      <c r="G940" s="43" t="str">
        <f t="shared" si="72"/>
        <v>MARIA</v>
      </c>
      <c r="H940" s="43" t="str">
        <f t="shared" si="73"/>
        <v>GARCIA MORALES</v>
      </c>
      <c r="I940" s="43" t="str">
        <f t="shared" si="74"/>
        <v>MARIA GARCIA MORALES</v>
      </c>
      <c r="J940" s="37" t="s">
        <v>550</v>
      </c>
      <c r="K940" s="37">
        <v>11</v>
      </c>
      <c r="L940" s="37">
        <v>4</v>
      </c>
      <c r="M940" s="37" t="s">
        <v>1</v>
      </c>
    </row>
    <row r="941" spans="2:13" x14ac:dyDescent="0.25">
      <c r="B941" s="48">
        <v>938</v>
      </c>
      <c r="C941" s="33">
        <v>209010214</v>
      </c>
      <c r="D941" s="43" t="str">
        <f t="shared" si="70"/>
        <v>2-0901-0214</v>
      </c>
      <c r="E941" s="33" t="s">
        <v>797</v>
      </c>
      <c r="F941" s="43" t="str">
        <f t="shared" si="71"/>
        <v>JAIRO ANDREY</v>
      </c>
      <c r="G941" s="43" t="str">
        <f t="shared" si="72"/>
        <v>JAIRO</v>
      </c>
      <c r="H941" s="43" t="str">
        <f t="shared" si="73"/>
        <v>GONZALEZ RODRIGUEZ</v>
      </c>
      <c r="I941" s="43" t="str">
        <f t="shared" si="74"/>
        <v>JAIRO GONZALEZ RODRIGUEZ</v>
      </c>
      <c r="J941" s="37" t="s">
        <v>550</v>
      </c>
      <c r="K941" s="37">
        <v>11</v>
      </c>
      <c r="L941" s="37">
        <v>4</v>
      </c>
      <c r="M941" s="37" t="s">
        <v>1</v>
      </c>
    </row>
    <row r="942" spans="2:13" x14ac:dyDescent="0.25">
      <c r="B942" s="46">
        <v>939</v>
      </c>
      <c r="C942" s="39">
        <v>209040124</v>
      </c>
      <c r="D942" s="43" t="str">
        <f t="shared" si="70"/>
        <v>2-0904-0124</v>
      </c>
      <c r="E942" s="39" t="s">
        <v>798</v>
      </c>
      <c r="F942" s="43" t="str">
        <f t="shared" si="71"/>
        <v>TATIANA PAMELA</v>
      </c>
      <c r="G942" s="43" t="str">
        <f t="shared" si="72"/>
        <v>TATIANA</v>
      </c>
      <c r="H942" s="43" t="str">
        <f t="shared" si="73"/>
        <v>LARGAESPADA ARTAVIA</v>
      </c>
      <c r="I942" s="43" t="str">
        <f t="shared" si="74"/>
        <v>TATIANA LARGAESPADA ARTAVIA</v>
      </c>
      <c r="J942" s="37" t="s">
        <v>550</v>
      </c>
      <c r="K942" s="37">
        <v>11</v>
      </c>
      <c r="L942" s="37">
        <v>4</v>
      </c>
      <c r="M942" s="37" t="s">
        <v>1</v>
      </c>
    </row>
    <row r="943" spans="2:13" x14ac:dyDescent="0.25">
      <c r="B943" s="48">
        <v>940</v>
      </c>
      <c r="C943" s="39">
        <v>209030118</v>
      </c>
      <c r="D943" s="43" t="str">
        <f t="shared" si="70"/>
        <v>2-0903-0118</v>
      </c>
      <c r="E943" s="39" t="s">
        <v>799</v>
      </c>
      <c r="F943" s="43" t="str">
        <f t="shared" si="71"/>
        <v>AMANDA</v>
      </c>
      <c r="G943" s="43" t="str">
        <f t="shared" si="72"/>
        <v>AMANDA</v>
      </c>
      <c r="H943" s="43" t="str">
        <f t="shared" si="73"/>
        <v>LOBO BERMUDEZ</v>
      </c>
      <c r="I943" s="43" t="str">
        <f t="shared" si="74"/>
        <v>AMANDA LOBO BERMUDEZ</v>
      </c>
      <c r="J943" s="37" t="s">
        <v>550</v>
      </c>
      <c r="K943" s="37">
        <v>11</v>
      </c>
      <c r="L943" s="37">
        <v>4</v>
      </c>
      <c r="M943" s="37" t="s">
        <v>1</v>
      </c>
    </row>
    <row r="944" spans="2:13" x14ac:dyDescent="0.25">
      <c r="B944" s="48">
        <v>941</v>
      </c>
      <c r="C944" s="56">
        <v>209000798</v>
      </c>
      <c r="D944" s="43" t="str">
        <f t="shared" si="70"/>
        <v>2-0900-0798</v>
      </c>
      <c r="E944" s="56" t="s">
        <v>800</v>
      </c>
      <c r="F944" s="43" t="str">
        <f t="shared" si="71"/>
        <v>MANUEL DE JESUS</v>
      </c>
      <c r="G944" s="43" t="str">
        <f t="shared" si="72"/>
        <v>MANUEL</v>
      </c>
      <c r="H944" s="43" t="str">
        <f t="shared" si="73"/>
        <v>LOGO ESTRADA</v>
      </c>
      <c r="I944" s="43" t="str">
        <f t="shared" si="74"/>
        <v>MANUEL LOGO ESTRADA</v>
      </c>
      <c r="J944" s="37" t="s">
        <v>550</v>
      </c>
      <c r="K944" s="37">
        <v>11</v>
      </c>
      <c r="L944" s="37">
        <v>4</v>
      </c>
      <c r="M944" s="37" t="s">
        <v>1</v>
      </c>
    </row>
    <row r="945" spans="2:13" x14ac:dyDescent="0.25">
      <c r="B945" s="46">
        <v>942</v>
      </c>
      <c r="C945" s="41">
        <v>703400891</v>
      </c>
      <c r="D945" s="43" t="str">
        <f t="shared" si="70"/>
        <v>7-0340-0891</v>
      </c>
      <c r="E945" s="34" t="s">
        <v>801</v>
      </c>
      <c r="F945" s="43" t="str">
        <f t="shared" si="71"/>
        <v>HEISON DAVID</v>
      </c>
      <c r="G945" s="43" t="str">
        <f t="shared" si="72"/>
        <v>HEISON</v>
      </c>
      <c r="H945" s="43" t="str">
        <f t="shared" si="73"/>
        <v>MADRIGAL CORDERO</v>
      </c>
      <c r="I945" s="43" t="str">
        <f t="shared" si="74"/>
        <v>HEISON MADRIGAL CORDERO</v>
      </c>
      <c r="J945" s="37" t="s">
        <v>550</v>
      </c>
      <c r="K945" s="37">
        <v>11</v>
      </c>
      <c r="L945" s="37">
        <v>4</v>
      </c>
      <c r="M945" s="37" t="s">
        <v>1</v>
      </c>
    </row>
    <row r="946" spans="2:13" x14ac:dyDescent="0.25">
      <c r="B946" s="48">
        <v>943</v>
      </c>
      <c r="C946" s="41" t="s">
        <v>2342</v>
      </c>
      <c r="D946" s="43" t="str">
        <f t="shared" si="70"/>
        <v>2-0899-0223</v>
      </c>
      <c r="E946" s="34" t="s">
        <v>802</v>
      </c>
      <c r="F946" s="43" t="str">
        <f t="shared" si="71"/>
        <v>KRISTHEL ELENA</v>
      </c>
      <c r="G946" s="43" t="str">
        <f t="shared" si="72"/>
        <v>KRISTHEL</v>
      </c>
      <c r="H946" s="43" t="str">
        <f t="shared" si="73"/>
        <v>MOREIRA CASTILLO</v>
      </c>
      <c r="I946" s="43" t="str">
        <f t="shared" si="74"/>
        <v>KRISTHEL MOREIRA CASTILLO</v>
      </c>
      <c r="J946" s="37" t="s">
        <v>550</v>
      </c>
      <c r="K946" s="37">
        <v>11</v>
      </c>
      <c r="L946" s="37">
        <v>4</v>
      </c>
      <c r="M946" s="37" t="s">
        <v>1</v>
      </c>
    </row>
    <row r="947" spans="2:13" x14ac:dyDescent="0.25">
      <c r="B947" s="48">
        <v>944</v>
      </c>
      <c r="C947" s="46">
        <v>901450040</v>
      </c>
      <c r="D947" s="43" t="str">
        <f t="shared" si="70"/>
        <v>9-0145-0040</v>
      </c>
      <c r="E947" s="32" t="s">
        <v>803</v>
      </c>
      <c r="F947" s="43" t="str">
        <f t="shared" si="71"/>
        <v xml:space="preserve">KATERINE </v>
      </c>
      <c r="G947" s="43" t="str">
        <f t="shared" si="72"/>
        <v>KATERINE</v>
      </c>
      <c r="H947" s="43" t="str">
        <f t="shared" si="73"/>
        <v>RIVERA BENAVIDES</v>
      </c>
      <c r="I947" s="43" t="str">
        <f t="shared" si="74"/>
        <v>KATERINE RIVERA BENAVIDES</v>
      </c>
      <c r="J947" s="37" t="s">
        <v>550</v>
      </c>
      <c r="K947" s="37">
        <v>11</v>
      </c>
      <c r="L947" s="37">
        <v>4</v>
      </c>
      <c r="M947" s="37" t="s">
        <v>1</v>
      </c>
    </row>
    <row r="948" spans="2:13" x14ac:dyDescent="0.25">
      <c r="B948" s="46">
        <v>945</v>
      </c>
      <c r="C948" s="33">
        <v>209070068</v>
      </c>
      <c r="D948" s="43" t="str">
        <f t="shared" si="70"/>
        <v>2-0907-0068</v>
      </c>
      <c r="E948" s="33" t="s">
        <v>804</v>
      </c>
      <c r="F948" s="43" t="str">
        <f t="shared" si="71"/>
        <v>EMMANUEL EDUARDO</v>
      </c>
      <c r="G948" s="43" t="str">
        <f t="shared" si="72"/>
        <v>EMMANUEL</v>
      </c>
      <c r="H948" s="43" t="str">
        <f t="shared" si="73"/>
        <v>SANCHEZ ALFARO</v>
      </c>
      <c r="I948" s="43" t="str">
        <f t="shared" si="74"/>
        <v>EMMANUEL SANCHEZ ALFARO</v>
      </c>
      <c r="J948" s="37" t="s">
        <v>550</v>
      </c>
      <c r="K948" s="37">
        <v>11</v>
      </c>
      <c r="L948" s="37">
        <v>4</v>
      </c>
      <c r="M948" s="37" t="s">
        <v>1</v>
      </c>
    </row>
    <row r="949" spans="2:13" x14ac:dyDescent="0.25">
      <c r="B949" s="48">
        <v>946</v>
      </c>
      <c r="C949" s="39">
        <v>209020541</v>
      </c>
      <c r="D949" s="43" t="str">
        <f t="shared" si="70"/>
        <v>2-0902-0541</v>
      </c>
      <c r="E949" s="39" t="s">
        <v>805</v>
      </c>
      <c r="F949" s="43" t="str">
        <f t="shared" si="71"/>
        <v>ELIAS</v>
      </c>
      <c r="G949" s="43" t="str">
        <f t="shared" si="72"/>
        <v>ELIAS</v>
      </c>
      <c r="H949" s="43" t="str">
        <f t="shared" si="73"/>
        <v>SANCHEZ SOTO</v>
      </c>
      <c r="I949" s="43" t="str">
        <f t="shared" si="74"/>
        <v>ELIAS SANCHEZ SOTO</v>
      </c>
      <c r="J949" s="37" t="s">
        <v>550</v>
      </c>
      <c r="K949" s="37">
        <v>11</v>
      </c>
      <c r="L949" s="37">
        <v>4</v>
      </c>
      <c r="M949" s="37" t="s">
        <v>1</v>
      </c>
    </row>
    <row r="950" spans="2:13" x14ac:dyDescent="0.25">
      <c r="B950" s="48">
        <v>947</v>
      </c>
      <c r="C950" s="55">
        <v>209080420</v>
      </c>
      <c r="D950" s="43" t="str">
        <f t="shared" si="70"/>
        <v>2-0908-0420</v>
      </c>
      <c r="E950" s="55" t="s">
        <v>806</v>
      </c>
      <c r="F950" s="43" t="str">
        <f t="shared" si="71"/>
        <v>KHALID SAUL</v>
      </c>
      <c r="G950" s="43" t="str">
        <f t="shared" si="72"/>
        <v>KHALID</v>
      </c>
      <c r="H950" s="43" t="str">
        <f t="shared" si="73"/>
        <v>SANCHEZ ZELEDON</v>
      </c>
      <c r="I950" s="43" t="str">
        <f t="shared" si="74"/>
        <v>KHALID SANCHEZ ZELEDON</v>
      </c>
      <c r="J950" s="37" t="s">
        <v>550</v>
      </c>
      <c r="K950" s="37">
        <v>11</v>
      </c>
      <c r="L950" s="37">
        <v>4</v>
      </c>
      <c r="M950" s="37" t="s">
        <v>1</v>
      </c>
    </row>
    <row r="951" spans="2:13" x14ac:dyDescent="0.25">
      <c r="B951" s="46">
        <v>948</v>
      </c>
      <c r="C951" s="33">
        <v>120390644</v>
      </c>
      <c r="D951" s="43" t="str">
        <f t="shared" si="70"/>
        <v>1-2039-0644</v>
      </c>
      <c r="E951" s="33" t="s">
        <v>808</v>
      </c>
      <c r="F951" s="43" t="str">
        <f t="shared" si="71"/>
        <v>CALEB SANTIAGO</v>
      </c>
      <c r="G951" s="43" t="str">
        <f t="shared" si="72"/>
        <v>CALEB</v>
      </c>
      <c r="H951" s="43" t="str">
        <f t="shared" si="73"/>
        <v>AGUILAR GONZALEZ</v>
      </c>
      <c r="I951" s="43" t="str">
        <f t="shared" si="74"/>
        <v>CALEB AGUILAR GONZALEZ</v>
      </c>
      <c r="J951" s="37" t="s">
        <v>582</v>
      </c>
      <c r="K951" s="37">
        <v>11</v>
      </c>
      <c r="L951" s="37">
        <v>4</v>
      </c>
      <c r="M951" s="37" t="s">
        <v>0</v>
      </c>
    </row>
    <row r="952" spans="2:13" x14ac:dyDescent="0.25">
      <c r="B952" s="48">
        <v>949</v>
      </c>
      <c r="C952" s="52">
        <v>209040513</v>
      </c>
      <c r="D952" s="43" t="str">
        <f t="shared" si="70"/>
        <v>2-0904-0513</v>
      </c>
      <c r="E952" s="52" t="s">
        <v>809</v>
      </c>
      <c r="F952" s="43" t="str">
        <f t="shared" si="71"/>
        <v>KEILER ALBERTO</v>
      </c>
      <c r="G952" s="43" t="str">
        <f t="shared" si="72"/>
        <v>KEILER</v>
      </c>
      <c r="H952" s="43" t="str">
        <f t="shared" si="73"/>
        <v>AMADOR JIMENEZ</v>
      </c>
      <c r="I952" s="43" t="str">
        <f t="shared" si="74"/>
        <v>KEILER AMADOR JIMENEZ</v>
      </c>
      <c r="J952" s="37" t="s">
        <v>582</v>
      </c>
      <c r="K952" s="37">
        <v>11</v>
      </c>
      <c r="L952" s="37">
        <v>4</v>
      </c>
      <c r="M952" s="37" t="s">
        <v>0</v>
      </c>
    </row>
    <row r="953" spans="2:13" x14ac:dyDescent="0.25">
      <c r="B953" s="48">
        <v>950</v>
      </c>
      <c r="C953" s="52">
        <v>209060756</v>
      </c>
      <c r="D953" s="43" t="str">
        <f t="shared" si="70"/>
        <v>2-0906-0756</v>
      </c>
      <c r="E953" s="52" t="s">
        <v>810</v>
      </c>
      <c r="F953" s="43" t="str">
        <f t="shared" si="71"/>
        <v>DYLAN ANDRES</v>
      </c>
      <c r="G953" s="43" t="str">
        <f t="shared" si="72"/>
        <v>DYLAN</v>
      </c>
      <c r="H953" s="43" t="str">
        <f t="shared" si="73"/>
        <v>BLANCO ALFARO</v>
      </c>
      <c r="I953" s="43" t="str">
        <f t="shared" si="74"/>
        <v>DYLAN BLANCO ALFARO</v>
      </c>
      <c r="J953" s="37" t="s">
        <v>582</v>
      </c>
      <c r="K953" s="37">
        <v>11</v>
      </c>
      <c r="L953" s="37">
        <v>4</v>
      </c>
      <c r="M953" s="37" t="s">
        <v>0</v>
      </c>
    </row>
    <row r="954" spans="2:13" x14ac:dyDescent="0.25">
      <c r="B954" s="46">
        <v>951</v>
      </c>
      <c r="C954" s="53">
        <v>402730129</v>
      </c>
      <c r="D954" s="43" t="str">
        <f t="shared" si="70"/>
        <v>4-0273-0129</v>
      </c>
      <c r="E954" s="53" t="s">
        <v>2343</v>
      </c>
      <c r="F954" s="43" t="str">
        <f t="shared" si="71"/>
        <v>LUIS FELIPE (Electrónica)</v>
      </c>
      <c r="G954" s="43" t="str">
        <f t="shared" si="72"/>
        <v>LUIS</v>
      </c>
      <c r="H954" s="43" t="str">
        <f t="shared" si="73"/>
        <v>CORTES ARIAS</v>
      </c>
      <c r="I954" s="43" t="str">
        <f t="shared" si="74"/>
        <v>LUIS CORTES ARIAS</v>
      </c>
      <c r="J954" s="37" t="s">
        <v>582</v>
      </c>
      <c r="K954" s="37">
        <v>11</v>
      </c>
      <c r="L954" s="37">
        <v>4</v>
      </c>
      <c r="M954" s="37" t="s">
        <v>0</v>
      </c>
    </row>
    <row r="955" spans="2:13" x14ac:dyDescent="0.25">
      <c r="B955" s="48">
        <v>952</v>
      </c>
      <c r="C955" s="52">
        <v>120230943</v>
      </c>
      <c r="D955" s="43" t="str">
        <f t="shared" si="70"/>
        <v>1-2023-0943</v>
      </c>
      <c r="E955" s="52" t="s">
        <v>811</v>
      </c>
      <c r="F955" s="43" t="str">
        <f t="shared" si="71"/>
        <v>CARLOS ANDRES</v>
      </c>
      <c r="G955" s="43" t="str">
        <f t="shared" si="72"/>
        <v>CARLOS</v>
      </c>
      <c r="H955" s="43" t="str">
        <f t="shared" si="73"/>
        <v>DUARTE JIRON</v>
      </c>
      <c r="I955" s="43" t="str">
        <f t="shared" si="74"/>
        <v>CARLOS DUARTE JIRON</v>
      </c>
      <c r="J955" s="37" t="s">
        <v>582</v>
      </c>
      <c r="K955" s="37">
        <v>11</v>
      </c>
      <c r="L955" s="37">
        <v>4</v>
      </c>
      <c r="M955" s="37" t="s">
        <v>0</v>
      </c>
    </row>
    <row r="956" spans="2:13" x14ac:dyDescent="0.25">
      <c r="B956" s="48">
        <v>953</v>
      </c>
      <c r="C956" s="33">
        <v>402780443</v>
      </c>
      <c r="D956" s="43" t="str">
        <f t="shared" si="70"/>
        <v>4-0278-0443</v>
      </c>
      <c r="E956" s="33" t="s">
        <v>812</v>
      </c>
      <c r="F956" s="43" t="str">
        <f t="shared" si="71"/>
        <v>JUSTIN KALED</v>
      </c>
      <c r="G956" s="43" t="str">
        <f t="shared" si="72"/>
        <v>JUSTIN</v>
      </c>
      <c r="H956" s="43" t="str">
        <f t="shared" si="73"/>
        <v>GONZALEZ RODRIGUEZ</v>
      </c>
      <c r="I956" s="43" t="str">
        <f t="shared" si="74"/>
        <v>JUSTIN GONZALEZ RODRIGUEZ</v>
      </c>
      <c r="J956" s="37" t="s">
        <v>582</v>
      </c>
      <c r="K956" s="37">
        <v>11</v>
      </c>
      <c r="L956" s="37">
        <v>4</v>
      </c>
      <c r="M956" s="37" t="s">
        <v>0</v>
      </c>
    </row>
    <row r="957" spans="2:13" x14ac:dyDescent="0.25">
      <c r="B957" s="46">
        <v>954</v>
      </c>
      <c r="C957" s="39">
        <v>402770141</v>
      </c>
      <c r="D957" s="43" t="str">
        <f t="shared" si="70"/>
        <v>4-0277-0141</v>
      </c>
      <c r="E957" s="39" t="s">
        <v>813</v>
      </c>
      <c r="F957" s="43" t="str">
        <f t="shared" si="71"/>
        <v xml:space="preserve">ARIANA SOFIA </v>
      </c>
      <c r="G957" s="43" t="str">
        <f t="shared" si="72"/>
        <v>ARIANA</v>
      </c>
      <c r="H957" s="43" t="str">
        <f t="shared" si="73"/>
        <v>JARA RODRIGUEZ</v>
      </c>
      <c r="I957" s="43" t="str">
        <f t="shared" si="74"/>
        <v>ARIANA JARA RODRIGUEZ</v>
      </c>
      <c r="J957" s="37" t="s">
        <v>582</v>
      </c>
      <c r="K957" s="37">
        <v>11</v>
      </c>
      <c r="L957" s="37">
        <v>4</v>
      </c>
      <c r="M957" s="37" t="s">
        <v>0</v>
      </c>
    </row>
    <row r="958" spans="2:13" x14ac:dyDescent="0.25">
      <c r="B958" s="48">
        <v>955</v>
      </c>
      <c r="C958" s="33">
        <v>209020597</v>
      </c>
      <c r="D958" s="43" t="str">
        <f t="shared" si="70"/>
        <v>2-0902-0597</v>
      </c>
      <c r="E958" s="33" t="s">
        <v>814</v>
      </c>
      <c r="F958" s="43" t="str">
        <f t="shared" si="71"/>
        <v>KAREN DANIELA</v>
      </c>
      <c r="G958" s="43" t="str">
        <f t="shared" si="72"/>
        <v>KAREN</v>
      </c>
      <c r="H958" s="43" t="str">
        <f t="shared" si="73"/>
        <v>JIMENEZ PANIAGUA</v>
      </c>
      <c r="I958" s="43" t="str">
        <f t="shared" si="74"/>
        <v>KAREN JIMENEZ PANIAGUA</v>
      </c>
      <c r="J958" s="37" t="s">
        <v>582</v>
      </c>
      <c r="K958" s="37">
        <v>11</v>
      </c>
      <c r="L958" s="37">
        <v>4</v>
      </c>
      <c r="M958" s="37" t="s">
        <v>0</v>
      </c>
    </row>
    <row r="959" spans="2:13" x14ac:dyDescent="0.25">
      <c r="B959" s="48">
        <v>956</v>
      </c>
      <c r="C959" s="54">
        <v>120140654</v>
      </c>
      <c r="D959" s="43" t="str">
        <f t="shared" si="70"/>
        <v>1-2014-0654</v>
      </c>
      <c r="E959" s="54" t="s">
        <v>815</v>
      </c>
      <c r="F959" s="43" t="str">
        <f t="shared" si="71"/>
        <v>SEBASTIAN</v>
      </c>
      <c r="G959" s="43" t="str">
        <f t="shared" si="72"/>
        <v>SEBASTIAN</v>
      </c>
      <c r="H959" s="43" t="str">
        <f t="shared" si="73"/>
        <v>MURILLO BASTOS</v>
      </c>
      <c r="I959" s="43" t="str">
        <f t="shared" si="74"/>
        <v>SEBASTIAN MURILLO BASTOS</v>
      </c>
      <c r="J959" s="37" t="s">
        <v>582</v>
      </c>
      <c r="K959" s="37">
        <v>11</v>
      </c>
      <c r="L959" s="37">
        <v>4</v>
      </c>
      <c r="M959" s="37" t="s">
        <v>0</v>
      </c>
    </row>
    <row r="960" spans="2:13" x14ac:dyDescent="0.25">
      <c r="B960" s="46">
        <v>957</v>
      </c>
      <c r="C960" s="52">
        <v>605130413</v>
      </c>
      <c r="D960" s="43" t="str">
        <f t="shared" si="70"/>
        <v>6-0513-0413</v>
      </c>
      <c r="E960" s="52" t="s">
        <v>816</v>
      </c>
      <c r="F960" s="43" t="str">
        <f t="shared" si="71"/>
        <v>JOSTIN JOSUE</v>
      </c>
      <c r="G960" s="43" t="str">
        <f t="shared" si="72"/>
        <v>JOSTIN</v>
      </c>
      <c r="H960" s="43" t="str">
        <f t="shared" si="73"/>
        <v>OPORTA LINARTE</v>
      </c>
      <c r="I960" s="43" t="str">
        <f t="shared" si="74"/>
        <v>JOSTIN OPORTA LINARTE</v>
      </c>
      <c r="J960" s="37" t="s">
        <v>582</v>
      </c>
      <c r="K960" s="37">
        <v>11</v>
      </c>
      <c r="L960" s="37">
        <v>4</v>
      </c>
      <c r="M960" s="37" t="s">
        <v>0</v>
      </c>
    </row>
    <row r="961" spans="2:13" x14ac:dyDescent="0.25">
      <c r="B961" s="48">
        <v>958</v>
      </c>
      <c r="C961" s="33">
        <v>208970199</v>
      </c>
      <c r="D961" s="43" t="str">
        <f t="shared" si="70"/>
        <v>2-0897-0199</v>
      </c>
      <c r="E961" s="33" t="s">
        <v>818</v>
      </c>
      <c r="F961" s="43" t="str">
        <f t="shared" si="71"/>
        <v>SAMUEL DANIEL</v>
      </c>
      <c r="G961" s="43" t="str">
        <f t="shared" si="72"/>
        <v>SAMUEL</v>
      </c>
      <c r="H961" s="43" t="str">
        <f t="shared" si="73"/>
        <v>SANCHEZ ARIAS</v>
      </c>
      <c r="I961" s="43" t="str">
        <f t="shared" si="74"/>
        <v>SAMUEL SANCHEZ ARIAS</v>
      </c>
      <c r="J961" s="37" t="s">
        <v>582</v>
      </c>
      <c r="K961" s="37">
        <v>11</v>
      </c>
      <c r="L961" s="37">
        <v>4</v>
      </c>
      <c r="M961" s="37" t="s">
        <v>0</v>
      </c>
    </row>
    <row r="962" spans="2:13" x14ac:dyDescent="0.25">
      <c r="B962" s="48">
        <v>959</v>
      </c>
      <c r="C962" s="33">
        <v>120230764</v>
      </c>
      <c r="D962" s="43" t="str">
        <f t="shared" si="70"/>
        <v>1-2023-0764</v>
      </c>
      <c r="E962" s="33" t="s">
        <v>819</v>
      </c>
      <c r="F962" s="43" t="str">
        <f t="shared" si="71"/>
        <v>JOSHUA</v>
      </c>
      <c r="G962" s="43" t="str">
        <f t="shared" si="72"/>
        <v>JOSHUA</v>
      </c>
      <c r="H962" s="43" t="str">
        <f t="shared" si="73"/>
        <v>SANCHEZ RODRIGUEZ</v>
      </c>
      <c r="I962" s="43" t="str">
        <f t="shared" si="74"/>
        <v>JOSHUA SANCHEZ RODRIGUEZ</v>
      </c>
      <c r="J962" s="37" t="s">
        <v>582</v>
      </c>
      <c r="K962" s="37">
        <v>11</v>
      </c>
      <c r="L962" s="37">
        <v>4</v>
      </c>
      <c r="M962" s="37" t="s">
        <v>0</v>
      </c>
    </row>
    <row r="963" spans="2:13" x14ac:dyDescent="0.25">
      <c r="B963" s="46">
        <v>960</v>
      </c>
      <c r="C963" s="53">
        <v>120320070</v>
      </c>
      <c r="D963" s="43" t="str">
        <f t="shared" si="70"/>
        <v>1-2032-0070</v>
      </c>
      <c r="E963" s="53" t="s">
        <v>820</v>
      </c>
      <c r="F963" s="43" t="str">
        <f t="shared" si="71"/>
        <v>DIEGO JOSUE</v>
      </c>
      <c r="G963" s="43" t="str">
        <f t="shared" si="72"/>
        <v>DIEGO</v>
      </c>
      <c r="H963" s="43" t="str">
        <f t="shared" si="73"/>
        <v>SOLORZANO MORA</v>
      </c>
      <c r="I963" s="43" t="str">
        <f t="shared" si="74"/>
        <v>DIEGO SOLORZANO MORA</v>
      </c>
      <c r="J963" s="37" t="s">
        <v>582</v>
      </c>
      <c r="K963" s="37">
        <v>11</v>
      </c>
      <c r="L963" s="37">
        <v>4</v>
      </c>
      <c r="M963" s="37" t="s">
        <v>0</v>
      </c>
    </row>
    <row r="964" spans="2:13" x14ac:dyDescent="0.25">
      <c r="B964" s="48">
        <v>961</v>
      </c>
      <c r="C964" s="33">
        <v>120280458</v>
      </c>
      <c r="D964" s="43" t="str">
        <f t="shared" ref="D964:D1027" si="75">IF(LEN(C964)=9,_xlfn.CONCAT(MID(C964,1,1),"-",MID(C964,2,4),"-",MID(C964,6,4)),TEXT(C964,"000000000000"))</f>
        <v>1-2028-0458</v>
      </c>
      <c r="E964" s="33" t="s">
        <v>821</v>
      </c>
      <c r="F964" s="43" t="str">
        <f t="shared" si="71"/>
        <v>YULIANNA MARIELA</v>
      </c>
      <c r="G964" s="43" t="str">
        <f t="shared" si="72"/>
        <v>YULIANNA</v>
      </c>
      <c r="H964" s="43" t="str">
        <f t="shared" si="73"/>
        <v>VILLALOBOS PEREZ</v>
      </c>
      <c r="I964" s="43" t="str">
        <f t="shared" si="74"/>
        <v>YULIANNA VILLALOBOS PEREZ</v>
      </c>
      <c r="J964" s="37" t="s">
        <v>582</v>
      </c>
      <c r="K964" s="37">
        <v>11</v>
      </c>
      <c r="L964" s="37">
        <v>4</v>
      </c>
      <c r="M964" s="37" t="s">
        <v>0</v>
      </c>
    </row>
    <row r="965" spans="2:13" x14ac:dyDescent="0.25">
      <c r="B965" s="48">
        <v>962</v>
      </c>
      <c r="C965" s="57">
        <v>209020539</v>
      </c>
      <c r="D965" s="43" t="str">
        <f t="shared" si="75"/>
        <v>2-0902-0539</v>
      </c>
      <c r="E965" s="55" t="s">
        <v>822</v>
      </c>
      <c r="F965" s="43" t="str">
        <f t="shared" ref="F965:F1028" si="76">RIGHT(E965,LEN(E965)-SEARCH(" ",E965,SEARCH(" ",E965)+1))</f>
        <v>ZAIT</v>
      </c>
      <c r="G965" s="43" t="str">
        <f t="shared" ref="G965:G1028" si="77">IFERROR(LEFT(F965,SEARCH(" ",F965,1)-1),F965)</f>
        <v>ZAIT</v>
      </c>
      <c r="H965" s="43" t="str">
        <f t="shared" ref="H965:H1028" si="78">LEFT(E965,SEARCH(" ",E965,SEARCH(" ",E965)+1)-1)</f>
        <v>ARGUEDAS ARGUEDAS</v>
      </c>
      <c r="I965" s="43" t="str">
        <f t="shared" ref="I965:I1028" si="79">_xlfn.CONCAT(G965," ",H965)</f>
        <v>ZAIT ARGUEDAS ARGUEDAS</v>
      </c>
      <c r="J965" s="37" t="s">
        <v>550</v>
      </c>
      <c r="K965" s="37">
        <v>11</v>
      </c>
      <c r="L965" s="37">
        <v>5</v>
      </c>
      <c r="M965" s="37" t="s">
        <v>1</v>
      </c>
    </row>
    <row r="966" spans="2:13" x14ac:dyDescent="0.25">
      <c r="B966" s="46">
        <v>963</v>
      </c>
      <c r="C966" s="57">
        <v>209060789</v>
      </c>
      <c r="D966" s="43" t="str">
        <f t="shared" si="75"/>
        <v>2-0906-0789</v>
      </c>
      <c r="E966" s="39" t="s">
        <v>823</v>
      </c>
      <c r="F966" s="43" t="str">
        <f t="shared" si="76"/>
        <v>HILARY</v>
      </c>
      <c r="G966" s="43" t="str">
        <f t="shared" si="77"/>
        <v>HILARY</v>
      </c>
      <c r="H966" s="43" t="str">
        <f t="shared" si="78"/>
        <v>BERROCAL SANCHEZ</v>
      </c>
      <c r="I966" s="43" t="str">
        <f t="shared" si="79"/>
        <v>HILARY BERROCAL SANCHEZ</v>
      </c>
      <c r="J966" s="37" t="s">
        <v>550</v>
      </c>
      <c r="K966" s="37">
        <v>11</v>
      </c>
      <c r="L966" s="37">
        <v>5</v>
      </c>
      <c r="M966" s="37" t="s">
        <v>1</v>
      </c>
    </row>
    <row r="967" spans="2:13" x14ac:dyDescent="0.25">
      <c r="B967" s="48">
        <v>964</v>
      </c>
      <c r="C967" s="41">
        <v>208860813</v>
      </c>
      <c r="D967" s="43" t="str">
        <f t="shared" si="75"/>
        <v>2-0886-0813</v>
      </c>
      <c r="E967" s="34" t="s">
        <v>824</v>
      </c>
      <c r="F967" s="43" t="str">
        <f t="shared" si="76"/>
        <v>YARLANY PATRICIA</v>
      </c>
      <c r="G967" s="43" t="str">
        <f t="shared" si="77"/>
        <v>YARLANY</v>
      </c>
      <c r="H967" s="43" t="str">
        <f t="shared" si="78"/>
        <v>CAMBRONERO ARIAS</v>
      </c>
      <c r="I967" s="43" t="str">
        <f t="shared" si="79"/>
        <v>YARLANY CAMBRONERO ARIAS</v>
      </c>
      <c r="J967" s="37" t="s">
        <v>550</v>
      </c>
      <c r="K967" s="37">
        <v>11</v>
      </c>
      <c r="L967" s="37">
        <v>5</v>
      </c>
      <c r="M967" s="37" t="s">
        <v>1</v>
      </c>
    </row>
    <row r="968" spans="2:13" x14ac:dyDescent="0.25">
      <c r="B968" s="48">
        <v>965</v>
      </c>
      <c r="C968" s="33">
        <v>120120549</v>
      </c>
      <c r="D968" s="43" t="str">
        <f t="shared" si="75"/>
        <v>1-2012-0549</v>
      </c>
      <c r="E968" s="33" t="s">
        <v>825</v>
      </c>
      <c r="F968" s="43" t="str">
        <f t="shared" si="76"/>
        <v>GERSON ANTONIO</v>
      </c>
      <c r="G968" s="43" t="str">
        <f t="shared" si="77"/>
        <v>GERSON</v>
      </c>
      <c r="H968" s="43" t="str">
        <f t="shared" si="78"/>
        <v>CARMONA VARGAS</v>
      </c>
      <c r="I968" s="43" t="str">
        <f t="shared" si="79"/>
        <v>GERSON CARMONA VARGAS</v>
      </c>
      <c r="J968" s="37" t="s">
        <v>550</v>
      </c>
      <c r="K968" s="37">
        <v>11</v>
      </c>
      <c r="L968" s="37">
        <v>5</v>
      </c>
      <c r="M968" s="37" t="s">
        <v>1</v>
      </c>
    </row>
    <row r="969" spans="2:13" x14ac:dyDescent="0.25">
      <c r="B969" s="46">
        <v>966</v>
      </c>
      <c r="C969" s="39">
        <v>209110753</v>
      </c>
      <c r="D969" s="43" t="str">
        <f t="shared" si="75"/>
        <v>2-0911-0753</v>
      </c>
      <c r="E969" s="39" t="s">
        <v>826</v>
      </c>
      <c r="F969" s="43" t="str">
        <f t="shared" si="76"/>
        <v>HELENA</v>
      </c>
      <c r="G969" s="43" t="str">
        <f t="shared" si="77"/>
        <v>HELENA</v>
      </c>
      <c r="H969" s="43" t="str">
        <f t="shared" si="78"/>
        <v>FALLAS VARGAS</v>
      </c>
      <c r="I969" s="43" t="str">
        <f t="shared" si="79"/>
        <v>HELENA FALLAS VARGAS</v>
      </c>
      <c r="J969" s="37" t="s">
        <v>550</v>
      </c>
      <c r="K969" s="37">
        <v>11</v>
      </c>
      <c r="L969" s="37">
        <v>5</v>
      </c>
      <c r="M969" s="37" t="s">
        <v>1</v>
      </c>
    </row>
    <row r="970" spans="2:13" x14ac:dyDescent="0.25">
      <c r="B970" s="48">
        <v>967</v>
      </c>
      <c r="C970" s="55">
        <v>209020749</v>
      </c>
      <c r="D970" s="43" t="str">
        <f t="shared" si="75"/>
        <v>2-0902-0749</v>
      </c>
      <c r="E970" s="55" t="s">
        <v>827</v>
      </c>
      <c r="F970" s="43" t="str">
        <f t="shared" si="76"/>
        <v>STEPHANIA</v>
      </c>
      <c r="G970" s="43" t="str">
        <f t="shared" si="77"/>
        <v>STEPHANIA</v>
      </c>
      <c r="H970" s="43" t="str">
        <f t="shared" si="78"/>
        <v>FUENTES GONZALEZ</v>
      </c>
      <c r="I970" s="43" t="str">
        <f t="shared" si="79"/>
        <v>STEPHANIA FUENTES GONZALEZ</v>
      </c>
      <c r="J970" s="37" t="s">
        <v>550</v>
      </c>
      <c r="K970" s="37">
        <v>11</v>
      </c>
      <c r="L970" s="37">
        <v>5</v>
      </c>
      <c r="M970" s="37" t="s">
        <v>1</v>
      </c>
    </row>
    <row r="971" spans="2:13" x14ac:dyDescent="0.25">
      <c r="B971" s="48">
        <v>968</v>
      </c>
      <c r="C971" s="33">
        <v>209070738</v>
      </c>
      <c r="D971" s="43" t="str">
        <f t="shared" si="75"/>
        <v>2-0907-0738</v>
      </c>
      <c r="E971" s="33" t="s">
        <v>828</v>
      </c>
      <c r="F971" s="43" t="str">
        <f t="shared" si="76"/>
        <v>STEVEN EMANUEL</v>
      </c>
      <c r="G971" s="43" t="str">
        <f t="shared" si="77"/>
        <v>STEVEN</v>
      </c>
      <c r="H971" s="43" t="str">
        <f t="shared" si="78"/>
        <v>HUERTA GARCIA</v>
      </c>
      <c r="I971" s="43" t="str">
        <f t="shared" si="79"/>
        <v>STEVEN HUERTA GARCIA</v>
      </c>
      <c r="J971" s="37" t="s">
        <v>550</v>
      </c>
      <c r="K971" s="37">
        <v>11</v>
      </c>
      <c r="L971" s="37">
        <v>5</v>
      </c>
      <c r="M971" s="37" t="s">
        <v>1</v>
      </c>
    </row>
    <row r="972" spans="2:13" x14ac:dyDescent="0.25">
      <c r="B972" s="46">
        <v>969</v>
      </c>
      <c r="C972" s="57">
        <v>208940445</v>
      </c>
      <c r="D972" s="43" t="str">
        <f t="shared" si="75"/>
        <v>2-0894-0445</v>
      </c>
      <c r="E972" s="33" t="s">
        <v>829</v>
      </c>
      <c r="F972" s="43" t="str">
        <f t="shared" si="76"/>
        <v>DANIEL JOSUE</v>
      </c>
      <c r="G972" s="43" t="str">
        <f t="shared" si="77"/>
        <v>DANIEL</v>
      </c>
      <c r="H972" s="43" t="str">
        <f t="shared" si="78"/>
        <v>LOAIZA MEJIAS</v>
      </c>
      <c r="I972" s="43" t="str">
        <f t="shared" si="79"/>
        <v>DANIEL LOAIZA MEJIAS</v>
      </c>
      <c r="J972" s="37" t="s">
        <v>550</v>
      </c>
      <c r="K972" s="37">
        <v>11</v>
      </c>
      <c r="L972" s="37">
        <v>5</v>
      </c>
      <c r="M972" s="37" t="s">
        <v>1</v>
      </c>
    </row>
    <row r="973" spans="2:13" x14ac:dyDescent="0.25">
      <c r="B973" s="48">
        <v>970</v>
      </c>
      <c r="C973" s="33">
        <v>208980801</v>
      </c>
      <c r="D973" s="43" t="str">
        <f t="shared" si="75"/>
        <v>2-0898-0801</v>
      </c>
      <c r="E973" s="33" t="s">
        <v>830</v>
      </c>
      <c r="F973" s="43" t="str">
        <f t="shared" si="76"/>
        <v>KEANNY</v>
      </c>
      <c r="G973" s="43" t="str">
        <f t="shared" si="77"/>
        <v>KEANNY</v>
      </c>
      <c r="H973" s="43" t="str">
        <f t="shared" si="78"/>
        <v>LOPEZ RODRIGUEZ</v>
      </c>
      <c r="I973" s="43" t="str">
        <f t="shared" si="79"/>
        <v>KEANNY LOPEZ RODRIGUEZ</v>
      </c>
      <c r="J973" s="37" t="s">
        <v>550</v>
      </c>
      <c r="K973" s="37">
        <v>11</v>
      </c>
      <c r="L973" s="37">
        <v>5</v>
      </c>
      <c r="M973" s="37" t="s">
        <v>1</v>
      </c>
    </row>
    <row r="974" spans="2:13" x14ac:dyDescent="0.25">
      <c r="B974" s="48">
        <v>971</v>
      </c>
      <c r="C974" s="33">
        <v>119930550</v>
      </c>
      <c r="D974" s="43" t="str">
        <f t="shared" si="75"/>
        <v>1-1993-0550</v>
      </c>
      <c r="E974" s="33" t="s">
        <v>831</v>
      </c>
      <c r="F974" s="43" t="str">
        <f t="shared" si="76"/>
        <v>ANGELA JEANNETTE</v>
      </c>
      <c r="G974" s="43" t="str">
        <f t="shared" si="77"/>
        <v>ANGELA</v>
      </c>
      <c r="H974" s="43" t="str">
        <f t="shared" si="78"/>
        <v>MADRIGAL CORDERO</v>
      </c>
      <c r="I974" s="43" t="str">
        <f t="shared" si="79"/>
        <v>ANGELA MADRIGAL CORDERO</v>
      </c>
      <c r="J974" s="37" t="s">
        <v>550</v>
      </c>
      <c r="K974" s="37">
        <v>11</v>
      </c>
      <c r="L974" s="37">
        <v>5</v>
      </c>
      <c r="M974" s="37" t="s">
        <v>1</v>
      </c>
    </row>
    <row r="975" spans="2:13" x14ac:dyDescent="0.25">
      <c r="B975" s="46">
        <v>972</v>
      </c>
      <c r="C975" s="57">
        <v>402780125</v>
      </c>
      <c r="D975" s="43" t="str">
        <f t="shared" si="75"/>
        <v>4-0278-0125</v>
      </c>
      <c r="E975" s="39" t="s">
        <v>832</v>
      </c>
      <c r="F975" s="43" t="str">
        <f t="shared" si="76"/>
        <v>YOUSSEF ALCIDES</v>
      </c>
      <c r="G975" s="43" t="str">
        <f t="shared" si="77"/>
        <v>YOUSSEF</v>
      </c>
      <c r="H975" s="43" t="str">
        <f t="shared" si="78"/>
        <v>OVIEDO ALFARO</v>
      </c>
      <c r="I975" s="43" t="str">
        <f t="shared" si="79"/>
        <v>YOUSSEF OVIEDO ALFARO</v>
      </c>
      <c r="J975" s="37" t="s">
        <v>550</v>
      </c>
      <c r="K975" s="37">
        <v>11</v>
      </c>
      <c r="L975" s="37">
        <v>5</v>
      </c>
      <c r="M975" s="37" t="s">
        <v>1</v>
      </c>
    </row>
    <row r="976" spans="2:13" x14ac:dyDescent="0.25">
      <c r="B976" s="48">
        <v>973</v>
      </c>
      <c r="C976" s="39">
        <v>120200025</v>
      </c>
      <c r="D976" s="43" t="str">
        <f t="shared" si="75"/>
        <v>1-2020-0025</v>
      </c>
      <c r="E976" s="39" t="s">
        <v>833</v>
      </c>
      <c r="F976" s="43" t="str">
        <f t="shared" si="76"/>
        <v>MELANY DE LOS ANGELES</v>
      </c>
      <c r="G976" s="43" t="str">
        <f t="shared" si="77"/>
        <v>MELANY</v>
      </c>
      <c r="H976" s="43" t="str">
        <f t="shared" si="78"/>
        <v>ROJAS VALVERDE</v>
      </c>
      <c r="I976" s="43" t="str">
        <f t="shared" si="79"/>
        <v>MELANY ROJAS VALVERDE</v>
      </c>
      <c r="J976" s="37" t="s">
        <v>550</v>
      </c>
      <c r="K976" s="37">
        <v>11</v>
      </c>
      <c r="L976" s="37">
        <v>5</v>
      </c>
      <c r="M976" s="37" t="s">
        <v>1</v>
      </c>
    </row>
    <row r="977" spans="2:13" x14ac:dyDescent="0.25">
      <c r="B977" s="48">
        <v>974</v>
      </c>
      <c r="C977" s="33">
        <v>209080285</v>
      </c>
      <c r="D977" s="43" t="str">
        <f t="shared" si="75"/>
        <v>2-0908-0285</v>
      </c>
      <c r="E977" s="33" t="s">
        <v>834</v>
      </c>
      <c r="F977" s="43" t="str">
        <f t="shared" si="76"/>
        <v>AMY ISABEL</v>
      </c>
      <c r="G977" s="43" t="str">
        <f t="shared" si="77"/>
        <v>AMY</v>
      </c>
      <c r="H977" s="43" t="str">
        <f t="shared" si="78"/>
        <v>ROMERO ROJAS</v>
      </c>
      <c r="I977" s="43" t="str">
        <f t="shared" si="79"/>
        <v>AMY ROMERO ROJAS</v>
      </c>
      <c r="J977" s="37" t="s">
        <v>550</v>
      </c>
      <c r="K977" s="37">
        <v>11</v>
      </c>
      <c r="L977" s="37">
        <v>5</v>
      </c>
      <c r="M977" s="37" t="s">
        <v>1</v>
      </c>
    </row>
    <row r="978" spans="2:13" x14ac:dyDescent="0.25">
      <c r="B978" s="46">
        <v>975</v>
      </c>
      <c r="C978" s="39">
        <v>209020596</v>
      </c>
      <c r="D978" s="43" t="str">
        <f t="shared" si="75"/>
        <v>2-0902-0596</v>
      </c>
      <c r="E978" s="39" t="s">
        <v>835</v>
      </c>
      <c r="F978" s="43" t="str">
        <f t="shared" si="76"/>
        <v>ANYELINE</v>
      </c>
      <c r="G978" s="43" t="str">
        <f t="shared" si="77"/>
        <v>ANYELINE</v>
      </c>
      <c r="H978" s="43" t="str">
        <f t="shared" si="78"/>
        <v>SOTO CASTILLO</v>
      </c>
      <c r="I978" s="43" t="str">
        <f t="shared" si="79"/>
        <v>ANYELINE SOTO CASTILLO</v>
      </c>
      <c r="J978" s="37" t="s">
        <v>550</v>
      </c>
      <c r="K978" s="37">
        <v>11</v>
      </c>
      <c r="L978" s="37">
        <v>5</v>
      </c>
      <c r="M978" s="37" t="s">
        <v>1</v>
      </c>
    </row>
    <row r="979" spans="2:13" x14ac:dyDescent="0.25">
      <c r="B979" s="48">
        <v>976</v>
      </c>
      <c r="C979" s="33">
        <v>208980014</v>
      </c>
      <c r="D979" s="43" t="str">
        <f t="shared" si="75"/>
        <v>2-0898-0014</v>
      </c>
      <c r="E979" s="33" t="s">
        <v>807</v>
      </c>
      <c r="F979" s="43" t="str">
        <f t="shared" si="76"/>
        <v>SOFIA DANIELA</v>
      </c>
      <c r="G979" s="43" t="str">
        <f t="shared" si="77"/>
        <v>SOFIA</v>
      </c>
      <c r="H979" s="43" t="str">
        <f t="shared" si="78"/>
        <v>VARELA CAMBRONERO</v>
      </c>
      <c r="I979" s="43" t="str">
        <f t="shared" si="79"/>
        <v>SOFIA VARELA CAMBRONERO</v>
      </c>
      <c r="J979" s="37" t="s">
        <v>550</v>
      </c>
      <c r="K979" s="37">
        <v>11</v>
      </c>
      <c r="L979" s="37">
        <v>5</v>
      </c>
      <c r="M979" s="37" t="s">
        <v>1</v>
      </c>
    </row>
    <row r="980" spans="2:13" x14ac:dyDescent="0.25">
      <c r="B980" s="48">
        <v>977</v>
      </c>
      <c r="C980" s="39">
        <v>402770918</v>
      </c>
      <c r="D980" s="43" t="str">
        <f t="shared" si="75"/>
        <v>4-0277-0918</v>
      </c>
      <c r="E980" s="39" t="s">
        <v>836</v>
      </c>
      <c r="F980" s="43" t="str">
        <f t="shared" si="76"/>
        <v>NAYLETH FABIOLA</v>
      </c>
      <c r="G980" s="43" t="str">
        <f t="shared" si="77"/>
        <v>NAYLETH</v>
      </c>
      <c r="H980" s="43" t="str">
        <f t="shared" si="78"/>
        <v>VARGAS FONSECA</v>
      </c>
      <c r="I980" s="43" t="str">
        <f t="shared" si="79"/>
        <v>NAYLETH VARGAS FONSECA</v>
      </c>
      <c r="J980" s="37" t="s">
        <v>550</v>
      </c>
      <c r="K980" s="37">
        <v>11</v>
      </c>
      <c r="L980" s="37">
        <v>5</v>
      </c>
      <c r="M980" s="37" t="s">
        <v>1</v>
      </c>
    </row>
    <row r="981" spans="2:13" x14ac:dyDescent="0.25">
      <c r="B981" s="46">
        <v>978</v>
      </c>
      <c r="C981" s="33">
        <v>209060909</v>
      </c>
      <c r="D981" s="43" t="str">
        <f t="shared" si="75"/>
        <v>2-0906-0909</v>
      </c>
      <c r="E981" s="33" t="s">
        <v>837</v>
      </c>
      <c r="F981" s="43" t="str">
        <f t="shared" si="76"/>
        <v>KAROL</v>
      </c>
      <c r="G981" s="43" t="str">
        <f t="shared" si="77"/>
        <v>KAROL</v>
      </c>
      <c r="H981" s="43" t="str">
        <f t="shared" si="78"/>
        <v>VILCHEZ GARCIA</v>
      </c>
      <c r="I981" s="43" t="str">
        <f t="shared" si="79"/>
        <v>KAROL VILCHEZ GARCIA</v>
      </c>
      <c r="J981" s="37" t="s">
        <v>550</v>
      </c>
      <c r="K981" s="37">
        <v>11</v>
      </c>
      <c r="L981" s="37">
        <v>5</v>
      </c>
      <c r="M981" s="37" t="s">
        <v>1</v>
      </c>
    </row>
    <row r="982" spans="2:13" x14ac:dyDescent="0.25">
      <c r="B982" s="48">
        <v>979</v>
      </c>
      <c r="C982" s="55">
        <v>402790626</v>
      </c>
      <c r="D982" s="43" t="str">
        <f t="shared" si="75"/>
        <v>4-0279-0626</v>
      </c>
      <c r="E982" s="55" t="s">
        <v>838</v>
      </c>
      <c r="F982" s="43" t="str">
        <f t="shared" si="76"/>
        <v>MONSERRAT</v>
      </c>
      <c r="G982" s="43" t="str">
        <f t="shared" si="77"/>
        <v>MONSERRAT</v>
      </c>
      <c r="H982" s="43" t="str">
        <f t="shared" si="78"/>
        <v>ZUÑIGA SEGURA</v>
      </c>
      <c r="I982" s="43" t="str">
        <f t="shared" si="79"/>
        <v>MONSERRAT ZUÑIGA SEGURA</v>
      </c>
      <c r="J982" s="37" t="s">
        <v>550</v>
      </c>
      <c r="K982" s="37">
        <v>11</v>
      </c>
      <c r="L982" s="37">
        <v>5</v>
      </c>
      <c r="M982" s="37" t="s">
        <v>1</v>
      </c>
    </row>
    <row r="983" spans="2:13" x14ac:dyDescent="0.25">
      <c r="B983" s="48">
        <v>980</v>
      </c>
      <c r="C983" s="48">
        <v>120380567</v>
      </c>
      <c r="D983" s="43" t="str">
        <f t="shared" si="75"/>
        <v>1-2038-0567</v>
      </c>
      <c r="E983" s="48" t="s">
        <v>839</v>
      </c>
      <c r="F983" s="43" t="str">
        <f t="shared" si="76"/>
        <v>DEREK ANDREYS</v>
      </c>
      <c r="G983" s="43" t="str">
        <f t="shared" si="77"/>
        <v>DEREK</v>
      </c>
      <c r="H983" s="43" t="str">
        <f t="shared" si="78"/>
        <v>ALVARADO RUIZ</v>
      </c>
      <c r="I983" s="43" t="str">
        <f t="shared" si="79"/>
        <v>DEREK ALVARADO RUIZ</v>
      </c>
      <c r="J983" s="37" t="s">
        <v>582</v>
      </c>
      <c r="K983" s="37">
        <v>11</v>
      </c>
      <c r="L983" s="37">
        <v>5</v>
      </c>
      <c r="M983" s="37" t="s">
        <v>0</v>
      </c>
    </row>
    <row r="984" spans="2:13" x14ac:dyDescent="0.25">
      <c r="B984" s="46">
        <v>981</v>
      </c>
      <c r="C984" s="48">
        <v>209070189</v>
      </c>
      <c r="D984" s="43" t="str">
        <f t="shared" si="75"/>
        <v>2-0907-0189</v>
      </c>
      <c r="E984" s="48" t="s">
        <v>840</v>
      </c>
      <c r="F984" s="43" t="str">
        <f t="shared" si="76"/>
        <v>ARGERIE PAMELA</v>
      </c>
      <c r="G984" s="43" t="str">
        <f t="shared" si="77"/>
        <v>ARGERIE</v>
      </c>
      <c r="H984" s="43" t="str">
        <f t="shared" si="78"/>
        <v>ARIAS ARTAVIA</v>
      </c>
      <c r="I984" s="43" t="str">
        <f t="shared" si="79"/>
        <v>ARGERIE ARIAS ARTAVIA</v>
      </c>
      <c r="J984" s="37" t="s">
        <v>582</v>
      </c>
      <c r="K984" s="37">
        <v>11</v>
      </c>
      <c r="L984" s="37">
        <v>5</v>
      </c>
      <c r="M984" s="37" t="s">
        <v>0</v>
      </c>
    </row>
    <row r="985" spans="2:13" x14ac:dyDescent="0.25">
      <c r="B985" s="48">
        <v>982</v>
      </c>
      <c r="C985" s="48">
        <v>999990982</v>
      </c>
      <c r="D985" s="70" t="s">
        <v>2344</v>
      </c>
      <c r="E985" s="48" t="s">
        <v>841</v>
      </c>
      <c r="F985" s="43" t="str">
        <f t="shared" si="76"/>
        <v>JOHNSON ALEXIS</v>
      </c>
      <c r="G985" s="43" t="str">
        <f t="shared" si="77"/>
        <v>JOHNSON</v>
      </c>
      <c r="H985" s="43" t="str">
        <f t="shared" si="78"/>
        <v>DAVILA MARTINEZ</v>
      </c>
      <c r="I985" s="43" t="str">
        <f t="shared" si="79"/>
        <v>JOHNSON DAVILA MARTINEZ</v>
      </c>
      <c r="J985" s="37" t="s">
        <v>582</v>
      </c>
      <c r="K985" s="37">
        <v>11</v>
      </c>
      <c r="L985" s="37">
        <v>5</v>
      </c>
      <c r="M985" s="37" t="s">
        <v>0</v>
      </c>
    </row>
    <row r="986" spans="2:13" x14ac:dyDescent="0.25">
      <c r="B986" s="48">
        <v>983</v>
      </c>
      <c r="C986" s="48">
        <v>208990089</v>
      </c>
      <c r="D986" s="43" t="str">
        <f t="shared" si="75"/>
        <v>2-0899-0089</v>
      </c>
      <c r="E986" s="48" t="s">
        <v>842</v>
      </c>
      <c r="F986" s="43" t="str">
        <f t="shared" si="76"/>
        <v>JOSEPH</v>
      </c>
      <c r="G986" s="43" t="str">
        <f t="shared" si="77"/>
        <v>JOSEPH</v>
      </c>
      <c r="H986" s="43" t="str">
        <f t="shared" si="78"/>
        <v>GONZALEZ AGUERO</v>
      </c>
      <c r="I986" s="43" t="str">
        <f t="shared" si="79"/>
        <v>JOSEPH GONZALEZ AGUERO</v>
      </c>
      <c r="J986" s="37" t="s">
        <v>582</v>
      </c>
      <c r="K986" s="37">
        <v>11</v>
      </c>
      <c r="L986" s="37">
        <v>5</v>
      </c>
      <c r="M986" s="37" t="s">
        <v>0</v>
      </c>
    </row>
    <row r="987" spans="2:13" x14ac:dyDescent="0.25">
      <c r="B987" s="46">
        <v>984</v>
      </c>
      <c r="C987" s="48">
        <v>120190322</v>
      </c>
      <c r="D987" s="43" t="str">
        <f t="shared" si="75"/>
        <v>1-2019-0322</v>
      </c>
      <c r="E987" s="48" t="s">
        <v>843</v>
      </c>
      <c r="F987" s="43" t="str">
        <f t="shared" si="76"/>
        <v>MAITRE WYZANGEL DEL CARMEN</v>
      </c>
      <c r="G987" s="43" t="str">
        <f t="shared" si="77"/>
        <v>MAITRE</v>
      </c>
      <c r="H987" s="43" t="str">
        <f t="shared" si="78"/>
        <v>LOPEZ LE</v>
      </c>
      <c r="I987" s="43" t="str">
        <f t="shared" si="79"/>
        <v>MAITRE LOPEZ LE</v>
      </c>
      <c r="J987" s="37" t="s">
        <v>582</v>
      </c>
      <c r="K987" s="37">
        <v>11</v>
      </c>
      <c r="L987" s="37">
        <v>5</v>
      </c>
      <c r="M987" s="37" t="s">
        <v>0</v>
      </c>
    </row>
    <row r="988" spans="2:13" x14ac:dyDescent="0.25">
      <c r="B988" s="48">
        <v>985</v>
      </c>
      <c r="C988" s="48">
        <v>209070040</v>
      </c>
      <c r="D988" s="43" t="str">
        <f t="shared" si="75"/>
        <v>2-0907-0040</v>
      </c>
      <c r="E988" s="48" t="s">
        <v>845</v>
      </c>
      <c r="F988" s="43" t="str">
        <f t="shared" si="76"/>
        <v>ANDREA DE LOS ANGELES</v>
      </c>
      <c r="G988" s="43" t="str">
        <f t="shared" si="77"/>
        <v>ANDREA</v>
      </c>
      <c r="H988" s="43" t="str">
        <f t="shared" si="78"/>
        <v>MOLINA SEQUEIRA</v>
      </c>
      <c r="I988" s="43" t="str">
        <f t="shared" si="79"/>
        <v>ANDREA MOLINA SEQUEIRA</v>
      </c>
      <c r="J988" s="37" t="s">
        <v>582</v>
      </c>
      <c r="K988" s="37">
        <v>11</v>
      </c>
      <c r="L988" s="37">
        <v>5</v>
      </c>
      <c r="M988" s="37" t="s">
        <v>0</v>
      </c>
    </row>
    <row r="989" spans="2:13" x14ac:dyDescent="0.25">
      <c r="B989" s="48">
        <v>986</v>
      </c>
      <c r="C989" s="48">
        <v>120160550</v>
      </c>
      <c r="D989" s="43" t="str">
        <f t="shared" si="75"/>
        <v>1-2016-0550</v>
      </c>
      <c r="E989" s="48" t="s">
        <v>846</v>
      </c>
      <c r="F989" s="43" t="str">
        <f t="shared" si="76"/>
        <v>ERICK DANIEL</v>
      </c>
      <c r="G989" s="43" t="str">
        <f t="shared" si="77"/>
        <v>ERICK</v>
      </c>
      <c r="H989" s="43" t="str">
        <f t="shared" si="78"/>
        <v>MUÑOZ RODRIGUEZ</v>
      </c>
      <c r="I989" s="43" t="str">
        <f t="shared" si="79"/>
        <v>ERICK MUÑOZ RODRIGUEZ</v>
      </c>
      <c r="J989" s="37" t="s">
        <v>582</v>
      </c>
      <c r="K989" s="37">
        <v>11</v>
      </c>
      <c r="L989" s="37">
        <v>5</v>
      </c>
      <c r="M989" s="37" t="s">
        <v>0</v>
      </c>
    </row>
    <row r="990" spans="2:13" x14ac:dyDescent="0.25">
      <c r="B990" s="46">
        <v>987</v>
      </c>
      <c r="C990" s="48">
        <v>209000358</v>
      </c>
      <c r="D990" s="43" t="str">
        <f t="shared" si="75"/>
        <v>2-0900-0358</v>
      </c>
      <c r="E990" s="48" t="s">
        <v>847</v>
      </c>
      <c r="F990" s="43" t="str">
        <f t="shared" si="76"/>
        <v>ANGEL ALONSO</v>
      </c>
      <c r="G990" s="43" t="str">
        <f t="shared" si="77"/>
        <v>ANGEL</v>
      </c>
      <c r="H990" s="43" t="str">
        <f t="shared" si="78"/>
        <v>MURILLO PALACIOS</v>
      </c>
      <c r="I990" s="43" t="str">
        <f t="shared" si="79"/>
        <v>ANGEL MURILLO PALACIOS</v>
      </c>
      <c r="J990" s="37" t="s">
        <v>582</v>
      </c>
      <c r="K990" s="37">
        <v>11</v>
      </c>
      <c r="L990" s="37">
        <v>5</v>
      </c>
      <c r="M990" s="37" t="s">
        <v>0</v>
      </c>
    </row>
    <row r="991" spans="2:13" x14ac:dyDescent="0.25">
      <c r="B991" s="48">
        <v>988</v>
      </c>
      <c r="C991" s="48">
        <v>402770836</v>
      </c>
      <c r="D991" s="43" t="str">
        <f t="shared" si="75"/>
        <v>4-0277-0836</v>
      </c>
      <c r="E991" s="48" t="s">
        <v>848</v>
      </c>
      <c r="F991" s="43" t="str">
        <f t="shared" si="76"/>
        <v>RICHARD FRANCISCO</v>
      </c>
      <c r="G991" s="43" t="str">
        <f t="shared" si="77"/>
        <v>RICHARD</v>
      </c>
      <c r="H991" s="43" t="str">
        <f t="shared" si="78"/>
        <v>OBANDO GARCIA</v>
      </c>
      <c r="I991" s="43" t="str">
        <f t="shared" si="79"/>
        <v>RICHARD OBANDO GARCIA</v>
      </c>
      <c r="J991" s="37" t="s">
        <v>582</v>
      </c>
      <c r="K991" s="37">
        <v>11</v>
      </c>
      <c r="L991" s="37">
        <v>5</v>
      </c>
      <c r="M991" s="37" t="s">
        <v>0</v>
      </c>
    </row>
    <row r="992" spans="2:13" x14ac:dyDescent="0.25">
      <c r="B992" s="48">
        <v>989</v>
      </c>
      <c r="C992" s="48">
        <v>120130070</v>
      </c>
      <c r="D992" s="43" t="str">
        <f t="shared" si="75"/>
        <v>1-2013-0070</v>
      </c>
      <c r="E992" s="48" t="s">
        <v>849</v>
      </c>
      <c r="F992" s="43" t="str">
        <f t="shared" si="76"/>
        <v>GABRIEL ESTEBAN</v>
      </c>
      <c r="G992" s="43" t="str">
        <f t="shared" si="77"/>
        <v>GABRIEL</v>
      </c>
      <c r="H992" s="43" t="str">
        <f t="shared" si="78"/>
        <v>RODRIGUEZ FLORES</v>
      </c>
      <c r="I992" s="43" t="str">
        <f t="shared" si="79"/>
        <v>GABRIEL RODRIGUEZ FLORES</v>
      </c>
      <c r="J992" s="37" t="s">
        <v>582</v>
      </c>
      <c r="K992" s="37">
        <v>11</v>
      </c>
      <c r="L992" s="37">
        <v>5</v>
      </c>
      <c r="M992" s="37" t="s">
        <v>0</v>
      </c>
    </row>
    <row r="993" spans="2:13" x14ac:dyDescent="0.25">
      <c r="B993" s="46">
        <v>990</v>
      </c>
      <c r="C993" s="48">
        <v>402780461</v>
      </c>
      <c r="D993" s="43" t="str">
        <f t="shared" si="75"/>
        <v>4-0278-0461</v>
      </c>
      <c r="E993" s="48" t="s">
        <v>850</v>
      </c>
      <c r="F993" s="43" t="str">
        <f t="shared" si="76"/>
        <v>JAMES VINICIO</v>
      </c>
      <c r="G993" s="43" t="str">
        <f t="shared" si="77"/>
        <v>JAMES</v>
      </c>
      <c r="H993" s="43" t="str">
        <f t="shared" si="78"/>
        <v>ROJAS CASCANTE</v>
      </c>
      <c r="I993" s="43" t="str">
        <f t="shared" si="79"/>
        <v>JAMES ROJAS CASCANTE</v>
      </c>
      <c r="J993" s="37" t="s">
        <v>582</v>
      </c>
      <c r="K993" s="37">
        <v>11</v>
      </c>
      <c r="L993" s="37">
        <v>5</v>
      </c>
      <c r="M993" s="37" t="s">
        <v>0</v>
      </c>
    </row>
    <row r="994" spans="2:13" x14ac:dyDescent="0.25">
      <c r="B994" s="48">
        <v>991</v>
      </c>
      <c r="C994" s="48">
        <v>402800987</v>
      </c>
      <c r="D994" s="43" t="str">
        <f t="shared" si="75"/>
        <v>4-0280-0987</v>
      </c>
      <c r="E994" s="48" t="s">
        <v>852</v>
      </c>
      <c r="F994" s="43" t="str">
        <f t="shared" si="76"/>
        <v>CALEB DE JESUS</v>
      </c>
      <c r="G994" s="43" t="str">
        <f t="shared" si="77"/>
        <v>CALEB</v>
      </c>
      <c r="H994" s="43" t="str">
        <f t="shared" si="78"/>
        <v>SEGURA SANDI</v>
      </c>
      <c r="I994" s="43" t="str">
        <f t="shared" si="79"/>
        <v>CALEB SEGURA SANDI</v>
      </c>
      <c r="J994" s="37" t="s">
        <v>582</v>
      </c>
      <c r="K994" s="37">
        <v>11</v>
      </c>
      <c r="L994" s="37">
        <v>5</v>
      </c>
      <c r="M994" s="37" t="s">
        <v>0</v>
      </c>
    </row>
    <row r="995" spans="2:13" x14ac:dyDescent="0.25">
      <c r="B995" s="48">
        <v>992</v>
      </c>
      <c r="C995" s="48">
        <v>402790521</v>
      </c>
      <c r="D995" s="43" t="str">
        <f t="shared" si="75"/>
        <v>4-0279-0521</v>
      </c>
      <c r="E995" s="48" t="s">
        <v>853</v>
      </c>
      <c r="F995" s="43" t="str">
        <f t="shared" si="76"/>
        <v>LAURA XIMENA</v>
      </c>
      <c r="G995" s="43" t="str">
        <f t="shared" si="77"/>
        <v>LAURA</v>
      </c>
      <c r="H995" s="43" t="str">
        <f t="shared" si="78"/>
        <v>VADO SALAZAR</v>
      </c>
      <c r="I995" s="43" t="str">
        <f t="shared" si="79"/>
        <v>LAURA VADO SALAZAR</v>
      </c>
      <c r="J995" s="37" t="s">
        <v>582</v>
      </c>
      <c r="K995" s="37">
        <v>11</v>
      </c>
      <c r="L995" s="37">
        <v>5</v>
      </c>
      <c r="M995" s="37" t="s">
        <v>0</v>
      </c>
    </row>
    <row r="996" spans="2:13" x14ac:dyDescent="0.25">
      <c r="B996" s="46">
        <v>993</v>
      </c>
      <c r="C996" s="48">
        <v>120210101</v>
      </c>
      <c r="D996" s="43" t="str">
        <f t="shared" si="75"/>
        <v>1-2021-0101</v>
      </c>
      <c r="E996" s="48" t="s">
        <v>854</v>
      </c>
      <c r="F996" s="43" t="str">
        <f t="shared" si="76"/>
        <v>GABRIEL</v>
      </c>
      <c r="G996" s="43" t="str">
        <f t="shared" si="77"/>
        <v>GABRIEL</v>
      </c>
      <c r="H996" s="43" t="str">
        <f t="shared" si="78"/>
        <v>VARGAS OVARES</v>
      </c>
      <c r="I996" s="43" t="str">
        <f t="shared" si="79"/>
        <v>GABRIEL VARGAS OVARES</v>
      </c>
      <c r="J996" s="37" t="s">
        <v>582</v>
      </c>
      <c r="K996" s="37">
        <v>11</v>
      </c>
      <c r="L996" s="37">
        <v>5</v>
      </c>
      <c r="M996" s="37" t="s">
        <v>0</v>
      </c>
    </row>
    <row r="997" spans="2:13" x14ac:dyDescent="0.25">
      <c r="B997" s="48">
        <v>994</v>
      </c>
      <c r="C997" s="48">
        <v>208990112</v>
      </c>
      <c r="D997" s="43" t="str">
        <f t="shared" si="75"/>
        <v>2-0899-0112</v>
      </c>
      <c r="E997" s="48" t="s">
        <v>855</v>
      </c>
      <c r="F997" s="43" t="str">
        <f t="shared" si="76"/>
        <v>JUSTIN GABRIEL</v>
      </c>
      <c r="G997" s="43" t="str">
        <f t="shared" si="77"/>
        <v>JUSTIN</v>
      </c>
      <c r="H997" s="43" t="str">
        <f t="shared" si="78"/>
        <v>VILLALOBOS CHACON</v>
      </c>
      <c r="I997" s="43" t="str">
        <f t="shared" si="79"/>
        <v>JUSTIN VILLALOBOS CHACON</v>
      </c>
      <c r="J997" s="37" t="s">
        <v>582</v>
      </c>
      <c r="K997" s="37">
        <v>11</v>
      </c>
      <c r="L997" s="37">
        <v>5</v>
      </c>
      <c r="M997" s="37" t="s">
        <v>0</v>
      </c>
    </row>
    <row r="998" spans="2:13" x14ac:dyDescent="0.25">
      <c r="B998" s="48">
        <v>995</v>
      </c>
      <c r="C998" s="52">
        <v>209080470</v>
      </c>
      <c r="D998" s="43" t="str">
        <f t="shared" si="75"/>
        <v>2-0908-0470</v>
      </c>
      <c r="E998" s="52" t="s">
        <v>856</v>
      </c>
      <c r="F998" s="43" t="str">
        <f t="shared" si="76"/>
        <v>SIURY FIORELA</v>
      </c>
      <c r="G998" s="43" t="str">
        <f t="shared" si="77"/>
        <v>SIURY</v>
      </c>
      <c r="H998" s="43" t="str">
        <f t="shared" si="78"/>
        <v>CAMACHO FALLAS</v>
      </c>
      <c r="I998" s="43" t="str">
        <f t="shared" si="79"/>
        <v>SIURY CAMACHO FALLAS</v>
      </c>
      <c r="J998" s="37" t="s">
        <v>629</v>
      </c>
      <c r="K998" s="37">
        <v>11</v>
      </c>
      <c r="L998" s="37">
        <v>6</v>
      </c>
      <c r="M998" s="37" t="s">
        <v>1</v>
      </c>
    </row>
    <row r="999" spans="2:13" x14ac:dyDescent="0.25">
      <c r="B999" s="46">
        <v>996</v>
      </c>
      <c r="C999" s="52">
        <v>208980787</v>
      </c>
      <c r="D999" s="43" t="str">
        <f t="shared" si="75"/>
        <v>2-0898-0787</v>
      </c>
      <c r="E999" s="52" t="s">
        <v>857</v>
      </c>
      <c r="F999" s="43" t="str">
        <f t="shared" si="76"/>
        <v>VALERIA</v>
      </c>
      <c r="G999" s="43" t="str">
        <f t="shared" si="77"/>
        <v>VALERIA</v>
      </c>
      <c r="H999" s="43" t="str">
        <f t="shared" si="78"/>
        <v>CASTRO RAMIREZ</v>
      </c>
      <c r="I999" s="43" t="str">
        <f t="shared" si="79"/>
        <v>VALERIA CASTRO RAMIREZ</v>
      </c>
      <c r="J999" s="37" t="s">
        <v>629</v>
      </c>
      <c r="K999" s="37">
        <v>11</v>
      </c>
      <c r="L999" s="37">
        <v>6</v>
      </c>
      <c r="M999" s="37" t="s">
        <v>1</v>
      </c>
    </row>
    <row r="1000" spans="2:13" x14ac:dyDescent="0.25">
      <c r="B1000" s="48">
        <v>997</v>
      </c>
      <c r="C1000" s="52">
        <v>402800052</v>
      </c>
      <c r="D1000" s="43" t="str">
        <f t="shared" si="75"/>
        <v>4-0280-0052</v>
      </c>
      <c r="E1000" s="52" t="s">
        <v>858</v>
      </c>
      <c r="F1000" s="43" t="str">
        <f t="shared" si="76"/>
        <v>SANTIAGO ALBERTO</v>
      </c>
      <c r="G1000" s="43" t="str">
        <f t="shared" si="77"/>
        <v>SANTIAGO</v>
      </c>
      <c r="H1000" s="43" t="str">
        <f t="shared" si="78"/>
        <v>CHAVES CHAVEZ</v>
      </c>
      <c r="I1000" s="43" t="str">
        <f t="shared" si="79"/>
        <v>SANTIAGO CHAVES CHAVEZ</v>
      </c>
      <c r="J1000" s="37" t="s">
        <v>629</v>
      </c>
      <c r="K1000" s="37">
        <v>11</v>
      </c>
      <c r="L1000" s="37">
        <v>6</v>
      </c>
      <c r="M1000" s="37" t="s">
        <v>1</v>
      </c>
    </row>
    <row r="1001" spans="2:13" x14ac:dyDescent="0.25">
      <c r="B1001" s="48">
        <v>998</v>
      </c>
      <c r="C1001" s="52">
        <v>209100278</v>
      </c>
      <c r="D1001" s="43" t="str">
        <f t="shared" si="75"/>
        <v>2-0910-0278</v>
      </c>
      <c r="E1001" s="52" t="s">
        <v>859</v>
      </c>
      <c r="F1001" s="43" t="str">
        <f t="shared" si="76"/>
        <v>JOSE PABLO</v>
      </c>
      <c r="G1001" s="43" t="str">
        <f t="shared" si="77"/>
        <v>JOSE</v>
      </c>
      <c r="H1001" s="43" t="str">
        <f t="shared" si="78"/>
        <v>ESPINOZA SALAS</v>
      </c>
      <c r="I1001" s="43" t="str">
        <f t="shared" si="79"/>
        <v>JOSE ESPINOZA SALAS</v>
      </c>
      <c r="J1001" s="37" t="s">
        <v>629</v>
      </c>
      <c r="K1001" s="37">
        <v>11</v>
      </c>
      <c r="L1001" s="37">
        <v>6</v>
      </c>
      <c r="M1001" s="37" t="s">
        <v>1</v>
      </c>
    </row>
    <row r="1002" spans="2:13" x14ac:dyDescent="0.25">
      <c r="B1002" s="46">
        <v>999</v>
      </c>
      <c r="C1002" s="52">
        <v>402810258</v>
      </c>
      <c r="D1002" s="43" t="str">
        <f t="shared" si="75"/>
        <v>4-0281-0258</v>
      </c>
      <c r="E1002" s="52" t="s">
        <v>860</v>
      </c>
      <c r="F1002" s="43" t="str">
        <f t="shared" si="76"/>
        <v>GABRIEL ANDRES</v>
      </c>
      <c r="G1002" s="43" t="str">
        <f t="shared" si="77"/>
        <v>GABRIEL</v>
      </c>
      <c r="H1002" s="43" t="str">
        <f t="shared" si="78"/>
        <v>FONSECA OVIEDO</v>
      </c>
      <c r="I1002" s="43" t="str">
        <f t="shared" si="79"/>
        <v>GABRIEL FONSECA OVIEDO</v>
      </c>
      <c r="J1002" s="37" t="s">
        <v>629</v>
      </c>
      <c r="K1002" s="37">
        <v>11</v>
      </c>
      <c r="L1002" s="37">
        <v>6</v>
      </c>
      <c r="M1002" s="37" t="s">
        <v>1</v>
      </c>
    </row>
    <row r="1003" spans="2:13" x14ac:dyDescent="0.25">
      <c r="B1003" s="48">
        <v>1000</v>
      </c>
      <c r="C1003" s="52">
        <v>209050727</v>
      </c>
      <c r="D1003" s="43" t="str">
        <f t="shared" si="75"/>
        <v>2-0905-0727</v>
      </c>
      <c r="E1003" s="52" t="s">
        <v>861</v>
      </c>
      <c r="F1003" s="43" t="str">
        <f t="shared" si="76"/>
        <v>AILLYN DAYANNA</v>
      </c>
      <c r="G1003" s="43" t="str">
        <f t="shared" si="77"/>
        <v>AILLYN</v>
      </c>
      <c r="H1003" s="43" t="str">
        <f t="shared" si="78"/>
        <v>GARCIA MONTERO</v>
      </c>
      <c r="I1003" s="43" t="str">
        <f t="shared" si="79"/>
        <v>AILLYN GARCIA MONTERO</v>
      </c>
      <c r="J1003" s="37" t="s">
        <v>629</v>
      </c>
      <c r="K1003" s="37">
        <v>11</v>
      </c>
      <c r="L1003" s="37">
        <v>6</v>
      </c>
      <c r="M1003" s="37" t="s">
        <v>1</v>
      </c>
    </row>
    <row r="1004" spans="2:13" x14ac:dyDescent="0.25">
      <c r="B1004" s="48">
        <v>1001</v>
      </c>
      <c r="C1004" s="52">
        <v>209030970</v>
      </c>
      <c r="D1004" s="43" t="str">
        <f t="shared" si="75"/>
        <v>2-0903-0970</v>
      </c>
      <c r="E1004" s="52" t="s">
        <v>862</v>
      </c>
      <c r="F1004" s="43" t="str">
        <f t="shared" si="76"/>
        <v>LUIS FELIPE</v>
      </c>
      <c r="G1004" s="43" t="str">
        <f t="shared" si="77"/>
        <v>LUIS</v>
      </c>
      <c r="H1004" s="43" t="str">
        <f t="shared" si="78"/>
        <v>GONZALEZ JIMENEZ</v>
      </c>
      <c r="I1004" s="43" t="str">
        <f t="shared" si="79"/>
        <v>LUIS GONZALEZ JIMENEZ</v>
      </c>
      <c r="J1004" s="37" t="s">
        <v>629</v>
      </c>
      <c r="K1004" s="37">
        <v>11</v>
      </c>
      <c r="L1004" s="37">
        <v>6</v>
      </c>
      <c r="M1004" s="37" t="s">
        <v>1</v>
      </c>
    </row>
    <row r="1005" spans="2:13" x14ac:dyDescent="0.25">
      <c r="B1005" s="46">
        <v>1002</v>
      </c>
      <c r="C1005" s="52">
        <v>208980732</v>
      </c>
      <c r="D1005" s="43" t="str">
        <f t="shared" si="75"/>
        <v>2-0898-0732</v>
      </c>
      <c r="E1005" s="52" t="s">
        <v>863</v>
      </c>
      <c r="F1005" s="43" t="str">
        <f t="shared" si="76"/>
        <v>SANTIAGO</v>
      </c>
      <c r="G1005" s="43" t="str">
        <f t="shared" si="77"/>
        <v>SANTIAGO</v>
      </c>
      <c r="H1005" s="43" t="str">
        <f t="shared" si="78"/>
        <v>GONZALEZ PEREZ</v>
      </c>
      <c r="I1005" s="43" t="str">
        <f t="shared" si="79"/>
        <v>SANTIAGO GONZALEZ PEREZ</v>
      </c>
      <c r="J1005" s="37" t="s">
        <v>629</v>
      </c>
      <c r="K1005" s="37">
        <v>11</v>
      </c>
      <c r="L1005" s="37">
        <v>6</v>
      </c>
      <c r="M1005" s="37" t="s">
        <v>1</v>
      </c>
    </row>
    <row r="1006" spans="2:13" x14ac:dyDescent="0.25">
      <c r="B1006" s="48">
        <v>1003</v>
      </c>
      <c r="C1006" s="52">
        <v>209030984</v>
      </c>
      <c r="D1006" s="43" t="str">
        <f t="shared" si="75"/>
        <v>2-0903-0984</v>
      </c>
      <c r="E1006" s="52" t="s">
        <v>864</v>
      </c>
      <c r="F1006" s="43" t="str">
        <f t="shared" si="76"/>
        <v>LIZETH NAOMY</v>
      </c>
      <c r="G1006" s="43" t="str">
        <f t="shared" si="77"/>
        <v>LIZETH</v>
      </c>
      <c r="H1006" s="43" t="str">
        <f t="shared" si="78"/>
        <v>JIMENEZ DURAN</v>
      </c>
      <c r="I1006" s="43" t="str">
        <f t="shared" si="79"/>
        <v>LIZETH JIMENEZ DURAN</v>
      </c>
      <c r="J1006" s="37" t="s">
        <v>629</v>
      </c>
      <c r="K1006" s="37">
        <v>11</v>
      </c>
      <c r="L1006" s="37">
        <v>6</v>
      </c>
      <c r="M1006" s="37" t="s">
        <v>1</v>
      </c>
    </row>
    <row r="1007" spans="2:13" x14ac:dyDescent="0.25">
      <c r="B1007" s="48">
        <v>1004</v>
      </c>
      <c r="C1007" s="52">
        <v>209070187</v>
      </c>
      <c r="D1007" s="43" t="str">
        <f t="shared" si="75"/>
        <v>2-0907-0187</v>
      </c>
      <c r="E1007" s="52" t="s">
        <v>865</v>
      </c>
      <c r="F1007" s="43" t="str">
        <f t="shared" si="76"/>
        <v>SHARLOT</v>
      </c>
      <c r="G1007" s="43" t="str">
        <f t="shared" si="77"/>
        <v>SHARLOT</v>
      </c>
      <c r="H1007" s="43" t="str">
        <f t="shared" si="78"/>
        <v>LIZANO PORRAS</v>
      </c>
      <c r="I1007" s="43" t="str">
        <f t="shared" si="79"/>
        <v>SHARLOT LIZANO PORRAS</v>
      </c>
      <c r="J1007" s="37" t="s">
        <v>629</v>
      </c>
      <c r="K1007" s="37">
        <v>11</v>
      </c>
      <c r="L1007" s="37">
        <v>6</v>
      </c>
      <c r="M1007" s="37" t="s">
        <v>1</v>
      </c>
    </row>
    <row r="1008" spans="2:13" x14ac:dyDescent="0.25">
      <c r="B1008" s="46">
        <v>1005</v>
      </c>
      <c r="C1008" s="52">
        <v>209030264</v>
      </c>
      <c r="D1008" s="43" t="str">
        <f t="shared" si="75"/>
        <v>2-0903-0264</v>
      </c>
      <c r="E1008" s="52" t="s">
        <v>866</v>
      </c>
      <c r="F1008" s="43" t="str">
        <f t="shared" si="76"/>
        <v>STEVE HUMBERTO</v>
      </c>
      <c r="G1008" s="43" t="str">
        <f t="shared" si="77"/>
        <v>STEVE</v>
      </c>
      <c r="H1008" s="43" t="str">
        <f t="shared" si="78"/>
        <v>PEREZ ABARCA</v>
      </c>
      <c r="I1008" s="43" t="str">
        <f t="shared" si="79"/>
        <v>STEVE PEREZ ABARCA</v>
      </c>
      <c r="J1008" s="37" t="s">
        <v>629</v>
      </c>
      <c r="K1008" s="37">
        <v>11</v>
      </c>
      <c r="L1008" s="37">
        <v>6</v>
      </c>
      <c r="M1008" s="37" t="s">
        <v>1</v>
      </c>
    </row>
    <row r="1009" spans="2:13" x14ac:dyDescent="0.25">
      <c r="B1009" s="48">
        <v>1006</v>
      </c>
      <c r="C1009" s="33">
        <v>402770993</v>
      </c>
      <c r="D1009" s="43" t="str">
        <f t="shared" si="75"/>
        <v>4-0277-0993</v>
      </c>
      <c r="E1009" s="33" t="s">
        <v>867</v>
      </c>
      <c r="F1009" s="43" t="str">
        <f t="shared" si="76"/>
        <v>DERECK JOHANDER</v>
      </c>
      <c r="G1009" s="43" t="str">
        <f t="shared" si="77"/>
        <v>DERECK</v>
      </c>
      <c r="H1009" s="43" t="str">
        <f t="shared" si="78"/>
        <v>RAMIREZ OVIEDO</v>
      </c>
      <c r="I1009" s="43" t="str">
        <f t="shared" si="79"/>
        <v>DERECK RAMIREZ OVIEDO</v>
      </c>
      <c r="J1009" s="37" t="s">
        <v>629</v>
      </c>
      <c r="K1009" s="37">
        <v>11</v>
      </c>
      <c r="L1009" s="37">
        <v>6</v>
      </c>
      <c r="M1009" s="37" t="s">
        <v>1</v>
      </c>
    </row>
    <row r="1010" spans="2:13" x14ac:dyDescent="0.25">
      <c r="B1010" s="48">
        <v>1007</v>
      </c>
      <c r="C1010" s="52">
        <v>999991007</v>
      </c>
      <c r="D1010" s="70" t="s">
        <v>868</v>
      </c>
      <c r="E1010" s="52" t="s">
        <v>869</v>
      </c>
      <c r="F1010" s="43" t="str">
        <f t="shared" si="76"/>
        <v>PATRICK JARETH</v>
      </c>
      <c r="G1010" s="43" t="str">
        <f t="shared" si="77"/>
        <v>PATRICK</v>
      </c>
      <c r="H1010" s="43" t="str">
        <f t="shared" si="78"/>
        <v>RAMOS PILARTE</v>
      </c>
      <c r="I1010" s="43" t="str">
        <f t="shared" si="79"/>
        <v>PATRICK RAMOS PILARTE</v>
      </c>
      <c r="J1010" s="37" t="s">
        <v>629</v>
      </c>
      <c r="K1010" s="37">
        <v>11</v>
      </c>
      <c r="L1010" s="37">
        <v>6</v>
      </c>
      <c r="M1010" s="37" t="s">
        <v>1</v>
      </c>
    </row>
    <row r="1011" spans="2:13" x14ac:dyDescent="0.25">
      <c r="B1011" s="46">
        <v>1008</v>
      </c>
      <c r="C1011" s="52">
        <v>402740664</v>
      </c>
      <c r="D1011" s="43" t="str">
        <f t="shared" si="75"/>
        <v>4-0274-0664</v>
      </c>
      <c r="E1011" s="52" t="s">
        <v>870</v>
      </c>
      <c r="F1011" s="43" t="str">
        <f t="shared" si="76"/>
        <v>ANDY</v>
      </c>
      <c r="G1011" s="43" t="str">
        <f t="shared" si="77"/>
        <v>ANDY</v>
      </c>
      <c r="H1011" s="43" t="str">
        <f t="shared" si="78"/>
        <v>RIOS SILVA</v>
      </c>
      <c r="I1011" s="43" t="str">
        <f t="shared" si="79"/>
        <v>ANDY RIOS SILVA</v>
      </c>
      <c r="J1011" s="37" t="s">
        <v>629</v>
      </c>
      <c r="K1011" s="37">
        <v>11</v>
      </c>
      <c r="L1011" s="37">
        <v>6</v>
      </c>
      <c r="M1011" s="37" t="s">
        <v>1</v>
      </c>
    </row>
    <row r="1012" spans="2:13" x14ac:dyDescent="0.25">
      <c r="B1012" s="48">
        <v>1009</v>
      </c>
      <c r="C1012" s="52">
        <v>208960697</v>
      </c>
      <c r="D1012" s="43" t="str">
        <f t="shared" si="75"/>
        <v>2-0896-0697</v>
      </c>
      <c r="E1012" s="52" t="s">
        <v>871</v>
      </c>
      <c r="F1012" s="43" t="str">
        <f t="shared" si="76"/>
        <v>JOHEL NAHUM</v>
      </c>
      <c r="G1012" s="43" t="str">
        <f t="shared" si="77"/>
        <v>JOHEL</v>
      </c>
      <c r="H1012" s="43" t="str">
        <f t="shared" si="78"/>
        <v>ROSEMBERG ALVARADO</v>
      </c>
      <c r="I1012" s="43" t="str">
        <f t="shared" si="79"/>
        <v>JOHEL ROSEMBERG ALVARADO</v>
      </c>
      <c r="J1012" s="37" t="s">
        <v>629</v>
      </c>
      <c r="K1012" s="37">
        <v>11</v>
      </c>
      <c r="L1012" s="37">
        <v>6</v>
      </c>
      <c r="M1012" s="37" t="s">
        <v>1</v>
      </c>
    </row>
    <row r="1013" spans="2:13" x14ac:dyDescent="0.25">
      <c r="B1013" s="48">
        <v>1010</v>
      </c>
      <c r="C1013" s="52">
        <v>208960323</v>
      </c>
      <c r="D1013" s="43" t="str">
        <f t="shared" si="75"/>
        <v>2-0896-0323</v>
      </c>
      <c r="E1013" s="52" t="s">
        <v>872</v>
      </c>
      <c r="F1013" s="43" t="str">
        <f t="shared" si="76"/>
        <v>VALENTINA</v>
      </c>
      <c r="G1013" s="43" t="str">
        <f t="shared" si="77"/>
        <v>VALENTINA</v>
      </c>
      <c r="H1013" s="43" t="str">
        <f t="shared" si="78"/>
        <v>UMAÑA RODRIGUEZ</v>
      </c>
      <c r="I1013" s="43" t="str">
        <f t="shared" si="79"/>
        <v>VALENTINA UMAÑA RODRIGUEZ</v>
      </c>
      <c r="J1013" s="37" t="s">
        <v>629</v>
      </c>
      <c r="K1013" s="37">
        <v>11</v>
      </c>
      <c r="L1013" s="37">
        <v>6</v>
      </c>
      <c r="M1013" s="37" t="s">
        <v>1</v>
      </c>
    </row>
    <row r="1014" spans="2:13" x14ac:dyDescent="0.25">
      <c r="B1014" s="46">
        <v>1011</v>
      </c>
      <c r="C1014" s="33">
        <v>208990090</v>
      </c>
      <c r="D1014" s="43" t="str">
        <f t="shared" si="75"/>
        <v>2-0899-0090</v>
      </c>
      <c r="E1014" s="33" t="s">
        <v>873</v>
      </c>
      <c r="F1014" s="43" t="str">
        <f t="shared" si="76"/>
        <v>JAROD</v>
      </c>
      <c r="G1014" s="43" t="str">
        <f t="shared" si="77"/>
        <v>JAROD</v>
      </c>
      <c r="H1014" s="43" t="str">
        <f t="shared" si="78"/>
        <v>GONZALEZ AGUERO</v>
      </c>
      <c r="I1014" s="43" t="str">
        <f t="shared" si="79"/>
        <v>JAROD GONZALEZ AGUERO</v>
      </c>
      <c r="J1014" s="37" t="s">
        <v>2345</v>
      </c>
      <c r="K1014" s="37">
        <v>11</v>
      </c>
      <c r="L1014" s="37">
        <v>6</v>
      </c>
      <c r="M1014" s="37" t="s">
        <v>0</v>
      </c>
    </row>
    <row r="1015" spans="2:13" x14ac:dyDescent="0.25">
      <c r="B1015" s="48">
        <v>1012</v>
      </c>
      <c r="C1015" s="38">
        <v>209080417</v>
      </c>
      <c r="D1015" s="43" t="str">
        <f t="shared" si="75"/>
        <v>2-0908-0417</v>
      </c>
      <c r="E1015" s="38" t="s">
        <v>874</v>
      </c>
      <c r="F1015" s="43" t="str">
        <f t="shared" si="76"/>
        <v>EDDY YULIAN</v>
      </c>
      <c r="G1015" s="43" t="str">
        <f t="shared" si="77"/>
        <v>EDDY</v>
      </c>
      <c r="H1015" s="43" t="str">
        <f t="shared" si="78"/>
        <v>LOPEZ DIAZ</v>
      </c>
      <c r="I1015" s="43" t="str">
        <f t="shared" si="79"/>
        <v>EDDY LOPEZ DIAZ</v>
      </c>
      <c r="J1015" s="37" t="s">
        <v>2345</v>
      </c>
      <c r="K1015" s="37">
        <v>11</v>
      </c>
      <c r="L1015" s="37">
        <v>6</v>
      </c>
      <c r="M1015" s="37" t="s">
        <v>0</v>
      </c>
    </row>
    <row r="1016" spans="2:13" x14ac:dyDescent="0.25">
      <c r="B1016" s="48">
        <v>1013</v>
      </c>
      <c r="C1016" s="38">
        <v>209040915</v>
      </c>
      <c r="D1016" s="43" t="str">
        <f t="shared" si="75"/>
        <v>2-0904-0915</v>
      </c>
      <c r="E1016" s="38" t="s">
        <v>875</v>
      </c>
      <c r="F1016" s="43" t="str">
        <f t="shared" si="76"/>
        <v>HILLARY</v>
      </c>
      <c r="G1016" s="43" t="str">
        <f t="shared" si="77"/>
        <v>HILLARY</v>
      </c>
      <c r="H1016" s="43" t="str">
        <f t="shared" si="78"/>
        <v>RAMOS MONTANO</v>
      </c>
      <c r="I1016" s="43" t="str">
        <f t="shared" si="79"/>
        <v>HILLARY RAMOS MONTANO</v>
      </c>
      <c r="J1016" s="37" t="s">
        <v>2345</v>
      </c>
      <c r="K1016" s="37">
        <v>11</v>
      </c>
      <c r="L1016" s="37">
        <v>6</v>
      </c>
      <c r="M1016" s="37" t="s">
        <v>0</v>
      </c>
    </row>
    <row r="1017" spans="2:13" x14ac:dyDescent="0.25">
      <c r="B1017" s="46">
        <v>1014</v>
      </c>
      <c r="C1017" s="38">
        <v>703370117</v>
      </c>
      <c r="D1017" s="43" t="str">
        <f t="shared" si="75"/>
        <v>7-0337-0117</v>
      </c>
      <c r="E1017" s="38" t="s">
        <v>876</v>
      </c>
      <c r="F1017" s="43" t="str">
        <f t="shared" si="76"/>
        <v>NESTOR ALBERTO</v>
      </c>
      <c r="G1017" s="43" t="str">
        <f t="shared" si="77"/>
        <v>NESTOR</v>
      </c>
      <c r="H1017" s="43" t="str">
        <f t="shared" si="78"/>
        <v>RODRIGUEZ SALAZAR</v>
      </c>
      <c r="I1017" s="43" t="str">
        <f t="shared" si="79"/>
        <v>NESTOR RODRIGUEZ SALAZAR</v>
      </c>
      <c r="J1017" s="37" t="s">
        <v>2345</v>
      </c>
      <c r="K1017" s="37">
        <v>11</v>
      </c>
      <c r="L1017" s="37">
        <v>6</v>
      </c>
      <c r="M1017" s="37" t="s">
        <v>0</v>
      </c>
    </row>
    <row r="1018" spans="2:13" x14ac:dyDescent="0.25">
      <c r="B1018" s="48">
        <v>1015</v>
      </c>
      <c r="C1018" s="38">
        <v>209000167</v>
      </c>
      <c r="D1018" s="43" t="str">
        <f t="shared" si="75"/>
        <v>2-0900-0167</v>
      </c>
      <c r="E1018" s="38" t="s">
        <v>877</v>
      </c>
      <c r="F1018" s="43" t="str">
        <f t="shared" si="76"/>
        <v>ASHLEY NICOLE</v>
      </c>
      <c r="G1018" s="43" t="str">
        <f t="shared" si="77"/>
        <v>ASHLEY</v>
      </c>
      <c r="H1018" s="43" t="str">
        <f t="shared" si="78"/>
        <v>SALVATIERRA GONZALEZ</v>
      </c>
      <c r="I1018" s="43" t="str">
        <f t="shared" si="79"/>
        <v>ASHLEY SALVATIERRA GONZALEZ</v>
      </c>
      <c r="J1018" s="37" t="s">
        <v>2345</v>
      </c>
      <c r="K1018" s="37">
        <v>11</v>
      </c>
      <c r="L1018" s="37">
        <v>6</v>
      </c>
      <c r="M1018" s="37" t="s">
        <v>0</v>
      </c>
    </row>
    <row r="1019" spans="2:13" x14ac:dyDescent="0.25">
      <c r="B1019" s="48">
        <v>1016</v>
      </c>
      <c r="C1019" s="38">
        <v>209080374</v>
      </c>
      <c r="D1019" s="43" t="str">
        <f t="shared" si="75"/>
        <v>2-0908-0374</v>
      </c>
      <c r="E1019" s="38" t="s">
        <v>878</v>
      </c>
      <c r="F1019" s="43" t="str">
        <f t="shared" si="76"/>
        <v>ALEJANDRO JOSUE</v>
      </c>
      <c r="G1019" s="43" t="str">
        <f t="shared" si="77"/>
        <v>ALEJANDRO</v>
      </c>
      <c r="H1019" s="43" t="str">
        <f t="shared" si="78"/>
        <v>SANCHEZ CAMPOS</v>
      </c>
      <c r="I1019" s="43" t="str">
        <f t="shared" si="79"/>
        <v>ALEJANDRO SANCHEZ CAMPOS</v>
      </c>
      <c r="J1019" s="37" t="s">
        <v>2345</v>
      </c>
      <c r="K1019" s="37">
        <v>11</v>
      </c>
      <c r="L1019" s="37">
        <v>6</v>
      </c>
      <c r="M1019" s="37" t="s">
        <v>0</v>
      </c>
    </row>
    <row r="1020" spans="2:13" x14ac:dyDescent="0.25">
      <c r="B1020" s="46">
        <v>1017</v>
      </c>
      <c r="C1020" s="33">
        <v>209020649</v>
      </c>
      <c r="D1020" s="43" t="str">
        <f t="shared" si="75"/>
        <v>2-0902-0649</v>
      </c>
      <c r="E1020" s="33" t="s">
        <v>879</v>
      </c>
      <c r="F1020" s="43" t="str">
        <f t="shared" si="76"/>
        <v>JOSE ANDRES</v>
      </c>
      <c r="G1020" s="43" t="str">
        <f t="shared" si="77"/>
        <v>JOSE</v>
      </c>
      <c r="H1020" s="43" t="str">
        <f t="shared" si="78"/>
        <v>VARGAS ARAYA</v>
      </c>
      <c r="I1020" s="43" t="str">
        <f t="shared" si="79"/>
        <v>JOSE VARGAS ARAYA</v>
      </c>
      <c r="J1020" s="37" t="s">
        <v>2345</v>
      </c>
      <c r="K1020" s="37">
        <v>11</v>
      </c>
      <c r="L1020" s="37">
        <v>6</v>
      </c>
      <c r="M1020" s="37" t="s">
        <v>0</v>
      </c>
    </row>
    <row r="1021" spans="2:13" x14ac:dyDescent="0.25">
      <c r="B1021" s="48">
        <v>1018</v>
      </c>
      <c r="C1021" s="53">
        <v>208600671</v>
      </c>
      <c r="D1021" s="43" t="str">
        <f t="shared" si="75"/>
        <v>2-0860-0671</v>
      </c>
      <c r="E1021" s="53" t="s">
        <v>880</v>
      </c>
      <c r="F1021" s="43" t="str">
        <f t="shared" si="76"/>
        <v xml:space="preserve">ANTHONY GABRIEL </v>
      </c>
      <c r="G1021" s="43" t="str">
        <f t="shared" si="77"/>
        <v>ANTHONY</v>
      </c>
      <c r="H1021" s="43" t="str">
        <f t="shared" si="78"/>
        <v>CAMPOS ARROYO</v>
      </c>
      <c r="I1021" s="43" t="str">
        <f t="shared" si="79"/>
        <v>ANTHONY CAMPOS ARROYO</v>
      </c>
      <c r="J1021" s="37" t="s">
        <v>2241</v>
      </c>
      <c r="K1021" s="37">
        <v>12</v>
      </c>
      <c r="L1021" s="37">
        <v>1</v>
      </c>
      <c r="M1021" s="37" t="s">
        <v>1</v>
      </c>
    </row>
    <row r="1022" spans="2:13" x14ac:dyDescent="0.25">
      <c r="B1022" s="48">
        <v>1019</v>
      </c>
      <c r="C1022" s="53">
        <v>119930616</v>
      </c>
      <c r="D1022" s="43" t="str">
        <f t="shared" si="75"/>
        <v>1-1993-0616</v>
      </c>
      <c r="E1022" s="53" t="s">
        <v>881</v>
      </c>
      <c r="F1022" s="43" t="str">
        <f t="shared" si="76"/>
        <v xml:space="preserve">TAMARA </v>
      </c>
      <c r="G1022" s="43" t="str">
        <f t="shared" si="77"/>
        <v>TAMARA</v>
      </c>
      <c r="H1022" s="43" t="str">
        <f t="shared" si="78"/>
        <v>CASTILLO GARBANZO</v>
      </c>
      <c r="I1022" s="43" t="str">
        <f t="shared" si="79"/>
        <v>TAMARA CASTILLO GARBANZO</v>
      </c>
      <c r="J1022" s="37" t="s">
        <v>2241</v>
      </c>
      <c r="K1022" s="37">
        <v>12</v>
      </c>
      <c r="L1022" s="37">
        <v>1</v>
      </c>
      <c r="M1022" s="37" t="s">
        <v>1</v>
      </c>
    </row>
    <row r="1023" spans="2:13" x14ac:dyDescent="0.25">
      <c r="B1023" s="46">
        <v>1020</v>
      </c>
      <c r="C1023" s="53">
        <v>208960357</v>
      </c>
      <c r="D1023" s="43" t="str">
        <f t="shared" si="75"/>
        <v>2-0896-0357</v>
      </c>
      <c r="E1023" s="53" t="s">
        <v>882</v>
      </c>
      <c r="F1023" s="43" t="str">
        <f t="shared" si="76"/>
        <v>RACHELL</v>
      </c>
      <c r="G1023" s="43" t="str">
        <f t="shared" si="77"/>
        <v>RACHELL</v>
      </c>
      <c r="H1023" s="43" t="str">
        <f t="shared" si="78"/>
        <v>DIAZ RODRIGUEZ</v>
      </c>
      <c r="I1023" s="43" t="str">
        <f t="shared" si="79"/>
        <v>RACHELL DIAZ RODRIGUEZ</v>
      </c>
      <c r="J1023" s="37" t="s">
        <v>2241</v>
      </c>
      <c r="K1023" s="37">
        <v>12</v>
      </c>
      <c r="L1023" s="37">
        <v>1</v>
      </c>
      <c r="M1023" s="37" t="s">
        <v>1</v>
      </c>
    </row>
    <row r="1024" spans="2:13" x14ac:dyDescent="0.25">
      <c r="B1024" s="48">
        <v>1021</v>
      </c>
      <c r="C1024" s="53">
        <v>402770381</v>
      </c>
      <c r="D1024" s="43" t="str">
        <f t="shared" si="75"/>
        <v>4-0277-0381</v>
      </c>
      <c r="E1024" s="53" t="s">
        <v>883</v>
      </c>
      <c r="F1024" s="43" t="str">
        <f t="shared" si="76"/>
        <v xml:space="preserve">JUAN PABLO </v>
      </c>
      <c r="G1024" s="43" t="str">
        <f t="shared" si="77"/>
        <v>JUAN</v>
      </c>
      <c r="H1024" s="43" t="str">
        <f t="shared" si="78"/>
        <v>GONZALEZ MIRANDA</v>
      </c>
      <c r="I1024" s="43" t="str">
        <f t="shared" si="79"/>
        <v>JUAN GONZALEZ MIRANDA</v>
      </c>
      <c r="J1024" s="37" t="s">
        <v>2241</v>
      </c>
      <c r="K1024" s="37">
        <v>12</v>
      </c>
      <c r="L1024" s="37">
        <v>1</v>
      </c>
      <c r="M1024" s="37" t="s">
        <v>1</v>
      </c>
    </row>
    <row r="1025" spans="2:13" x14ac:dyDescent="0.25">
      <c r="B1025" s="48">
        <v>1022</v>
      </c>
      <c r="C1025" s="53">
        <v>402760666</v>
      </c>
      <c r="D1025" s="43" t="str">
        <f t="shared" si="75"/>
        <v>4-0276-0666</v>
      </c>
      <c r="E1025" s="53" t="s">
        <v>884</v>
      </c>
      <c r="F1025" s="43" t="str">
        <f t="shared" si="76"/>
        <v xml:space="preserve">VALERIA DE LOS ANGELES </v>
      </c>
      <c r="G1025" s="43" t="str">
        <f t="shared" si="77"/>
        <v>VALERIA</v>
      </c>
      <c r="H1025" s="43" t="str">
        <f t="shared" si="78"/>
        <v>GUERRERO ALFARO</v>
      </c>
      <c r="I1025" s="43" t="str">
        <f t="shared" si="79"/>
        <v>VALERIA GUERRERO ALFARO</v>
      </c>
      <c r="J1025" s="37" t="s">
        <v>2241</v>
      </c>
      <c r="K1025" s="37">
        <v>12</v>
      </c>
      <c r="L1025" s="37">
        <v>1</v>
      </c>
      <c r="M1025" s="37" t="s">
        <v>1</v>
      </c>
    </row>
    <row r="1026" spans="2:13" x14ac:dyDescent="0.25">
      <c r="B1026" s="46">
        <v>1023</v>
      </c>
      <c r="C1026" s="53">
        <v>208970795</v>
      </c>
      <c r="D1026" s="43" t="str">
        <f t="shared" si="75"/>
        <v>2-0897-0795</v>
      </c>
      <c r="E1026" s="53" t="s">
        <v>885</v>
      </c>
      <c r="F1026" s="43" t="str">
        <f t="shared" si="76"/>
        <v>DANIELA</v>
      </c>
      <c r="G1026" s="43" t="str">
        <f t="shared" si="77"/>
        <v>DANIELA</v>
      </c>
      <c r="H1026" s="43" t="str">
        <f t="shared" si="78"/>
        <v>JIMENEZ ALVAREZ</v>
      </c>
      <c r="I1026" s="43" t="str">
        <f t="shared" si="79"/>
        <v>DANIELA JIMENEZ ALVAREZ</v>
      </c>
      <c r="J1026" s="37" t="s">
        <v>2241</v>
      </c>
      <c r="K1026" s="37">
        <v>12</v>
      </c>
      <c r="L1026" s="37">
        <v>1</v>
      </c>
      <c r="M1026" s="37" t="s">
        <v>1</v>
      </c>
    </row>
    <row r="1027" spans="2:13" x14ac:dyDescent="0.25">
      <c r="B1027" s="48">
        <v>1024</v>
      </c>
      <c r="C1027" s="53">
        <v>402720113</v>
      </c>
      <c r="D1027" s="43" t="str">
        <f t="shared" si="75"/>
        <v>4-0272-0113</v>
      </c>
      <c r="E1027" s="53" t="s">
        <v>886</v>
      </c>
      <c r="F1027" s="43" t="str">
        <f t="shared" si="76"/>
        <v>YEILING JIMENA</v>
      </c>
      <c r="G1027" s="43" t="str">
        <f t="shared" si="77"/>
        <v>YEILING</v>
      </c>
      <c r="H1027" s="43" t="str">
        <f t="shared" si="78"/>
        <v>MARTINEZ GONZALEZ</v>
      </c>
      <c r="I1027" s="43" t="str">
        <f t="shared" si="79"/>
        <v>YEILING MARTINEZ GONZALEZ</v>
      </c>
      <c r="J1027" s="37" t="s">
        <v>2241</v>
      </c>
      <c r="K1027" s="37">
        <v>12</v>
      </c>
      <c r="L1027" s="37">
        <v>1</v>
      </c>
      <c r="M1027" s="37" t="s">
        <v>1</v>
      </c>
    </row>
    <row r="1028" spans="2:13" x14ac:dyDescent="0.25">
      <c r="B1028" s="48">
        <v>1025</v>
      </c>
      <c r="C1028" s="53">
        <v>119690919</v>
      </c>
      <c r="D1028" s="43" t="str">
        <f t="shared" ref="D1028:D1091" si="80">IF(LEN(C1028)=9,_xlfn.CONCAT(MID(C1028,1,1),"-",MID(C1028,2,4),"-",MID(C1028,6,4)),TEXT(C1028,"000000000000"))</f>
        <v>1-1969-0919</v>
      </c>
      <c r="E1028" s="53" t="s">
        <v>887</v>
      </c>
      <c r="F1028" s="43" t="str">
        <f t="shared" si="76"/>
        <v>JAZMIN PAMELA</v>
      </c>
      <c r="G1028" s="43" t="str">
        <f t="shared" si="77"/>
        <v>JAZMIN</v>
      </c>
      <c r="H1028" s="43" t="str">
        <f t="shared" si="78"/>
        <v>MEDINA CENTENO</v>
      </c>
      <c r="I1028" s="43" t="str">
        <f t="shared" si="79"/>
        <v>JAZMIN MEDINA CENTENO</v>
      </c>
      <c r="J1028" s="37" t="s">
        <v>2241</v>
      </c>
      <c r="K1028" s="37">
        <v>12</v>
      </c>
      <c r="L1028" s="37">
        <v>1</v>
      </c>
      <c r="M1028" s="37" t="s">
        <v>1</v>
      </c>
    </row>
    <row r="1029" spans="2:13" x14ac:dyDescent="0.25">
      <c r="B1029" s="46">
        <v>1026</v>
      </c>
      <c r="C1029" s="53">
        <v>402770232</v>
      </c>
      <c r="D1029" s="43" t="str">
        <f t="shared" si="80"/>
        <v>4-0277-0232</v>
      </c>
      <c r="E1029" s="53" t="s">
        <v>888</v>
      </c>
      <c r="F1029" s="43" t="str">
        <f t="shared" ref="F1029:F1092" si="81">RIGHT(E1029,LEN(E1029)-SEARCH(" ",E1029,SEARCH(" ",E1029)+1))</f>
        <v xml:space="preserve">SARAH </v>
      </c>
      <c r="G1029" s="43" t="str">
        <f t="shared" ref="G1029:G1092" si="82">IFERROR(LEFT(F1029,SEARCH(" ",F1029,1)-1),F1029)</f>
        <v>SARAH</v>
      </c>
      <c r="H1029" s="43" t="str">
        <f t="shared" ref="H1029:H1092" si="83">LEFT(E1029,SEARCH(" ",E1029,SEARCH(" ",E1029)+1)-1)</f>
        <v>MOLINA NUÑEZ</v>
      </c>
      <c r="I1029" s="43" t="str">
        <f t="shared" ref="I1029:I1092" si="84">_xlfn.CONCAT(G1029," ",H1029)</f>
        <v>SARAH MOLINA NUÑEZ</v>
      </c>
      <c r="J1029" s="37" t="s">
        <v>2241</v>
      </c>
      <c r="K1029" s="37">
        <v>12</v>
      </c>
      <c r="L1029" s="37">
        <v>1</v>
      </c>
      <c r="M1029" s="37" t="s">
        <v>1</v>
      </c>
    </row>
    <row r="1030" spans="2:13" x14ac:dyDescent="0.25">
      <c r="B1030" s="48">
        <v>1027</v>
      </c>
      <c r="C1030" s="53">
        <v>208950979</v>
      </c>
      <c r="D1030" s="43" t="str">
        <f t="shared" si="80"/>
        <v>2-0895-0979</v>
      </c>
      <c r="E1030" s="53" t="s">
        <v>889</v>
      </c>
      <c r="F1030" s="43" t="str">
        <f t="shared" si="81"/>
        <v>KENETH GABRIEL</v>
      </c>
      <c r="G1030" s="43" t="str">
        <f t="shared" si="82"/>
        <v>KENETH</v>
      </c>
      <c r="H1030" s="43" t="str">
        <f t="shared" si="83"/>
        <v>MONTERO HERRERA</v>
      </c>
      <c r="I1030" s="43" t="str">
        <f t="shared" si="84"/>
        <v>KENETH MONTERO HERRERA</v>
      </c>
      <c r="J1030" s="37" t="s">
        <v>2241</v>
      </c>
      <c r="K1030" s="37">
        <v>12</v>
      </c>
      <c r="L1030" s="37">
        <v>1</v>
      </c>
      <c r="M1030" s="37" t="s">
        <v>1</v>
      </c>
    </row>
    <row r="1031" spans="2:13" x14ac:dyDescent="0.25">
      <c r="B1031" s="48">
        <v>1028</v>
      </c>
      <c r="C1031" s="33">
        <v>208930298</v>
      </c>
      <c r="D1031" s="43" t="str">
        <f t="shared" si="80"/>
        <v>2-0893-0298</v>
      </c>
      <c r="E1031" s="33" t="s">
        <v>890</v>
      </c>
      <c r="F1031" s="43" t="str">
        <f t="shared" si="81"/>
        <v>KRISTEL DAYANNA</v>
      </c>
      <c r="G1031" s="43" t="str">
        <f t="shared" si="82"/>
        <v>KRISTEL</v>
      </c>
      <c r="H1031" s="43" t="str">
        <f t="shared" si="83"/>
        <v>RODRIGUEZ OROZCO</v>
      </c>
      <c r="I1031" s="43" t="str">
        <f t="shared" si="84"/>
        <v>KRISTEL RODRIGUEZ OROZCO</v>
      </c>
      <c r="J1031" s="37" t="s">
        <v>2241</v>
      </c>
      <c r="K1031" s="37">
        <v>12</v>
      </c>
      <c r="L1031" s="37">
        <v>1</v>
      </c>
      <c r="M1031" s="37" t="s">
        <v>1</v>
      </c>
    </row>
    <row r="1032" spans="2:13" x14ac:dyDescent="0.25">
      <c r="B1032" s="46">
        <v>1029</v>
      </c>
      <c r="C1032" s="64">
        <v>208860842</v>
      </c>
      <c r="D1032" s="43" t="str">
        <f t="shared" si="80"/>
        <v>2-0886-0842</v>
      </c>
      <c r="E1032" s="53" t="s">
        <v>891</v>
      </c>
      <c r="F1032" s="43" t="str">
        <f t="shared" si="81"/>
        <v>DAINA ISABELLA</v>
      </c>
      <c r="G1032" s="43" t="str">
        <f t="shared" si="82"/>
        <v>DAINA</v>
      </c>
      <c r="H1032" s="43" t="str">
        <f t="shared" si="83"/>
        <v>SALAZAR PICADO</v>
      </c>
      <c r="I1032" s="43" t="str">
        <f t="shared" si="84"/>
        <v>DAINA SALAZAR PICADO</v>
      </c>
      <c r="J1032" s="37" t="s">
        <v>2241</v>
      </c>
      <c r="K1032" s="37">
        <v>12</v>
      </c>
      <c r="L1032" s="37">
        <v>1</v>
      </c>
      <c r="M1032" s="37" t="s">
        <v>1</v>
      </c>
    </row>
    <row r="1033" spans="2:13" x14ac:dyDescent="0.25">
      <c r="B1033" s="48">
        <v>1030</v>
      </c>
      <c r="C1033" s="53">
        <v>208940299</v>
      </c>
      <c r="D1033" s="43" t="str">
        <f t="shared" si="80"/>
        <v>2-0894-0299</v>
      </c>
      <c r="E1033" s="53" t="s">
        <v>892</v>
      </c>
      <c r="F1033" s="43" t="str">
        <f t="shared" si="81"/>
        <v>LUCIA</v>
      </c>
      <c r="G1033" s="43" t="str">
        <f t="shared" si="82"/>
        <v>LUCIA</v>
      </c>
      <c r="H1033" s="43" t="str">
        <f t="shared" si="83"/>
        <v>SANDI MORA</v>
      </c>
      <c r="I1033" s="43" t="str">
        <f t="shared" si="84"/>
        <v>LUCIA SANDI MORA</v>
      </c>
      <c r="J1033" s="37" t="s">
        <v>2241</v>
      </c>
      <c r="K1033" s="37">
        <v>12</v>
      </c>
      <c r="L1033" s="37">
        <v>1</v>
      </c>
      <c r="M1033" s="37" t="s">
        <v>1</v>
      </c>
    </row>
    <row r="1034" spans="2:13" x14ac:dyDescent="0.25">
      <c r="B1034" s="48">
        <v>1031</v>
      </c>
      <c r="C1034" s="53">
        <v>208920813</v>
      </c>
      <c r="D1034" s="43" t="str">
        <f t="shared" si="80"/>
        <v>2-0892-0813</v>
      </c>
      <c r="E1034" s="53" t="s">
        <v>893</v>
      </c>
      <c r="F1034" s="43" t="str">
        <f t="shared" si="81"/>
        <v>YERSON JOSUE</v>
      </c>
      <c r="G1034" s="43" t="str">
        <f t="shared" si="82"/>
        <v>YERSON</v>
      </c>
      <c r="H1034" s="43" t="str">
        <f t="shared" si="83"/>
        <v>VARGAS LOPEZ</v>
      </c>
      <c r="I1034" s="43" t="str">
        <f t="shared" si="84"/>
        <v>YERSON VARGAS LOPEZ</v>
      </c>
      <c r="J1034" s="37" t="s">
        <v>2241</v>
      </c>
      <c r="K1034" s="37">
        <v>12</v>
      </c>
      <c r="L1034" s="37">
        <v>1</v>
      </c>
      <c r="M1034" s="37" t="s">
        <v>1</v>
      </c>
    </row>
    <row r="1035" spans="2:13" x14ac:dyDescent="0.25">
      <c r="B1035" s="46">
        <v>1032</v>
      </c>
      <c r="C1035" s="53">
        <v>208850662</v>
      </c>
      <c r="D1035" s="43" t="str">
        <f t="shared" si="80"/>
        <v>2-0885-0662</v>
      </c>
      <c r="E1035" s="53" t="s">
        <v>894</v>
      </c>
      <c r="F1035" s="43" t="str">
        <f t="shared" si="81"/>
        <v>ANDIEL</v>
      </c>
      <c r="G1035" s="43" t="str">
        <f t="shared" si="82"/>
        <v>ANDIEL</v>
      </c>
      <c r="H1035" s="43" t="str">
        <f t="shared" si="83"/>
        <v>VIQUEZ CHAVES</v>
      </c>
      <c r="I1035" s="43" t="str">
        <f t="shared" si="84"/>
        <v>ANDIEL VIQUEZ CHAVES</v>
      </c>
      <c r="J1035" s="37" t="s">
        <v>2241</v>
      </c>
      <c r="K1035" s="37">
        <v>12</v>
      </c>
      <c r="L1035" s="37">
        <v>1</v>
      </c>
      <c r="M1035" s="37" t="s">
        <v>1</v>
      </c>
    </row>
    <row r="1036" spans="2:13" x14ac:dyDescent="0.25">
      <c r="B1036" s="48">
        <v>1033</v>
      </c>
      <c r="C1036" s="41">
        <v>208890872</v>
      </c>
      <c r="D1036" s="43" t="str">
        <f t="shared" si="80"/>
        <v>2-0889-0872</v>
      </c>
      <c r="E1036" s="58" t="s">
        <v>895</v>
      </c>
      <c r="F1036" s="43" t="str">
        <f t="shared" si="81"/>
        <v>ISAAC JOSÉ</v>
      </c>
      <c r="G1036" s="43" t="str">
        <f t="shared" si="82"/>
        <v>ISAAC</v>
      </c>
      <c r="H1036" s="43" t="str">
        <f t="shared" si="83"/>
        <v>ALVARADO ARGUELLO</v>
      </c>
      <c r="I1036" s="43" t="str">
        <f t="shared" si="84"/>
        <v>ISAAC ALVARADO ARGUELLO</v>
      </c>
      <c r="J1036" s="37" t="s">
        <v>741</v>
      </c>
      <c r="K1036" s="37">
        <v>12</v>
      </c>
      <c r="L1036" s="37">
        <v>1</v>
      </c>
      <c r="M1036" s="37" t="s">
        <v>0</v>
      </c>
    </row>
    <row r="1037" spans="2:13" x14ac:dyDescent="0.25">
      <c r="B1037" s="48">
        <v>1034</v>
      </c>
      <c r="C1037" s="41">
        <v>208910733</v>
      </c>
      <c r="D1037" s="43" t="str">
        <f t="shared" si="80"/>
        <v>2-0891-0733</v>
      </c>
      <c r="E1037" s="58" t="s">
        <v>896</v>
      </c>
      <c r="F1037" s="43" t="str">
        <f t="shared" si="81"/>
        <v>MARÍA JOSÉ</v>
      </c>
      <c r="G1037" s="43" t="str">
        <f t="shared" si="82"/>
        <v>MARÍA</v>
      </c>
      <c r="H1037" s="43" t="str">
        <f t="shared" si="83"/>
        <v>AVENDAÑO GUTIERREZ</v>
      </c>
      <c r="I1037" s="43" t="str">
        <f t="shared" si="84"/>
        <v>MARÍA AVENDAÑO GUTIERREZ</v>
      </c>
      <c r="J1037" s="37" t="s">
        <v>741</v>
      </c>
      <c r="K1037" s="37">
        <v>12</v>
      </c>
      <c r="L1037" s="37">
        <v>1</v>
      </c>
      <c r="M1037" s="37" t="s">
        <v>0</v>
      </c>
    </row>
    <row r="1038" spans="2:13" x14ac:dyDescent="0.25">
      <c r="B1038" s="46">
        <v>1035</v>
      </c>
      <c r="C1038" s="41">
        <v>208940849</v>
      </c>
      <c r="D1038" s="43" t="str">
        <f t="shared" si="80"/>
        <v>2-0894-0849</v>
      </c>
      <c r="E1038" s="58" t="s">
        <v>897</v>
      </c>
      <c r="F1038" s="43" t="str">
        <f t="shared" si="81"/>
        <v>MAURICIO</v>
      </c>
      <c r="G1038" s="43" t="str">
        <f t="shared" si="82"/>
        <v>MAURICIO</v>
      </c>
      <c r="H1038" s="43" t="str">
        <f t="shared" si="83"/>
        <v>BARRANTES ROJAS</v>
      </c>
      <c r="I1038" s="43" t="str">
        <f t="shared" si="84"/>
        <v>MAURICIO BARRANTES ROJAS</v>
      </c>
      <c r="J1038" s="37" t="s">
        <v>741</v>
      </c>
      <c r="K1038" s="37">
        <v>12</v>
      </c>
      <c r="L1038" s="37">
        <v>1</v>
      </c>
      <c r="M1038" s="37" t="s">
        <v>0</v>
      </c>
    </row>
    <row r="1039" spans="2:13" x14ac:dyDescent="0.25">
      <c r="B1039" s="48">
        <v>1036</v>
      </c>
      <c r="C1039" s="41">
        <v>208890557</v>
      </c>
      <c r="D1039" s="43" t="str">
        <f t="shared" si="80"/>
        <v>2-0889-0557</v>
      </c>
      <c r="E1039" s="58" t="s">
        <v>898</v>
      </c>
      <c r="F1039" s="43" t="str">
        <f t="shared" si="81"/>
        <v>TATIANA</v>
      </c>
      <c r="G1039" s="43" t="str">
        <f t="shared" si="82"/>
        <v>TATIANA</v>
      </c>
      <c r="H1039" s="43" t="str">
        <f t="shared" si="83"/>
        <v>CALERO ORTIZ</v>
      </c>
      <c r="I1039" s="43" t="str">
        <f t="shared" si="84"/>
        <v>TATIANA CALERO ORTIZ</v>
      </c>
      <c r="J1039" s="37" t="s">
        <v>741</v>
      </c>
      <c r="K1039" s="37">
        <v>12</v>
      </c>
      <c r="L1039" s="37">
        <v>1</v>
      </c>
      <c r="M1039" s="37" t="s">
        <v>0</v>
      </c>
    </row>
    <row r="1040" spans="2:13" x14ac:dyDescent="0.25">
      <c r="B1040" s="48">
        <v>1037</v>
      </c>
      <c r="C1040" s="41">
        <v>703320993</v>
      </c>
      <c r="D1040" s="43" t="str">
        <f t="shared" si="80"/>
        <v>7-0332-0993</v>
      </c>
      <c r="E1040" s="58" t="s">
        <v>899</v>
      </c>
      <c r="F1040" s="43" t="str">
        <f t="shared" si="81"/>
        <v>ASLY</v>
      </c>
      <c r="G1040" s="43" t="str">
        <f t="shared" si="82"/>
        <v>ASLY</v>
      </c>
      <c r="H1040" s="43" t="str">
        <f t="shared" si="83"/>
        <v>COOPER CRUZ</v>
      </c>
      <c r="I1040" s="43" t="str">
        <f t="shared" si="84"/>
        <v>ASLY COOPER CRUZ</v>
      </c>
      <c r="J1040" s="37" t="s">
        <v>741</v>
      </c>
      <c r="K1040" s="37">
        <v>12</v>
      </c>
      <c r="L1040" s="37">
        <v>1</v>
      </c>
      <c r="M1040" s="37" t="s">
        <v>0</v>
      </c>
    </row>
    <row r="1041" spans="2:13" x14ac:dyDescent="0.25">
      <c r="B1041" s="46">
        <v>1038</v>
      </c>
      <c r="C1041" s="53">
        <v>402740633</v>
      </c>
      <c r="D1041" s="43" t="str">
        <f t="shared" si="80"/>
        <v>4-0274-0633</v>
      </c>
      <c r="E1041" s="58" t="s">
        <v>900</v>
      </c>
      <c r="F1041" s="43" t="str">
        <f t="shared" si="81"/>
        <v>JIMENA</v>
      </c>
      <c r="G1041" s="43" t="str">
        <f t="shared" si="82"/>
        <v>JIMENA</v>
      </c>
      <c r="H1041" s="43" t="str">
        <f t="shared" si="83"/>
        <v>FERNANDEZ CARVAJAL</v>
      </c>
      <c r="I1041" s="43" t="str">
        <f t="shared" si="84"/>
        <v>JIMENA FERNANDEZ CARVAJAL</v>
      </c>
      <c r="J1041" s="37" t="s">
        <v>741</v>
      </c>
      <c r="K1041" s="37">
        <v>12</v>
      </c>
      <c r="L1041" s="37">
        <v>1</v>
      </c>
      <c r="M1041" s="37" t="s">
        <v>0</v>
      </c>
    </row>
    <row r="1042" spans="2:13" x14ac:dyDescent="0.25">
      <c r="B1042" s="48">
        <v>1039</v>
      </c>
      <c r="C1042" s="53">
        <v>402760829</v>
      </c>
      <c r="D1042" s="43" t="str">
        <f t="shared" si="80"/>
        <v>4-0276-0829</v>
      </c>
      <c r="E1042" s="58" t="s">
        <v>901</v>
      </c>
      <c r="F1042" s="43" t="str">
        <f t="shared" si="81"/>
        <v xml:space="preserve">YIRLANNY </v>
      </c>
      <c r="G1042" s="43" t="str">
        <f t="shared" si="82"/>
        <v>YIRLANNY</v>
      </c>
      <c r="H1042" s="43" t="str">
        <f t="shared" si="83"/>
        <v>GONZALEZ CARBALLO</v>
      </c>
      <c r="I1042" s="43" t="str">
        <f t="shared" si="84"/>
        <v>YIRLANNY GONZALEZ CARBALLO</v>
      </c>
      <c r="J1042" s="37" t="s">
        <v>741</v>
      </c>
      <c r="K1042" s="37">
        <v>12</v>
      </c>
      <c r="L1042" s="37">
        <v>1</v>
      </c>
      <c r="M1042" s="37" t="s">
        <v>0</v>
      </c>
    </row>
    <row r="1043" spans="2:13" x14ac:dyDescent="0.25">
      <c r="B1043" s="48">
        <v>1040</v>
      </c>
      <c r="C1043" s="53">
        <v>119830244</v>
      </c>
      <c r="D1043" s="43" t="str">
        <f t="shared" si="80"/>
        <v>1-1983-0244</v>
      </c>
      <c r="E1043" s="58" t="s">
        <v>902</v>
      </c>
      <c r="F1043" s="43" t="str">
        <f t="shared" si="81"/>
        <v>ALLISON STEPHANIE</v>
      </c>
      <c r="G1043" s="43" t="str">
        <f t="shared" si="82"/>
        <v>ALLISON</v>
      </c>
      <c r="H1043" s="43" t="str">
        <f t="shared" si="83"/>
        <v>MEZA MARTINEZ</v>
      </c>
      <c r="I1043" s="43" t="str">
        <f t="shared" si="84"/>
        <v>ALLISON MEZA MARTINEZ</v>
      </c>
      <c r="J1043" s="37" t="s">
        <v>741</v>
      </c>
      <c r="K1043" s="37">
        <v>12</v>
      </c>
      <c r="L1043" s="37">
        <v>1</v>
      </c>
      <c r="M1043" s="37" t="s">
        <v>0</v>
      </c>
    </row>
    <row r="1044" spans="2:13" x14ac:dyDescent="0.25">
      <c r="B1044" s="46">
        <v>1041</v>
      </c>
      <c r="C1044" s="53">
        <v>402750073</v>
      </c>
      <c r="D1044" s="43" t="str">
        <f t="shared" si="80"/>
        <v>4-0275-0073</v>
      </c>
      <c r="E1044" s="58" t="s">
        <v>903</v>
      </c>
      <c r="F1044" s="43" t="str">
        <f t="shared" si="81"/>
        <v xml:space="preserve">ISAAC JOSUÉ </v>
      </c>
      <c r="G1044" s="43" t="str">
        <f t="shared" si="82"/>
        <v>ISAAC</v>
      </c>
      <c r="H1044" s="43" t="str">
        <f t="shared" si="83"/>
        <v>MIRANDA ARAYA</v>
      </c>
      <c r="I1044" s="43" t="str">
        <f t="shared" si="84"/>
        <v>ISAAC MIRANDA ARAYA</v>
      </c>
      <c r="J1044" s="37" t="s">
        <v>741</v>
      </c>
      <c r="K1044" s="37">
        <v>12</v>
      </c>
      <c r="L1044" s="37">
        <v>1</v>
      </c>
      <c r="M1044" s="37" t="s">
        <v>0</v>
      </c>
    </row>
    <row r="1045" spans="2:13" x14ac:dyDescent="0.25">
      <c r="B1045" s="48">
        <v>1042</v>
      </c>
      <c r="C1045" s="40">
        <v>402740185</v>
      </c>
      <c r="D1045" s="43" t="str">
        <f t="shared" si="80"/>
        <v>4-0274-0185</v>
      </c>
      <c r="E1045" s="59" t="s">
        <v>904</v>
      </c>
      <c r="F1045" s="43" t="str">
        <f t="shared" si="81"/>
        <v xml:space="preserve">MARÍA CELESTE </v>
      </c>
      <c r="G1045" s="43" t="str">
        <f t="shared" si="82"/>
        <v>MARÍA</v>
      </c>
      <c r="H1045" s="43" t="str">
        <f t="shared" si="83"/>
        <v>MUÑOZ HERNÁNDEZ</v>
      </c>
      <c r="I1045" s="43" t="str">
        <f t="shared" si="84"/>
        <v>MARÍA MUÑOZ HERNÁNDEZ</v>
      </c>
      <c r="J1045" s="37" t="s">
        <v>741</v>
      </c>
      <c r="K1045" s="37">
        <v>12</v>
      </c>
      <c r="L1045" s="37">
        <v>1</v>
      </c>
      <c r="M1045" s="37" t="s">
        <v>0</v>
      </c>
    </row>
    <row r="1046" spans="2:13" x14ac:dyDescent="0.25">
      <c r="B1046" s="48">
        <v>1043</v>
      </c>
      <c r="C1046" s="40">
        <v>402760446</v>
      </c>
      <c r="D1046" s="43" t="str">
        <f t="shared" si="80"/>
        <v>4-0276-0446</v>
      </c>
      <c r="E1046" s="59" t="s">
        <v>905</v>
      </c>
      <c r="F1046" s="43" t="str">
        <f t="shared" si="81"/>
        <v xml:space="preserve">HAZEL PAMELA </v>
      </c>
      <c r="G1046" s="43" t="str">
        <f t="shared" si="82"/>
        <v>HAZEL</v>
      </c>
      <c r="H1046" s="43" t="str">
        <f t="shared" si="83"/>
        <v>PICADO HERNÁNDEZ</v>
      </c>
      <c r="I1046" s="43" t="str">
        <f t="shared" si="84"/>
        <v>HAZEL PICADO HERNÁNDEZ</v>
      </c>
      <c r="J1046" s="37" t="s">
        <v>741</v>
      </c>
      <c r="K1046" s="37">
        <v>12</v>
      </c>
      <c r="L1046" s="37">
        <v>1</v>
      </c>
      <c r="M1046" s="37" t="s">
        <v>0</v>
      </c>
    </row>
    <row r="1047" spans="2:13" x14ac:dyDescent="0.25">
      <c r="B1047" s="46">
        <v>1044</v>
      </c>
      <c r="C1047" s="48">
        <v>402770510</v>
      </c>
      <c r="D1047" s="43" t="str">
        <f t="shared" si="80"/>
        <v>4-0277-0510</v>
      </c>
      <c r="E1047" s="59" t="s">
        <v>906</v>
      </c>
      <c r="F1047" s="43" t="str">
        <f t="shared" si="81"/>
        <v>SARA MARGARITA</v>
      </c>
      <c r="G1047" s="43" t="str">
        <f t="shared" si="82"/>
        <v>SARA</v>
      </c>
      <c r="H1047" s="43" t="str">
        <f t="shared" si="83"/>
        <v>RODRIGUEZ ALVARADO</v>
      </c>
      <c r="I1047" s="43" t="str">
        <f t="shared" si="84"/>
        <v>SARA RODRIGUEZ ALVARADO</v>
      </c>
      <c r="J1047" s="37" t="s">
        <v>741</v>
      </c>
      <c r="K1047" s="37">
        <v>12</v>
      </c>
      <c r="L1047" s="37">
        <v>1</v>
      </c>
      <c r="M1047" s="37" t="s">
        <v>0</v>
      </c>
    </row>
    <row r="1048" spans="2:13" x14ac:dyDescent="0.25">
      <c r="B1048" s="48">
        <v>1045</v>
      </c>
      <c r="C1048" s="33">
        <v>119570296</v>
      </c>
      <c r="D1048" s="43" t="str">
        <f t="shared" si="80"/>
        <v>1-1957-0296</v>
      </c>
      <c r="E1048" s="60" t="s">
        <v>907</v>
      </c>
      <c r="F1048" s="43" t="str">
        <f t="shared" si="81"/>
        <v>DARVIN DAVID</v>
      </c>
      <c r="G1048" s="43" t="str">
        <f t="shared" si="82"/>
        <v>DARVIN</v>
      </c>
      <c r="H1048" s="43" t="str">
        <f t="shared" si="83"/>
        <v>ZAPATA MONGE</v>
      </c>
      <c r="I1048" s="43" t="str">
        <f t="shared" si="84"/>
        <v>DARVIN ZAPATA MONGE</v>
      </c>
      <c r="J1048" s="37" t="s">
        <v>741</v>
      </c>
      <c r="K1048" s="37">
        <v>12</v>
      </c>
      <c r="L1048" s="37">
        <v>1</v>
      </c>
      <c r="M1048" s="37" t="s">
        <v>0</v>
      </c>
    </row>
    <row r="1049" spans="2:13" x14ac:dyDescent="0.25">
      <c r="B1049" s="48">
        <v>1046</v>
      </c>
      <c r="C1049" s="53">
        <v>402740566</v>
      </c>
      <c r="D1049" s="43" t="str">
        <f t="shared" si="80"/>
        <v>4-0274-0566</v>
      </c>
      <c r="E1049" s="53" t="s">
        <v>908</v>
      </c>
      <c r="F1049" s="43" t="str">
        <f t="shared" si="81"/>
        <v xml:space="preserve">SOFIA </v>
      </c>
      <c r="G1049" s="43" t="str">
        <f t="shared" si="82"/>
        <v>SOFIA</v>
      </c>
      <c r="H1049" s="43" t="str">
        <f t="shared" si="83"/>
        <v>ALFARO GONZALEZ</v>
      </c>
      <c r="I1049" s="43" t="str">
        <f t="shared" si="84"/>
        <v>SOFIA ALFARO GONZALEZ</v>
      </c>
      <c r="J1049" s="37" t="s">
        <v>2241</v>
      </c>
      <c r="K1049" s="37">
        <v>12</v>
      </c>
      <c r="L1049" s="37">
        <v>2</v>
      </c>
      <c r="M1049" s="37" t="s">
        <v>1</v>
      </c>
    </row>
    <row r="1050" spans="2:13" x14ac:dyDescent="0.25">
      <c r="B1050" s="46">
        <v>1047</v>
      </c>
      <c r="C1050" s="53">
        <v>402720807</v>
      </c>
      <c r="D1050" s="43" t="str">
        <f t="shared" si="80"/>
        <v>4-0272-0807</v>
      </c>
      <c r="E1050" s="53" t="s">
        <v>909</v>
      </c>
      <c r="F1050" s="43" t="str">
        <f t="shared" si="81"/>
        <v xml:space="preserve">JIMENA VANESA </v>
      </c>
      <c r="G1050" s="43" t="str">
        <f t="shared" si="82"/>
        <v>JIMENA</v>
      </c>
      <c r="H1050" s="43" t="str">
        <f t="shared" si="83"/>
        <v>BERMUDEZ MEJIA</v>
      </c>
      <c r="I1050" s="43" t="str">
        <f t="shared" si="84"/>
        <v>JIMENA BERMUDEZ MEJIA</v>
      </c>
      <c r="J1050" s="37" t="s">
        <v>2241</v>
      </c>
      <c r="K1050" s="37">
        <v>12</v>
      </c>
      <c r="L1050" s="37">
        <v>2</v>
      </c>
      <c r="M1050" s="37" t="s">
        <v>1</v>
      </c>
    </row>
    <row r="1051" spans="2:13" x14ac:dyDescent="0.25">
      <c r="B1051" s="48">
        <v>1048</v>
      </c>
      <c r="C1051" s="33">
        <v>208740017</v>
      </c>
      <c r="D1051" s="43" t="str">
        <f t="shared" si="80"/>
        <v>2-0874-0017</v>
      </c>
      <c r="E1051" s="33" t="s">
        <v>910</v>
      </c>
      <c r="F1051" s="43" t="str">
        <f t="shared" si="81"/>
        <v>BRITTANY VALERIA</v>
      </c>
      <c r="G1051" s="43" t="str">
        <f t="shared" si="82"/>
        <v>BRITTANY</v>
      </c>
      <c r="H1051" s="43" t="str">
        <f t="shared" si="83"/>
        <v>CALVO ARGUEDAS</v>
      </c>
      <c r="I1051" s="43" t="str">
        <f t="shared" si="84"/>
        <v>BRITTANY CALVO ARGUEDAS</v>
      </c>
      <c r="J1051" s="37" t="s">
        <v>2241</v>
      </c>
      <c r="K1051" s="37">
        <v>12</v>
      </c>
      <c r="L1051" s="37">
        <v>2</v>
      </c>
      <c r="M1051" s="37" t="s">
        <v>1</v>
      </c>
    </row>
    <row r="1052" spans="2:13" x14ac:dyDescent="0.25">
      <c r="B1052" s="48">
        <v>1049</v>
      </c>
      <c r="C1052" s="53">
        <v>208930416</v>
      </c>
      <c r="D1052" s="43" t="str">
        <f t="shared" si="80"/>
        <v>2-0893-0416</v>
      </c>
      <c r="E1052" s="53" t="s">
        <v>911</v>
      </c>
      <c r="F1052" s="43" t="str">
        <f t="shared" si="81"/>
        <v xml:space="preserve">MARIA PAULA </v>
      </c>
      <c r="G1052" s="43" t="str">
        <f t="shared" si="82"/>
        <v>MARIA</v>
      </c>
      <c r="H1052" s="43" t="str">
        <f t="shared" si="83"/>
        <v>CALVO MORA</v>
      </c>
      <c r="I1052" s="43" t="str">
        <f t="shared" si="84"/>
        <v>MARIA CALVO MORA</v>
      </c>
      <c r="J1052" s="37" t="s">
        <v>2241</v>
      </c>
      <c r="K1052" s="37">
        <v>12</v>
      </c>
      <c r="L1052" s="37">
        <v>2</v>
      </c>
      <c r="M1052" s="37" t="s">
        <v>1</v>
      </c>
    </row>
    <row r="1053" spans="2:13" x14ac:dyDescent="0.25">
      <c r="B1053" s="46">
        <v>1050</v>
      </c>
      <c r="C1053" s="53">
        <v>402770478</v>
      </c>
      <c r="D1053" s="43" t="str">
        <f t="shared" si="80"/>
        <v>4-0277-0478</v>
      </c>
      <c r="E1053" s="53" t="s">
        <v>912</v>
      </c>
      <c r="F1053" s="43" t="str">
        <f t="shared" si="81"/>
        <v>KEILYN DANIELA</v>
      </c>
      <c r="G1053" s="43" t="str">
        <f t="shared" si="82"/>
        <v>KEILYN</v>
      </c>
      <c r="H1053" s="43" t="str">
        <f t="shared" si="83"/>
        <v>GOMEZ OBANDO</v>
      </c>
      <c r="I1053" s="43" t="str">
        <f t="shared" si="84"/>
        <v>KEILYN GOMEZ OBANDO</v>
      </c>
      <c r="J1053" s="37" t="s">
        <v>2241</v>
      </c>
      <c r="K1053" s="37">
        <v>12</v>
      </c>
      <c r="L1053" s="37">
        <v>2</v>
      </c>
      <c r="M1053" s="37" t="s">
        <v>1</v>
      </c>
    </row>
    <row r="1054" spans="2:13" x14ac:dyDescent="0.25">
      <c r="B1054" s="48">
        <v>1051</v>
      </c>
      <c r="C1054" s="53">
        <v>208870516</v>
      </c>
      <c r="D1054" s="43" t="str">
        <f t="shared" si="80"/>
        <v>2-0887-0516</v>
      </c>
      <c r="E1054" s="53" t="s">
        <v>913</v>
      </c>
      <c r="F1054" s="43" t="str">
        <f t="shared" si="81"/>
        <v>JIMENA</v>
      </c>
      <c r="G1054" s="43" t="str">
        <f t="shared" si="82"/>
        <v>JIMENA</v>
      </c>
      <c r="H1054" s="43" t="str">
        <f t="shared" si="83"/>
        <v>HERNANDEZ GARBANZO</v>
      </c>
      <c r="I1054" s="43" t="str">
        <f t="shared" si="84"/>
        <v>JIMENA HERNANDEZ GARBANZO</v>
      </c>
      <c r="J1054" s="37" t="s">
        <v>2241</v>
      </c>
      <c r="K1054" s="37">
        <v>12</v>
      </c>
      <c r="L1054" s="37">
        <v>2</v>
      </c>
      <c r="M1054" s="37" t="s">
        <v>1</v>
      </c>
    </row>
    <row r="1055" spans="2:13" x14ac:dyDescent="0.25">
      <c r="B1055" s="48">
        <v>1052</v>
      </c>
      <c r="C1055" s="33">
        <v>208710785</v>
      </c>
      <c r="D1055" s="43" t="str">
        <f t="shared" si="80"/>
        <v>2-0871-0785</v>
      </c>
      <c r="E1055" s="33" t="s">
        <v>914</v>
      </c>
      <c r="F1055" s="43" t="str">
        <f t="shared" si="81"/>
        <v>FIORELLA MARIA</v>
      </c>
      <c r="G1055" s="43" t="str">
        <f t="shared" si="82"/>
        <v>FIORELLA</v>
      </c>
      <c r="H1055" s="43" t="str">
        <f t="shared" si="83"/>
        <v>LEON VEGA</v>
      </c>
      <c r="I1055" s="43" t="str">
        <f t="shared" si="84"/>
        <v>FIORELLA LEON VEGA</v>
      </c>
      <c r="J1055" s="37" t="s">
        <v>2241</v>
      </c>
      <c r="K1055" s="37">
        <v>12</v>
      </c>
      <c r="L1055" s="37">
        <v>2</v>
      </c>
      <c r="M1055" s="37" t="s">
        <v>1</v>
      </c>
    </row>
    <row r="1056" spans="2:13" x14ac:dyDescent="0.25">
      <c r="B1056" s="46">
        <v>1053</v>
      </c>
      <c r="C1056" s="53">
        <v>119500543</v>
      </c>
      <c r="D1056" s="43" t="str">
        <f t="shared" si="80"/>
        <v>1-1950-0543</v>
      </c>
      <c r="E1056" s="53" t="s">
        <v>915</v>
      </c>
      <c r="F1056" s="43" t="str">
        <f t="shared" si="81"/>
        <v>BARIAN JAFETH</v>
      </c>
      <c r="G1056" s="43" t="str">
        <f t="shared" si="82"/>
        <v>BARIAN</v>
      </c>
      <c r="H1056" s="43" t="str">
        <f t="shared" si="83"/>
        <v>MELENDEZ ALVAREZ</v>
      </c>
      <c r="I1056" s="43" t="str">
        <f t="shared" si="84"/>
        <v>BARIAN MELENDEZ ALVAREZ</v>
      </c>
      <c r="J1056" s="37" t="s">
        <v>2241</v>
      </c>
      <c r="K1056" s="37">
        <v>12</v>
      </c>
      <c r="L1056" s="37">
        <v>2</v>
      </c>
      <c r="M1056" s="37" t="s">
        <v>1</v>
      </c>
    </row>
    <row r="1057" spans="2:13" x14ac:dyDescent="0.25">
      <c r="B1057" s="48">
        <v>1054</v>
      </c>
      <c r="C1057" s="53">
        <v>402730846</v>
      </c>
      <c r="D1057" s="43" t="str">
        <f t="shared" si="80"/>
        <v>4-0273-0846</v>
      </c>
      <c r="E1057" s="53" t="s">
        <v>916</v>
      </c>
      <c r="F1057" s="43" t="str">
        <f t="shared" si="81"/>
        <v xml:space="preserve">VALERIA </v>
      </c>
      <c r="G1057" s="43" t="str">
        <f t="shared" si="82"/>
        <v>VALERIA</v>
      </c>
      <c r="H1057" s="43" t="str">
        <f t="shared" si="83"/>
        <v>MONTERO SÁNCHEZ</v>
      </c>
      <c r="I1057" s="43" t="str">
        <f t="shared" si="84"/>
        <v>VALERIA MONTERO SÁNCHEZ</v>
      </c>
      <c r="J1057" s="37" t="s">
        <v>2241</v>
      </c>
      <c r="K1057" s="37">
        <v>12</v>
      </c>
      <c r="L1057" s="37">
        <v>2</v>
      </c>
      <c r="M1057" s="37" t="s">
        <v>1</v>
      </c>
    </row>
    <row r="1058" spans="2:13" x14ac:dyDescent="0.25">
      <c r="B1058" s="48">
        <v>1055</v>
      </c>
      <c r="C1058" s="53">
        <v>208880770</v>
      </c>
      <c r="D1058" s="43" t="str">
        <f t="shared" si="80"/>
        <v>2-0888-0770</v>
      </c>
      <c r="E1058" s="53" t="s">
        <v>917</v>
      </c>
      <c r="F1058" s="43" t="str">
        <f t="shared" si="81"/>
        <v xml:space="preserve">KENNETH DARIEL </v>
      </c>
      <c r="G1058" s="43" t="str">
        <f t="shared" si="82"/>
        <v>KENNETH</v>
      </c>
      <c r="H1058" s="43" t="str">
        <f t="shared" si="83"/>
        <v>OBREGON SANCHEZ</v>
      </c>
      <c r="I1058" s="43" t="str">
        <f t="shared" si="84"/>
        <v>KENNETH OBREGON SANCHEZ</v>
      </c>
      <c r="J1058" s="37" t="s">
        <v>2241</v>
      </c>
      <c r="K1058" s="37">
        <v>12</v>
      </c>
      <c r="L1058" s="37">
        <v>2</v>
      </c>
      <c r="M1058" s="37" t="s">
        <v>1</v>
      </c>
    </row>
    <row r="1059" spans="2:13" x14ac:dyDescent="0.25">
      <c r="B1059" s="46">
        <v>1056</v>
      </c>
      <c r="C1059" s="53">
        <v>208880536</v>
      </c>
      <c r="D1059" s="43" t="str">
        <f t="shared" si="80"/>
        <v>2-0888-0536</v>
      </c>
      <c r="E1059" s="53" t="s">
        <v>918</v>
      </c>
      <c r="F1059" s="43" t="str">
        <f t="shared" si="81"/>
        <v>SEBASTIAN</v>
      </c>
      <c r="G1059" s="43" t="str">
        <f t="shared" si="82"/>
        <v>SEBASTIAN</v>
      </c>
      <c r="H1059" s="43" t="str">
        <f t="shared" si="83"/>
        <v>OVARES QUIROS</v>
      </c>
      <c r="I1059" s="43" t="str">
        <f t="shared" si="84"/>
        <v>SEBASTIAN OVARES QUIROS</v>
      </c>
      <c r="J1059" s="37" t="s">
        <v>2241</v>
      </c>
      <c r="K1059" s="37">
        <v>12</v>
      </c>
      <c r="L1059" s="37">
        <v>2</v>
      </c>
      <c r="M1059" s="37" t="s">
        <v>1</v>
      </c>
    </row>
    <row r="1060" spans="2:13" x14ac:dyDescent="0.25">
      <c r="B1060" s="48">
        <v>1057</v>
      </c>
      <c r="C1060" s="33">
        <v>208900885</v>
      </c>
      <c r="D1060" s="43" t="str">
        <f t="shared" si="80"/>
        <v>2-0890-0885</v>
      </c>
      <c r="E1060" s="53" t="s">
        <v>919</v>
      </c>
      <c r="F1060" s="43" t="str">
        <f t="shared" si="81"/>
        <v>DAVID</v>
      </c>
      <c r="G1060" s="43" t="str">
        <f t="shared" si="82"/>
        <v>DAVID</v>
      </c>
      <c r="H1060" s="43" t="str">
        <f t="shared" si="83"/>
        <v>SOLANO MOYA</v>
      </c>
      <c r="I1060" s="43" t="str">
        <f t="shared" si="84"/>
        <v>DAVID SOLANO MOYA</v>
      </c>
      <c r="J1060" s="37" t="s">
        <v>2241</v>
      </c>
      <c r="K1060" s="37">
        <v>12</v>
      </c>
      <c r="L1060" s="37">
        <v>2</v>
      </c>
      <c r="M1060" s="37" t="s">
        <v>1</v>
      </c>
    </row>
    <row r="1061" spans="2:13" x14ac:dyDescent="0.25">
      <c r="B1061" s="48">
        <v>1058</v>
      </c>
      <c r="C1061" s="53">
        <v>208930699</v>
      </c>
      <c r="D1061" s="43" t="str">
        <f t="shared" si="80"/>
        <v>2-0893-0699</v>
      </c>
      <c r="E1061" s="53" t="s">
        <v>920</v>
      </c>
      <c r="F1061" s="43" t="str">
        <f t="shared" si="81"/>
        <v xml:space="preserve">GENESIS SARAY </v>
      </c>
      <c r="G1061" s="43" t="str">
        <f t="shared" si="82"/>
        <v>GENESIS</v>
      </c>
      <c r="H1061" s="43" t="str">
        <f t="shared" si="83"/>
        <v>SOTO CARDENAS</v>
      </c>
      <c r="I1061" s="43" t="str">
        <f t="shared" si="84"/>
        <v>GENESIS SOTO CARDENAS</v>
      </c>
      <c r="J1061" s="37" t="s">
        <v>2241</v>
      </c>
      <c r="K1061" s="37">
        <v>12</v>
      </c>
      <c r="L1061" s="37">
        <v>2</v>
      </c>
      <c r="M1061" s="37" t="s">
        <v>1</v>
      </c>
    </row>
    <row r="1062" spans="2:13" x14ac:dyDescent="0.25">
      <c r="B1062" s="46">
        <v>1059</v>
      </c>
      <c r="C1062" s="53">
        <v>119800443</v>
      </c>
      <c r="D1062" s="43" t="str">
        <f t="shared" si="80"/>
        <v>1-1980-0443</v>
      </c>
      <c r="E1062" s="53" t="s">
        <v>921</v>
      </c>
      <c r="F1062" s="43" t="str">
        <f t="shared" si="81"/>
        <v xml:space="preserve">FERGIE JIMENA </v>
      </c>
      <c r="G1062" s="43" t="str">
        <f t="shared" si="82"/>
        <v>FERGIE</v>
      </c>
      <c r="H1062" s="43" t="str">
        <f t="shared" si="83"/>
        <v>SOTO RODRIGUEZ</v>
      </c>
      <c r="I1062" s="43" t="str">
        <f t="shared" si="84"/>
        <v>FERGIE SOTO RODRIGUEZ</v>
      </c>
      <c r="J1062" s="37" t="s">
        <v>2241</v>
      </c>
      <c r="K1062" s="37">
        <v>12</v>
      </c>
      <c r="L1062" s="37">
        <v>2</v>
      </c>
      <c r="M1062" s="37" t="s">
        <v>1</v>
      </c>
    </row>
    <row r="1063" spans="2:13" x14ac:dyDescent="0.25">
      <c r="B1063" s="48">
        <v>1060</v>
      </c>
      <c r="C1063" s="53">
        <v>208850855</v>
      </c>
      <c r="D1063" s="43" t="str">
        <f t="shared" si="80"/>
        <v>2-0885-0855</v>
      </c>
      <c r="E1063" s="53" t="s">
        <v>922</v>
      </c>
      <c r="F1063" s="43" t="str">
        <f t="shared" si="81"/>
        <v xml:space="preserve">NICOLE </v>
      </c>
      <c r="G1063" s="43" t="str">
        <f t="shared" si="82"/>
        <v>NICOLE</v>
      </c>
      <c r="H1063" s="43" t="str">
        <f t="shared" si="83"/>
        <v>ZAMORA RODRIGUEZ</v>
      </c>
      <c r="I1063" s="43" t="str">
        <f t="shared" si="84"/>
        <v>NICOLE ZAMORA RODRIGUEZ</v>
      </c>
      <c r="J1063" s="37" t="s">
        <v>2241</v>
      </c>
      <c r="K1063" s="37">
        <v>12</v>
      </c>
      <c r="L1063" s="37">
        <v>2</v>
      </c>
      <c r="M1063" s="37" t="s">
        <v>1</v>
      </c>
    </row>
    <row r="1064" spans="2:13" x14ac:dyDescent="0.25">
      <c r="B1064" s="48">
        <v>1061</v>
      </c>
      <c r="C1064" s="40">
        <v>402690458</v>
      </c>
      <c r="D1064" s="43" t="str">
        <f t="shared" si="80"/>
        <v>4-0269-0458</v>
      </c>
      <c r="E1064" s="59" t="s">
        <v>923</v>
      </c>
      <c r="F1064" s="43" t="str">
        <f t="shared" si="81"/>
        <v>JIMMY JOSÉ</v>
      </c>
      <c r="G1064" s="43" t="str">
        <f t="shared" si="82"/>
        <v>JIMMY</v>
      </c>
      <c r="H1064" s="43" t="str">
        <f t="shared" si="83"/>
        <v>CARBALLO VELÁSQUEZ</v>
      </c>
      <c r="I1064" s="43" t="str">
        <f t="shared" si="84"/>
        <v>JIMMY CARBALLO VELÁSQUEZ</v>
      </c>
      <c r="J1064" s="37" t="s">
        <v>741</v>
      </c>
      <c r="K1064" s="37">
        <v>12</v>
      </c>
      <c r="L1064" s="37">
        <v>2</v>
      </c>
      <c r="M1064" s="37" t="s">
        <v>0</v>
      </c>
    </row>
    <row r="1065" spans="2:13" x14ac:dyDescent="0.25">
      <c r="B1065" s="46">
        <v>1062</v>
      </c>
      <c r="C1065" s="41">
        <v>120050018</v>
      </c>
      <c r="D1065" s="43" t="str">
        <f t="shared" si="80"/>
        <v>1-2005-0018</v>
      </c>
      <c r="E1065" s="34" t="s">
        <v>924</v>
      </c>
      <c r="F1065" s="43" t="str">
        <f t="shared" si="81"/>
        <v xml:space="preserve">CALEB </v>
      </c>
      <c r="G1065" s="43" t="str">
        <f t="shared" si="82"/>
        <v>CALEB</v>
      </c>
      <c r="H1065" s="43" t="str">
        <f t="shared" si="83"/>
        <v>CASTILLO ALFARO</v>
      </c>
      <c r="I1065" s="43" t="str">
        <f t="shared" si="84"/>
        <v>CALEB CASTILLO ALFARO</v>
      </c>
      <c r="J1065" s="37" t="s">
        <v>741</v>
      </c>
      <c r="K1065" s="37">
        <v>12</v>
      </c>
      <c r="L1065" s="37">
        <v>2</v>
      </c>
      <c r="M1065" s="37" t="s">
        <v>0</v>
      </c>
    </row>
    <row r="1066" spans="2:13" x14ac:dyDescent="0.25">
      <c r="B1066" s="48">
        <v>1063</v>
      </c>
      <c r="C1066" s="41">
        <v>208880583</v>
      </c>
      <c r="D1066" s="43" t="str">
        <f t="shared" si="80"/>
        <v>2-0888-0583</v>
      </c>
      <c r="E1066" s="58" t="s">
        <v>925</v>
      </c>
      <c r="F1066" s="43" t="str">
        <f t="shared" si="81"/>
        <v xml:space="preserve">DALLAY </v>
      </c>
      <c r="G1066" s="43" t="str">
        <f t="shared" si="82"/>
        <v>DALLAY</v>
      </c>
      <c r="H1066" s="43" t="str">
        <f t="shared" si="83"/>
        <v>CORRALES DURÁN</v>
      </c>
      <c r="I1066" s="43" t="str">
        <f t="shared" si="84"/>
        <v>DALLAY CORRALES DURÁN</v>
      </c>
      <c r="J1066" s="37" t="s">
        <v>741</v>
      </c>
      <c r="K1066" s="37">
        <v>12</v>
      </c>
      <c r="L1066" s="37">
        <v>2</v>
      </c>
      <c r="M1066" s="37" t="s">
        <v>0</v>
      </c>
    </row>
    <row r="1067" spans="2:13" x14ac:dyDescent="0.25">
      <c r="B1067" s="48">
        <v>1064</v>
      </c>
      <c r="C1067" s="53">
        <v>402760847</v>
      </c>
      <c r="D1067" s="43" t="str">
        <f t="shared" si="80"/>
        <v>4-0276-0847</v>
      </c>
      <c r="E1067" s="53" t="s">
        <v>926</v>
      </c>
      <c r="F1067" s="43" t="str">
        <f t="shared" si="81"/>
        <v>MARIANGEL</v>
      </c>
      <c r="G1067" s="43" t="str">
        <f t="shared" si="82"/>
        <v>MARIANGEL</v>
      </c>
      <c r="H1067" s="43" t="str">
        <f t="shared" si="83"/>
        <v>HERRERA RODRÍGUEZ</v>
      </c>
      <c r="I1067" s="43" t="str">
        <f t="shared" si="84"/>
        <v>MARIANGEL HERRERA RODRÍGUEZ</v>
      </c>
      <c r="J1067" s="37" t="s">
        <v>741</v>
      </c>
      <c r="K1067" s="37">
        <v>12</v>
      </c>
      <c r="L1067" s="37">
        <v>2</v>
      </c>
      <c r="M1067" s="37" t="s">
        <v>0</v>
      </c>
    </row>
    <row r="1068" spans="2:13" x14ac:dyDescent="0.25">
      <c r="B1068" s="46">
        <v>1065</v>
      </c>
      <c r="C1068" s="40">
        <v>208630006</v>
      </c>
      <c r="D1068" s="43" t="str">
        <f t="shared" si="80"/>
        <v>2-0863-0006</v>
      </c>
      <c r="E1068" s="60" t="s">
        <v>927</v>
      </c>
      <c r="F1068" s="43" t="str">
        <f t="shared" si="81"/>
        <v>SHARON NICOLE</v>
      </c>
      <c r="G1068" s="43" t="str">
        <f t="shared" si="82"/>
        <v>SHARON</v>
      </c>
      <c r="H1068" s="43" t="str">
        <f t="shared" si="83"/>
        <v>MUÑOZ ROSTRÁN</v>
      </c>
      <c r="I1068" s="43" t="str">
        <f t="shared" si="84"/>
        <v>SHARON MUÑOZ ROSTRÁN</v>
      </c>
      <c r="J1068" s="37" t="s">
        <v>741</v>
      </c>
      <c r="K1068" s="37">
        <v>12</v>
      </c>
      <c r="L1068" s="37">
        <v>2</v>
      </c>
      <c r="M1068" s="37" t="s">
        <v>0</v>
      </c>
    </row>
    <row r="1069" spans="2:13" x14ac:dyDescent="0.25">
      <c r="B1069" s="48">
        <v>1066</v>
      </c>
      <c r="C1069" s="40">
        <v>208850388</v>
      </c>
      <c r="D1069" s="43" t="str">
        <f t="shared" si="80"/>
        <v>2-0885-0388</v>
      </c>
      <c r="E1069" s="59" t="s">
        <v>928</v>
      </c>
      <c r="F1069" s="43" t="str">
        <f t="shared" si="81"/>
        <v>JENNIFER</v>
      </c>
      <c r="G1069" s="43" t="str">
        <f t="shared" si="82"/>
        <v>JENNIFER</v>
      </c>
      <c r="H1069" s="43" t="str">
        <f t="shared" si="83"/>
        <v>RAMÍREZ REYES</v>
      </c>
      <c r="I1069" s="43" t="str">
        <f t="shared" si="84"/>
        <v>JENNIFER RAMÍREZ REYES</v>
      </c>
      <c r="J1069" s="37" t="s">
        <v>741</v>
      </c>
      <c r="K1069" s="37">
        <v>12</v>
      </c>
      <c r="L1069" s="37">
        <v>2</v>
      </c>
      <c r="M1069" s="37" t="s">
        <v>0</v>
      </c>
    </row>
    <row r="1070" spans="2:13" x14ac:dyDescent="0.25">
      <c r="B1070" s="48">
        <v>1067</v>
      </c>
      <c r="C1070" s="40">
        <v>208920934</v>
      </c>
      <c r="D1070" s="43" t="str">
        <f t="shared" si="80"/>
        <v>2-0892-0934</v>
      </c>
      <c r="E1070" s="52" t="s">
        <v>929</v>
      </c>
      <c r="F1070" s="43" t="str">
        <f t="shared" si="81"/>
        <v>CAMILA</v>
      </c>
      <c r="G1070" s="43" t="str">
        <f t="shared" si="82"/>
        <v>CAMILA</v>
      </c>
      <c r="H1070" s="43" t="str">
        <f t="shared" si="83"/>
        <v>RODRIGUEZ DIAZ</v>
      </c>
      <c r="I1070" s="43" t="str">
        <f t="shared" si="84"/>
        <v>CAMILA RODRIGUEZ DIAZ</v>
      </c>
      <c r="J1070" s="37" t="s">
        <v>741</v>
      </c>
      <c r="K1070" s="37">
        <v>12</v>
      </c>
      <c r="L1070" s="37">
        <v>2</v>
      </c>
      <c r="M1070" s="37" t="s">
        <v>0</v>
      </c>
    </row>
    <row r="1071" spans="2:13" x14ac:dyDescent="0.25">
      <c r="B1071" s="46">
        <v>1068</v>
      </c>
      <c r="C1071" s="41">
        <v>208890770</v>
      </c>
      <c r="D1071" s="43" t="str">
        <f t="shared" si="80"/>
        <v>2-0889-0770</v>
      </c>
      <c r="E1071" s="34" t="s">
        <v>930</v>
      </c>
      <c r="F1071" s="43" t="str">
        <f t="shared" si="81"/>
        <v>ISAAC  DE JESUS</v>
      </c>
      <c r="G1071" s="43" t="str">
        <f t="shared" si="82"/>
        <v>ISAAC</v>
      </c>
      <c r="H1071" s="43" t="str">
        <f t="shared" si="83"/>
        <v>RODRÍGUEZ SALAS</v>
      </c>
      <c r="I1071" s="43" t="str">
        <f t="shared" si="84"/>
        <v>ISAAC RODRÍGUEZ SALAS</v>
      </c>
      <c r="J1071" s="37" t="s">
        <v>741</v>
      </c>
      <c r="K1071" s="37">
        <v>12</v>
      </c>
      <c r="L1071" s="37">
        <v>2</v>
      </c>
      <c r="M1071" s="37" t="s">
        <v>0</v>
      </c>
    </row>
    <row r="1072" spans="2:13" x14ac:dyDescent="0.25">
      <c r="B1072" s="48">
        <v>1069</v>
      </c>
      <c r="C1072" s="41">
        <v>119860760</v>
      </c>
      <c r="D1072" s="43" t="str">
        <f t="shared" si="80"/>
        <v>1-1986-0760</v>
      </c>
      <c r="E1072" s="34" t="s">
        <v>931</v>
      </c>
      <c r="F1072" s="43" t="str">
        <f t="shared" si="81"/>
        <v>KEYSI TANISHA</v>
      </c>
      <c r="G1072" s="43" t="str">
        <f t="shared" si="82"/>
        <v>KEYSI</v>
      </c>
      <c r="H1072" s="43" t="str">
        <f t="shared" si="83"/>
        <v>RUIZ GUZMÁN</v>
      </c>
      <c r="I1072" s="43" t="str">
        <f t="shared" si="84"/>
        <v>KEYSI RUIZ GUZMÁN</v>
      </c>
      <c r="J1072" s="37" t="s">
        <v>741</v>
      </c>
      <c r="K1072" s="37">
        <v>12</v>
      </c>
      <c r="L1072" s="37">
        <v>2</v>
      </c>
      <c r="M1072" s="37" t="s">
        <v>0</v>
      </c>
    </row>
    <row r="1073" spans="2:13" x14ac:dyDescent="0.25">
      <c r="B1073" s="48">
        <v>1070</v>
      </c>
      <c r="C1073" s="48">
        <v>208930405</v>
      </c>
      <c r="D1073" s="43" t="str">
        <f t="shared" si="80"/>
        <v>2-0893-0405</v>
      </c>
      <c r="E1073" s="61" t="s">
        <v>932</v>
      </c>
      <c r="F1073" s="43" t="str">
        <f t="shared" si="81"/>
        <v xml:space="preserve">RACHEL </v>
      </c>
      <c r="G1073" s="43" t="str">
        <f t="shared" si="82"/>
        <v>RACHEL</v>
      </c>
      <c r="H1073" s="43" t="str">
        <f t="shared" si="83"/>
        <v>SALAS BOGANTES</v>
      </c>
      <c r="I1073" s="43" t="str">
        <f t="shared" si="84"/>
        <v>RACHEL SALAS BOGANTES</v>
      </c>
      <c r="J1073" s="37" t="s">
        <v>741</v>
      </c>
      <c r="K1073" s="37">
        <v>12</v>
      </c>
      <c r="L1073" s="37">
        <v>2</v>
      </c>
      <c r="M1073" s="37" t="s">
        <v>0</v>
      </c>
    </row>
    <row r="1074" spans="2:13" x14ac:dyDescent="0.25">
      <c r="B1074" s="46">
        <v>1071</v>
      </c>
      <c r="C1074" s="48">
        <v>208860962</v>
      </c>
      <c r="D1074" s="43" t="str">
        <f t="shared" si="80"/>
        <v>2-0886-0962</v>
      </c>
      <c r="E1074" s="61" t="s">
        <v>933</v>
      </c>
      <c r="F1074" s="43" t="str">
        <f t="shared" si="81"/>
        <v xml:space="preserve">SCARLETT DARIANA </v>
      </c>
      <c r="G1074" s="43" t="str">
        <f t="shared" si="82"/>
        <v>SCARLETT</v>
      </c>
      <c r="H1074" s="43" t="str">
        <f t="shared" si="83"/>
        <v>SALAZAR ÁLVAREZ</v>
      </c>
      <c r="I1074" s="43" t="str">
        <f t="shared" si="84"/>
        <v>SCARLETT SALAZAR ÁLVAREZ</v>
      </c>
      <c r="J1074" s="37" t="s">
        <v>741</v>
      </c>
      <c r="K1074" s="37">
        <v>12</v>
      </c>
      <c r="L1074" s="37">
        <v>2</v>
      </c>
      <c r="M1074" s="37" t="s">
        <v>0</v>
      </c>
    </row>
    <row r="1075" spans="2:13" x14ac:dyDescent="0.25">
      <c r="B1075" s="48">
        <v>1072</v>
      </c>
      <c r="C1075" s="53">
        <v>208920817</v>
      </c>
      <c r="D1075" s="43" t="str">
        <f t="shared" si="80"/>
        <v>2-0892-0817</v>
      </c>
      <c r="E1075" s="53" t="s">
        <v>934</v>
      </c>
      <c r="F1075" s="43" t="str">
        <f t="shared" si="81"/>
        <v>NAYELHÍ</v>
      </c>
      <c r="G1075" s="43" t="str">
        <f t="shared" si="82"/>
        <v>NAYELHÍ</v>
      </c>
      <c r="H1075" s="43" t="str">
        <f t="shared" si="83"/>
        <v>SALAZAR REYES</v>
      </c>
      <c r="I1075" s="43" t="str">
        <f t="shared" si="84"/>
        <v>NAYELHÍ SALAZAR REYES</v>
      </c>
      <c r="J1075" s="37" t="s">
        <v>741</v>
      </c>
      <c r="K1075" s="37">
        <v>12</v>
      </c>
      <c r="L1075" s="37">
        <v>2</v>
      </c>
      <c r="M1075" s="37" t="s">
        <v>0</v>
      </c>
    </row>
    <row r="1076" spans="2:13" x14ac:dyDescent="0.25">
      <c r="B1076" s="48">
        <v>1073</v>
      </c>
      <c r="C1076" s="48">
        <v>208890013</v>
      </c>
      <c r="D1076" s="43" t="str">
        <f t="shared" si="80"/>
        <v>2-0889-0013</v>
      </c>
      <c r="E1076" s="61" t="s">
        <v>935</v>
      </c>
      <c r="F1076" s="43" t="str">
        <f t="shared" si="81"/>
        <v xml:space="preserve">STEVEN FRANCISCO </v>
      </c>
      <c r="G1076" s="43" t="str">
        <f t="shared" si="82"/>
        <v>STEVEN</v>
      </c>
      <c r="H1076" s="43" t="str">
        <f t="shared" si="83"/>
        <v>SALAZAR UMAÑA</v>
      </c>
      <c r="I1076" s="43" t="str">
        <f t="shared" si="84"/>
        <v>STEVEN SALAZAR UMAÑA</v>
      </c>
      <c r="J1076" s="37" t="s">
        <v>741</v>
      </c>
      <c r="K1076" s="37">
        <v>12</v>
      </c>
      <c r="L1076" s="37">
        <v>2</v>
      </c>
      <c r="M1076" s="37" t="s">
        <v>0</v>
      </c>
    </row>
    <row r="1077" spans="2:13" x14ac:dyDescent="0.25">
      <c r="B1077" s="46">
        <v>1074</v>
      </c>
      <c r="C1077" s="53">
        <v>208900352</v>
      </c>
      <c r="D1077" s="43" t="str">
        <f t="shared" si="80"/>
        <v>2-0890-0352</v>
      </c>
      <c r="E1077" s="53" t="s">
        <v>936</v>
      </c>
      <c r="F1077" s="43" t="str">
        <f t="shared" si="81"/>
        <v>SEBASTIAN</v>
      </c>
      <c r="G1077" s="43" t="str">
        <f t="shared" si="82"/>
        <v>SEBASTIAN</v>
      </c>
      <c r="H1077" s="43" t="str">
        <f t="shared" si="83"/>
        <v>ALFARO ARIAS</v>
      </c>
      <c r="I1077" s="43" t="str">
        <f t="shared" si="84"/>
        <v>SEBASTIAN ALFARO ARIAS</v>
      </c>
      <c r="J1077" s="37" t="s">
        <v>656</v>
      </c>
      <c r="K1077" s="37">
        <v>12</v>
      </c>
      <c r="L1077" s="37">
        <v>3</v>
      </c>
      <c r="M1077" s="37" t="s">
        <v>1</v>
      </c>
    </row>
    <row r="1078" spans="2:13" x14ac:dyDescent="0.25">
      <c r="B1078" s="48">
        <v>1075</v>
      </c>
      <c r="C1078" s="53">
        <v>208850410</v>
      </c>
      <c r="D1078" s="43" t="str">
        <f t="shared" si="80"/>
        <v>2-0885-0410</v>
      </c>
      <c r="E1078" s="53" t="s">
        <v>937</v>
      </c>
      <c r="F1078" s="43" t="str">
        <f t="shared" si="81"/>
        <v>KEITY</v>
      </c>
      <c r="G1078" s="43" t="str">
        <f t="shared" si="82"/>
        <v>KEITY</v>
      </c>
      <c r="H1078" s="43" t="str">
        <f t="shared" si="83"/>
        <v>CAMBRONERO MOYA</v>
      </c>
      <c r="I1078" s="43" t="str">
        <f t="shared" si="84"/>
        <v>KEITY CAMBRONERO MOYA</v>
      </c>
      <c r="J1078" s="37" t="s">
        <v>656</v>
      </c>
      <c r="K1078" s="37">
        <v>12</v>
      </c>
      <c r="L1078" s="37">
        <v>3</v>
      </c>
      <c r="M1078" s="37" t="s">
        <v>1</v>
      </c>
    </row>
    <row r="1079" spans="2:13" x14ac:dyDescent="0.25">
      <c r="B1079" s="48">
        <v>1076</v>
      </c>
      <c r="C1079" s="53">
        <v>402750704</v>
      </c>
      <c r="D1079" s="43" t="str">
        <f t="shared" si="80"/>
        <v>4-0275-0704</v>
      </c>
      <c r="E1079" s="53" t="s">
        <v>938</v>
      </c>
      <c r="F1079" s="43" t="str">
        <f t="shared" si="81"/>
        <v xml:space="preserve">KEVIN FRANCISCO </v>
      </c>
      <c r="G1079" s="43" t="str">
        <f t="shared" si="82"/>
        <v>KEVIN</v>
      </c>
      <c r="H1079" s="43" t="str">
        <f t="shared" si="83"/>
        <v>CAMBRONERO VARGAS</v>
      </c>
      <c r="I1079" s="43" t="str">
        <f t="shared" si="84"/>
        <v>KEVIN CAMBRONERO VARGAS</v>
      </c>
      <c r="J1079" s="37" t="s">
        <v>656</v>
      </c>
      <c r="K1079" s="37">
        <v>12</v>
      </c>
      <c r="L1079" s="37">
        <v>3</v>
      </c>
      <c r="M1079" s="37" t="s">
        <v>1</v>
      </c>
    </row>
    <row r="1080" spans="2:13" x14ac:dyDescent="0.25">
      <c r="B1080" s="46">
        <v>1077</v>
      </c>
      <c r="C1080" s="53">
        <f>999991077</f>
        <v>999991077</v>
      </c>
      <c r="D1080" s="43" t="s">
        <v>939</v>
      </c>
      <c r="E1080" s="53" t="s">
        <v>2346</v>
      </c>
      <c r="F1080" s="43" t="str">
        <f t="shared" si="81"/>
        <v>FREDERIK (Intercambio)</v>
      </c>
      <c r="G1080" s="43" t="str">
        <f t="shared" si="82"/>
        <v>FREDERIK</v>
      </c>
      <c r="H1080" s="43" t="str">
        <f t="shared" si="83"/>
        <v>FISCHER NILS</v>
      </c>
      <c r="I1080" s="43" t="str">
        <f t="shared" si="84"/>
        <v>FREDERIK FISCHER NILS</v>
      </c>
      <c r="J1080" s="37" t="s">
        <v>656</v>
      </c>
      <c r="K1080" s="37">
        <v>12</v>
      </c>
      <c r="L1080" s="37">
        <v>3</v>
      </c>
      <c r="M1080" s="37" t="s">
        <v>1</v>
      </c>
    </row>
    <row r="1081" spans="2:13" x14ac:dyDescent="0.25">
      <c r="B1081" s="48">
        <v>1078</v>
      </c>
      <c r="C1081" s="53">
        <v>901320388</v>
      </c>
      <c r="D1081" s="43" t="str">
        <f t="shared" si="80"/>
        <v>9-0132-0388</v>
      </c>
      <c r="E1081" s="53" t="s">
        <v>940</v>
      </c>
      <c r="F1081" s="43" t="str">
        <f t="shared" si="81"/>
        <v xml:space="preserve">JILDY MALKIN </v>
      </c>
      <c r="G1081" s="43" t="str">
        <f t="shared" si="82"/>
        <v>JILDY</v>
      </c>
      <c r="H1081" s="43" t="str">
        <f t="shared" si="83"/>
        <v>HENRIQUEZ VILLALOBOS</v>
      </c>
      <c r="I1081" s="43" t="str">
        <f t="shared" si="84"/>
        <v>JILDY HENRIQUEZ VILLALOBOS</v>
      </c>
      <c r="J1081" s="37" t="s">
        <v>656</v>
      </c>
      <c r="K1081" s="37">
        <v>12</v>
      </c>
      <c r="L1081" s="37">
        <v>3</v>
      </c>
      <c r="M1081" s="37" t="s">
        <v>1</v>
      </c>
    </row>
    <row r="1082" spans="2:13" x14ac:dyDescent="0.25">
      <c r="B1082" s="48">
        <v>1079</v>
      </c>
      <c r="C1082" s="53">
        <v>402750710</v>
      </c>
      <c r="D1082" s="43" t="str">
        <f t="shared" si="80"/>
        <v>4-0275-0710</v>
      </c>
      <c r="E1082" s="53" t="s">
        <v>941</v>
      </c>
      <c r="F1082" s="43" t="str">
        <f t="shared" si="81"/>
        <v>KEYLOR ANDREY</v>
      </c>
      <c r="G1082" s="43" t="str">
        <f t="shared" si="82"/>
        <v>KEYLOR</v>
      </c>
      <c r="H1082" s="43" t="str">
        <f t="shared" si="83"/>
        <v>MORA SALAS</v>
      </c>
      <c r="I1082" s="43" t="str">
        <f t="shared" si="84"/>
        <v>KEYLOR MORA SALAS</v>
      </c>
      <c r="J1082" s="37" t="s">
        <v>656</v>
      </c>
      <c r="K1082" s="37">
        <v>12</v>
      </c>
      <c r="L1082" s="37">
        <v>3</v>
      </c>
      <c r="M1082" s="37" t="s">
        <v>1</v>
      </c>
    </row>
    <row r="1083" spans="2:13" x14ac:dyDescent="0.25">
      <c r="B1083" s="46">
        <v>1080</v>
      </c>
      <c r="C1083" s="53">
        <v>208850014</v>
      </c>
      <c r="D1083" s="43" t="str">
        <f t="shared" si="80"/>
        <v>2-0885-0014</v>
      </c>
      <c r="E1083" s="53" t="s">
        <v>942</v>
      </c>
      <c r="F1083" s="43" t="str">
        <f t="shared" si="81"/>
        <v xml:space="preserve">LEONARDO </v>
      </c>
      <c r="G1083" s="43" t="str">
        <f t="shared" si="82"/>
        <v>LEONARDO</v>
      </c>
      <c r="H1083" s="43" t="str">
        <f t="shared" si="83"/>
        <v>MORALES MURILLO</v>
      </c>
      <c r="I1083" s="43" t="str">
        <f t="shared" si="84"/>
        <v>LEONARDO MORALES MURILLO</v>
      </c>
      <c r="J1083" s="37" t="s">
        <v>656</v>
      </c>
      <c r="K1083" s="37">
        <v>12</v>
      </c>
      <c r="L1083" s="37">
        <v>3</v>
      </c>
      <c r="M1083" s="37" t="s">
        <v>1</v>
      </c>
    </row>
    <row r="1084" spans="2:13" x14ac:dyDescent="0.25">
      <c r="B1084" s="48">
        <v>1081</v>
      </c>
      <c r="C1084" s="62">
        <v>402770427</v>
      </c>
      <c r="D1084" s="43" t="str">
        <f t="shared" si="80"/>
        <v>4-0277-0427</v>
      </c>
      <c r="E1084" s="62" t="s">
        <v>943</v>
      </c>
      <c r="F1084" s="43" t="str">
        <f t="shared" si="81"/>
        <v xml:space="preserve">YARISSA </v>
      </c>
      <c r="G1084" s="43" t="str">
        <f t="shared" si="82"/>
        <v>YARISSA</v>
      </c>
      <c r="H1084" s="43" t="str">
        <f t="shared" si="83"/>
        <v>OVIEDO SOTO</v>
      </c>
      <c r="I1084" s="43" t="str">
        <f t="shared" si="84"/>
        <v>YARISSA OVIEDO SOTO</v>
      </c>
      <c r="J1084" s="37" t="s">
        <v>656</v>
      </c>
      <c r="K1084" s="37">
        <v>12</v>
      </c>
      <c r="L1084" s="37">
        <v>3</v>
      </c>
      <c r="M1084" s="37" t="s">
        <v>1</v>
      </c>
    </row>
    <row r="1085" spans="2:13" x14ac:dyDescent="0.25">
      <c r="B1085" s="48">
        <v>1082</v>
      </c>
      <c r="C1085" s="53">
        <v>119890868</v>
      </c>
      <c r="D1085" s="43" t="str">
        <f t="shared" si="80"/>
        <v>1-1989-0868</v>
      </c>
      <c r="E1085" s="53" t="s">
        <v>944</v>
      </c>
      <c r="F1085" s="43" t="str">
        <f t="shared" si="81"/>
        <v xml:space="preserve">BENJAMIN RAMON </v>
      </c>
      <c r="G1085" s="43" t="str">
        <f t="shared" si="82"/>
        <v>BENJAMIN</v>
      </c>
      <c r="H1085" s="43" t="str">
        <f t="shared" si="83"/>
        <v>PANIAGUA SALAZAR</v>
      </c>
      <c r="I1085" s="43" t="str">
        <f t="shared" si="84"/>
        <v>BENJAMIN PANIAGUA SALAZAR</v>
      </c>
      <c r="J1085" s="37" t="s">
        <v>656</v>
      </c>
      <c r="K1085" s="37">
        <v>12</v>
      </c>
      <c r="L1085" s="37">
        <v>3</v>
      </c>
      <c r="M1085" s="37" t="s">
        <v>1</v>
      </c>
    </row>
    <row r="1086" spans="2:13" x14ac:dyDescent="0.25">
      <c r="B1086" s="46">
        <v>1083</v>
      </c>
      <c r="C1086" s="53">
        <v>208810385</v>
      </c>
      <c r="D1086" s="43" t="str">
        <f t="shared" si="80"/>
        <v>2-0881-0385</v>
      </c>
      <c r="E1086" s="53" t="s">
        <v>945</v>
      </c>
      <c r="F1086" s="43" t="str">
        <f t="shared" si="81"/>
        <v>YENUAR FABRICIO</v>
      </c>
      <c r="G1086" s="43" t="str">
        <f t="shared" si="82"/>
        <v>YENUAR</v>
      </c>
      <c r="H1086" s="43" t="str">
        <f t="shared" si="83"/>
        <v>PEREZ ROJAS</v>
      </c>
      <c r="I1086" s="43" t="str">
        <f t="shared" si="84"/>
        <v>YENUAR PEREZ ROJAS</v>
      </c>
      <c r="J1086" s="37" t="s">
        <v>656</v>
      </c>
      <c r="K1086" s="37">
        <v>12</v>
      </c>
      <c r="L1086" s="37">
        <v>3</v>
      </c>
      <c r="M1086" s="37" t="s">
        <v>1</v>
      </c>
    </row>
    <row r="1087" spans="2:13" x14ac:dyDescent="0.25">
      <c r="B1087" s="48">
        <v>1084</v>
      </c>
      <c r="C1087" s="53">
        <v>119670097</v>
      </c>
      <c r="D1087" s="43" t="str">
        <f t="shared" si="80"/>
        <v>1-1967-0097</v>
      </c>
      <c r="E1087" s="33" t="s">
        <v>946</v>
      </c>
      <c r="F1087" s="43" t="str">
        <f t="shared" si="81"/>
        <v>AARON SCHNEIDER</v>
      </c>
      <c r="G1087" s="43" t="str">
        <f t="shared" si="82"/>
        <v>AARON</v>
      </c>
      <c r="H1087" s="43" t="str">
        <f t="shared" si="83"/>
        <v>RODRIGUEZ BRAVO</v>
      </c>
      <c r="I1087" s="43" t="str">
        <f t="shared" si="84"/>
        <v>AARON RODRIGUEZ BRAVO</v>
      </c>
      <c r="J1087" s="37" t="s">
        <v>656</v>
      </c>
      <c r="K1087" s="37">
        <v>12</v>
      </c>
      <c r="L1087" s="37">
        <v>3</v>
      </c>
      <c r="M1087" s="37" t="s">
        <v>1</v>
      </c>
    </row>
    <row r="1088" spans="2:13" x14ac:dyDescent="0.25">
      <c r="B1088" s="48">
        <v>1085</v>
      </c>
      <c r="C1088" s="53">
        <v>402770524</v>
      </c>
      <c r="D1088" s="43" t="str">
        <f t="shared" si="80"/>
        <v>4-0277-0524</v>
      </c>
      <c r="E1088" s="53" t="s">
        <v>947</v>
      </c>
      <c r="F1088" s="43" t="str">
        <f t="shared" si="81"/>
        <v>BRANDON YOREL</v>
      </c>
      <c r="G1088" s="43" t="str">
        <f t="shared" si="82"/>
        <v>BRANDON</v>
      </c>
      <c r="H1088" s="43" t="str">
        <f t="shared" si="83"/>
        <v>SALAZAR SALAS</v>
      </c>
      <c r="I1088" s="43" t="str">
        <f t="shared" si="84"/>
        <v>BRANDON SALAZAR SALAS</v>
      </c>
      <c r="J1088" s="37" t="s">
        <v>656</v>
      </c>
      <c r="K1088" s="37">
        <v>12</v>
      </c>
      <c r="L1088" s="37">
        <v>3</v>
      </c>
      <c r="M1088" s="37" t="s">
        <v>1</v>
      </c>
    </row>
    <row r="1089" spans="2:13" x14ac:dyDescent="0.25">
      <c r="B1089" s="46">
        <v>1086</v>
      </c>
      <c r="C1089" s="53">
        <v>999991086</v>
      </c>
      <c r="D1089" s="43" t="s">
        <v>948</v>
      </c>
      <c r="E1089" s="53" t="s">
        <v>2347</v>
      </c>
      <c r="F1089" s="43" t="str">
        <f t="shared" si="81"/>
        <v>JAKOB  (Intercambio)</v>
      </c>
      <c r="G1089" s="43" t="str">
        <f t="shared" si="82"/>
        <v>JAKOB</v>
      </c>
      <c r="H1089" s="43" t="str">
        <f t="shared" si="83"/>
        <v>SKORUPSKI JAN</v>
      </c>
      <c r="I1089" s="43" t="str">
        <f t="shared" si="84"/>
        <v>JAKOB SKORUPSKI JAN</v>
      </c>
      <c r="J1089" s="37" t="s">
        <v>656</v>
      </c>
      <c r="K1089" s="37">
        <v>12</v>
      </c>
      <c r="L1089" s="37">
        <v>3</v>
      </c>
      <c r="M1089" s="37" t="s">
        <v>1</v>
      </c>
    </row>
    <row r="1090" spans="2:13" x14ac:dyDescent="0.25">
      <c r="B1090" s="48">
        <v>1087</v>
      </c>
      <c r="C1090" s="53">
        <v>208880041</v>
      </c>
      <c r="D1090" s="43" t="str">
        <f t="shared" si="80"/>
        <v>2-0888-0041</v>
      </c>
      <c r="E1090" s="53" t="s">
        <v>949</v>
      </c>
      <c r="F1090" s="43" t="str">
        <f t="shared" si="81"/>
        <v xml:space="preserve">MELANY NAOMY </v>
      </c>
      <c r="G1090" s="43" t="str">
        <f t="shared" si="82"/>
        <v>MELANY</v>
      </c>
      <c r="H1090" s="43" t="str">
        <f t="shared" si="83"/>
        <v>SOLANO CASTRO</v>
      </c>
      <c r="I1090" s="43" t="str">
        <f t="shared" si="84"/>
        <v>MELANY SOLANO CASTRO</v>
      </c>
      <c r="J1090" s="37" t="s">
        <v>656</v>
      </c>
      <c r="K1090" s="37">
        <v>12</v>
      </c>
      <c r="L1090" s="37">
        <v>3</v>
      </c>
      <c r="M1090" s="37" t="s">
        <v>1</v>
      </c>
    </row>
    <row r="1091" spans="2:13" x14ac:dyDescent="0.25">
      <c r="B1091" s="48">
        <v>1088</v>
      </c>
      <c r="C1091" s="53">
        <v>119650413</v>
      </c>
      <c r="D1091" s="43" t="str">
        <f t="shared" si="80"/>
        <v>1-1965-0413</v>
      </c>
      <c r="E1091" s="53" t="s">
        <v>950</v>
      </c>
      <c r="F1091" s="43" t="str">
        <f t="shared" si="81"/>
        <v>DENISSE</v>
      </c>
      <c r="G1091" s="43" t="str">
        <f t="shared" si="82"/>
        <v>DENISSE</v>
      </c>
      <c r="H1091" s="43" t="str">
        <f t="shared" si="83"/>
        <v>TREJOS OVIEDO</v>
      </c>
      <c r="I1091" s="43" t="str">
        <f t="shared" si="84"/>
        <v>DENISSE TREJOS OVIEDO</v>
      </c>
      <c r="J1091" s="37" t="s">
        <v>656</v>
      </c>
      <c r="K1091" s="37">
        <v>12</v>
      </c>
      <c r="L1091" s="37">
        <v>3</v>
      </c>
      <c r="M1091" s="37" t="s">
        <v>1</v>
      </c>
    </row>
    <row r="1092" spans="2:13" x14ac:dyDescent="0.25">
      <c r="B1092" s="46">
        <v>1089</v>
      </c>
      <c r="C1092" s="53">
        <v>119990259</v>
      </c>
      <c r="D1092" s="43" t="str">
        <f t="shared" ref="D1092:D1155" si="85">IF(LEN(C1092)=9,_xlfn.CONCAT(MID(C1092,1,1),"-",MID(C1092,2,4),"-",MID(C1092,6,4)),TEXT(C1092,"000000000000"))</f>
        <v>1-1999-0259</v>
      </c>
      <c r="E1092" s="53" t="s">
        <v>951</v>
      </c>
      <c r="F1092" s="43" t="str">
        <f t="shared" si="81"/>
        <v>JEISON DAVID</v>
      </c>
      <c r="G1092" s="43" t="str">
        <f t="shared" si="82"/>
        <v>JEISON</v>
      </c>
      <c r="H1092" s="43" t="str">
        <f t="shared" si="83"/>
        <v>ALFARO GARITA</v>
      </c>
      <c r="I1092" s="43" t="str">
        <f t="shared" si="84"/>
        <v>JEISON ALFARO GARITA</v>
      </c>
      <c r="J1092" s="37" t="s">
        <v>629</v>
      </c>
      <c r="K1092" s="37">
        <v>12</v>
      </c>
      <c r="L1092" s="37">
        <v>3</v>
      </c>
      <c r="M1092" s="37" t="s">
        <v>1</v>
      </c>
    </row>
    <row r="1093" spans="2:13" x14ac:dyDescent="0.25">
      <c r="B1093" s="48">
        <v>1090</v>
      </c>
      <c r="C1093" s="53">
        <v>208790354</v>
      </c>
      <c r="D1093" s="43" t="str">
        <f t="shared" si="85"/>
        <v>2-0879-0354</v>
      </c>
      <c r="E1093" s="53" t="s">
        <v>952</v>
      </c>
      <c r="F1093" s="43" t="str">
        <f t="shared" ref="F1093:F1156" si="86">RIGHT(E1093,LEN(E1093)-SEARCH(" ",E1093,SEARCH(" ",E1093)+1))</f>
        <v>REICHEL</v>
      </c>
      <c r="G1093" s="43" t="str">
        <f t="shared" ref="G1093:G1156" si="87">IFERROR(LEFT(F1093,SEARCH(" ",F1093,1)-1),F1093)</f>
        <v>REICHEL</v>
      </c>
      <c r="H1093" s="43" t="str">
        <f t="shared" ref="H1093:H1156" si="88">LEFT(E1093,SEARCH(" ",E1093,SEARCH(" ",E1093)+1)-1)</f>
        <v>CAMPOS SANABRIA</v>
      </c>
      <c r="I1093" s="43" t="str">
        <f t="shared" ref="I1093:I1156" si="89">_xlfn.CONCAT(G1093," ",H1093)</f>
        <v>REICHEL CAMPOS SANABRIA</v>
      </c>
      <c r="J1093" s="37" t="s">
        <v>629</v>
      </c>
      <c r="K1093" s="37">
        <v>12</v>
      </c>
      <c r="L1093" s="37">
        <v>3</v>
      </c>
      <c r="M1093" s="37" t="s">
        <v>1</v>
      </c>
    </row>
    <row r="1094" spans="2:13" x14ac:dyDescent="0.25">
      <c r="B1094" s="48">
        <v>1091</v>
      </c>
      <c r="C1094" s="53">
        <v>120020033</v>
      </c>
      <c r="D1094" s="43" t="str">
        <f t="shared" si="85"/>
        <v>1-2002-0033</v>
      </c>
      <c r="E1094" s="53" t="s">
        <v>953</v>
      </c>
      <c r="F1094" s="43" t="str">
        <f t="shared" si="86"/>
        <v xml:space="preserve">TATIANA SOFIA </v>
      </c>
      <c r="G1094" s="43" t="str">
        <f t="shared" si="87"/>
        <v>TATIANA</v>
      </c>
      <c r="H1094" s="43" t="str">
        <f t="shared" si="88"/>
        <v>CORTES SANCHEZ</v>
      </c>
      <c r="I1094" s="43" t="str">
        <f t="shared" si="89"/>
        <v>TATIANA CORTES SANCHEZ</v>
      </c>
      <c r="J1094" s="37" t="s">
        <v>629</v>
      </c>
      <c r="K1094" s="37">
        <v>12</v>
      </c>
      <c r="L1094" s="37">
        <v>3</v>
      </c>
      <c r="M1094" s="37" t="s">
        <v>1</v>
      </c>
    </row>
    <row r="1095" spans="2:13" x14ac:dyDescent="0.25">
      <c r="B1095" s="46">
        <v>1092</v>
      </c>
      <c r="C1095" s="53">
        <v>208860257</v>
      </c>
      <c r="D1095" s="43" t="str">
        <f t="shared" si="85"/>
        <v>2-0886-0257</v>
      </c>
      <c r="E1095" s="53" t="s">
        <v>954</v>
      </c>
      <c r="F1095" s="43" t="str">
        <f t="shared" si="86"/>
        <v xml:space="preserve">DILAN ALONSO </v>
      </c>
      <c r="G1095" s="43" t="str">
        <f t="shared" si="87"/>
        <v>DILAN</v>
      </c>
      <c r="H1095" s="43" t="str">
        <f t="shared" si="88"/>
        <v>FERNANDEZ MONTERO</v>
      </c>
      <c r="I1095" s="43" t="str">
        <f t="shared" si="89"/>
        <v>DILAN FERNANDEZ MONTERO</v>
      </c>
      <c r="J1095" s="37" t="s">
        <v>629</v>
      </c>
      <c r="K1095" s="37">
        <v>12</v>
      </c>
      <c r="L1095" s="37">
        <v>3</v>
      </c>
      <c r="M1095" s="37" t="s">
        <v>1</v>
      </c>
    </row>
    <row r="1096" spans="2:13" x14ac:dyDescent="0.25">
      <c r="B1096" s="48">
        <v>1093</v>
      </c>
      <c r="C1096" s="53">
        <v>305660322</v>
      </c>
      <c r="D1096" s="43" t="str">
        <f t="shared" si="85"/>
        <v>3-0566-0322</v>
      </c>
      <c r="E1096" s="53" t="s">
        <v>955</v>
      </c>
      <c r="F1096" s="43" t="str">
        <f t="shared" si="86"/>
        <v>EISETH YULIANA</v>
      </c>
      <c r="G1096" s="43" t="str">
        <f t="shared" si="87"/>
        <v>EISETH</v>
      </c>
      <c r="H1096" s="43" t="str">
        <f t="shared" si="88"/>
        <v>GONZALEZ CARBALLO</v>
      </c>
      <c r="I1096" s="43" t="str">
        <f t="shared" si="89"/>
        <v>EISETH GONZALEZ CARBALLO</v>
      </c>
      <c r="J1096" s="37" t="s">
        <v>629</v>
      </c>
      <c r="K1096" s="37">
        <v>12</v>
      </c>
      <c r="L1096" s="37">
        <v>3</v>
      </c>
      <c r="M1096" s="37" t="s">
        <v>1</v>
      </c>
    </row>
    <row r="1097" spans="2:13" x14ac:dyDescent="0.25">
      <c r="B1097" s="48">
        <v>1094</v>
      </c>
      <c r="C1097" s="53">
        <v>208950408</v>
      </c>
      <c r="D1097" s="43" t="str">
        <f t="shared" si="85"/>
        <v>2-0895-0408</v>
      </c>
      <c r="E1097" s="53" t="s">
        <v>956</v>
      </c>
      <c r="F1097" s="43" t="str">
        <f t="shared" si="86"/>
        <v xml:space="preserve">JIMENA </v>
      </c>
      <c r="G1097" s="43" t="str">
        <f t="shared" si="87"/>
        <v>JIMENA</v>
      </c>
      <c r="H1097" s="43" t="str">
        <f t="shared" si="88"/>
        <v>GONZALEZ SOLANO</v>
      </c>
      <c r="I1097" s="43" t="str">
        <f t="shared" si="89"/>
        <v>JIMENA GONZALEZ SOLANO</v>
      </c>
      <c r="J1097" s="37" t="s">
        <v>629</v>
      </c>
      <c r="K1097" s="37">
        <v>12</v>
      </c>
      <c r="L1097" s="37">
        <v>3</v>
      </c>
      <c r="M1097" s="37" t="s">
        <v>1</v>
      </c>
    </row>
    <row r="1098" spans="2:13" x14ac:dyDescent="0.25">
      <c r="B1098" s="46">
        <v>1095</v>
      </c>
      <c r="C1098" s="53">
        <v>208860822</v>
      </c>
      <c r="D1098" s="43" t="str">
        <f t="shared" si="85"/>
        <v>2-0886-0822</v>
      </c>
      <c r="E1098" s="53" t="s">
        <v>957</v>
      </c>
      <c r="F1098" s="43" t="str">
        <f t="shared" si="86"/>
        <v xml:space="preserve">JOSWAN DANIEL </v>
      </c>
      <c r="G1098" s="43" t="str">
        <f t="shared" si="87"/>
        <v>JOSWAN</v>
      </c>
      <c r="H1098" s="43" t="str">
        <f t="shared" si="88"/>
        <v>LORIA RODRIGUEZ</v>
      </c>
      <c r="I1098" s="43" t="str">
        <f t="shared" si="89"/>
        <v>JOSWAN LORIA RODRIGUEZ</v>
      </c>
      <c r="J1098" s="37" t="s">
        <v>629</v>
      </c>
      <c r="K1098" s="37">
        <v>12</v>
      </c>
      <c r="L1098" s="37">
        <v>3</v>
      </c>
      <c r="M1098" s="37" t="s">
        <v>1</v>
      </c>
    </row>
    <row r="1099" spans="2:13" x14ac:dyDescent="0.25">
      <c r="B1099" s="48">
        <v>1096</v>
      </c>
      <c r="C1099" s="53">
        <v>208960466</v>
      </c>
      <c r="D1099" s="43" t="str">
        <f t="shared" si="85"/>
        <v>2-0896-0466</v>
      </c>
      <c r="E1099" s="53" t="s">
        <v>958</v>
      </c>
      <c r="F1099" s="43" t="str">
        <f t="shared" si="86"/>
        <v>ALEXA JIMENA</v>
      </c>
      <c r="G1099" s="43" t="str">
        <f t="shared" si="87"/>
        <v>ALEXA</v>
      </c>
      <c r="H1099" s="43" t="str">
        <f t="shared" si="88"/>
        <v>MOLINA ALVAREZ</v>
      </c>
      <c r="I1099" s="43" t="str">
        <f t="shared" si="89"/>
        <v>ALEXA MOLINA ALVAREZ</v>
      </c>
      <c r="J1099" s="37" t="s">
        <v>629</v>
      </c>
      <c r="K1099" s="37">
        <v>12</v>
      </c>
      <c r="L1099" s="37">
        <v>3</v>
      </c>
      <c r="M1099" s="37" t="s">
        <v>1</v>
      </c>
    </row>
    <row r="1100" spans="2:13" x14ac:dyDescent="0.25">
      <c r="B1100" s="48">
        <v>1097</v>
      </c>
      <c r="C1100" s="53">
        <v>208880462</v>
      </c>
      <c r="D1100" s="43" t="str">
        <f t="shared" si="85"/>
        <v>2-0888-0462</v>
      </c>
      <c r="E1100" s="53" t="s">
        <v>959</v>
      </c>
      <c r="F1100" s="43" t="str">
        <f t="shared" si="86"/>
        <v xml:space="preserve">ALISON FABIOLA </v>
      </c>
      <c r="G1100" s="43" t="str">
        <f t="shared" si="87"/>
        <v>ALISON</v>
      </c>
      <c r="H1100" s="43" t="str">
        <f t="shared" si="88"/>
        <v>MONTERO CHACON</v>
      </c>
      <c r="I1100" s="43" t="str">
        <f t="shared" si="89"/>
        <v>ALISON MONTERO CHACON</v>
      </c>
      <c r="J1100" s="37" t="s">
        <v>629</v>
      </c>
      <c r="K1100" s="37">
        <v>12</v>
      </c>
      <c r="L1100" s="37">
        <v>3</v>
      </c>
      <c r="M1100" s="37" t="s">
        <v>1</v>
      </c>
    </row>
    <row r="1101" spans="2:13" x14ac:dyDescent="0.25">
      <c r="B1101" s="46">
        <v>1098</v>
      </c>
      <c r="C1101" s="53">
        <v>208850726</v>
      </c>
      <c r="D1101" s="43" t="str">
        <f t="shared" si="85"/>
        <v>2-0885-0726</v>
      </c>
      <c r="E1101" s="53" t="s">
        <v>960</v>
      </c>
      <c r="F1101" s="43" t="str">
        <f t="shared" si="86"/>
        <v xml:space="preserve">JOSUE DANIEL  </v>
      </c>
      <c r="G1101" s="43" t="str">
        <f t="shared" si="87"/>
        <v>JOSUE</v>
      </c>
      <c r="H1101" s="43" t="str">
        <f t="shared" si="88"/>
        <v>MONTERO JIMENEZ</v>
      </c>
      <c r="I1101" s="43" t="str">
        <f t="shared" si="89"/>
        <v>JOSUE MONTERO JIMENEZ</v>
      </c>
      <c r="J1101" s="37" t="s">
        <v>629</v>
      </c>
      <c r="K1101" s="37">
        <v>12</v>
      </c>
      <c r="L1101" s="37">
        <v>3</v>
      </c>
      <c r="M1101" s="37" t="s">
        <v>1</v>
      </c>
    </row>
    <row r="1102" spans="2:13" x14ac:dyDescent="0.25">
      <c r="B1102" s="48">
        <v>1099</v>
      </c>
      <c r="C1102" s="53">
        <v>119910491</v>
      </c>
      <c r="D1102" s="43" t="str">
        <f t="shared" si="85"/>
        <v>1-1991-0491</v>
      </c>
      <c r="E1102" s="53" t="s">
        <v>961</v>
      </c>
      <c r="F1102" s="43" t="str">
        <f t="shared" si="86"/>
        <v xml:space="preserve">ISAAC </v>
      </c>
      <c r="G1102" s="43" t="str">
        <f t="shared" si="87"/>
        <v>ISAAC</v>
      </c>
      <c r="H1102" s="43" t="str">
        <f t="shared" si="88"/>
        <v>NUÑEZ GAMBOA</v>
      </c>
      <c r="I1102" s="43" t="str">
        <f t="shared" si="89"/>
        <v>ISAAC NUÑEZ GAMBOA</v>
      </c>
      <c r="J1102" s="37" t="s">
        <v>629</v>
      </c>
      <c r="K1102" s="37">
        <v>12</v>
      </c>
      <c r="L1102" s="37">
        <v>3</v>
      </c>
      <c r="M1102" s="37" t="s">
        <v>1</v>
      </c>
    </row>
    <row r="1103" spans="2:13" x14ac:dyDescent="0.25">
      <c r="B1103" s="48">
        <v>1100</v>
      </c>
      <c r="C1103" s="53">
        <v>208890048</v>
      </c>
      <c r="D1103" s="43" t="str">
        <f t="shared" si="85"/>
        <v>2-0889-0048</v>
      </c>
      <c r="E1103" s="53" t="s">
        <v>962</v>
      </c>
      <c r="F1103" s="43" t="str">
        <f t="shared" si="86"/>
        <v>KRISTEL VALERIA</v>
      </c>
      <c r="G1103" s="43" t="str">
        <f t="shared" si="87"/>
        <v>KRISTEL</v>
      </c>
      <c r="H1103" s="43" t="str">
        <f t="shared" si="88"/>
        <v>QUIROS ARIAS</v>
      </c>
      <c r="I1103" s="43" t="str">
        <f t="shared" si="89"/>
        <v>KRISTEL QUIROS ARIAS</v>
      </c>
      <c r="J1103" s="37" t="s">
        <v>629</v>
      </c>
      <c r="K1103" s="37">
        <v>12</v>
      </c>
      <c r="L1103" s="37">
        <v>3</v>
      </c>
      <c r="M1103" s="37" t="s">
        <v>1</v>
      </c>
    </row>
    <row r="1104" spans="2:13" x14ac:dyDescent="0.25">
      <c r="B1104" s="46">
        <v>1101</v>
      </c>
      <c r="C1104" s="53">
        <v>402740162</v>
      </c>
      <c r="D1104" s="43" t="str">
        <f t="shared" si="85"/>
        <v>4-0274-0162</v>
      </c>
      <c r="E1104" s="53" t="s">
        <v>963</v>
      </c>
      <c r="F1104" s="43" t="str">
        <f t="shared" si="86"/>
        <v xml:space="preserve">BAYRON JOHEL </v>
      </c>
      <c r="G1104" s="43" t="str">
        <f t="shared" si="87"/>
        <v>BAYRON</v>
      </c>
      <c r="H1104" s="43" t="str">
        <f t="shared" si="88"/>
        <v>RAMIREZ OVIEDO</v>
      </c>
      <c r="I1104" s="43" t="str">
        <f t="shared" si="89"/>
        <v>BAYRON RAMIREZ OVIEDO</v>
      </c>
      <c r="J1104" s="37" t="s">
        <v>629</v>
      </c>
      <c r="K1104" s="37">
        <v>12</v>
      </c>
      <c r="L1104" s="37">
        <v>3</v>
      </c>
      <c r="M1104" s="37" t="s">
        <v>1</v>
      </c>
    </row>
    <row r="1105" spans="2:13" x14ac:dyDescent="0.25">
      <c r="B1105" s="48">
        <v>1102</v>
      </c>
      <c r="C1105" s="53">
        <v>208880959</v>
      </c>
      <c r="D1105" s="43" t="str">
        <f t="shared" si="85"/>
        <v>2-0888-0959</v>
      </c>
      <c r="E1105" s="53" t="s">
        <v>964</v>
      </c>
      <c r="F1105" s="43" t="str">
        <f t="shared" si="86"/>
        <v xml:space="preserve">MARIANA DE LOS ANGELES </v>
      </c>
      <c r="G1105" s="43" t="str">
        <f t="shared" si="87"/>
        <v>MARIANA</v>
      </c>
      <c r="H1105" s="43" t="str">
        <f t="shared" si="88"/>
        <v>SALAZAR PICADO</v>
      </c>
      <c r="I1105" s="43" t="str">
        <f t="shared" si="89"/>
        <v>MARIANA SALAZAR PICADO</v>
      </c>
      <c r="J1105" s="37" t="s">
        <v>629</v>
      </c>
      <c r="K1105" s="37">
        <v>12</v>
      </c>
      <c r="L1105" s="37">
        <v>3</v>
      </c>
      <c r="M1105" s="37" t="s">
        <v>1</v>
      </c>
    </row>
    <row r="1106" spans="2:13" x14ac:dyDescent="0.25">
      <c r="B1106" s="48">
        <v>1103</v>
      </c>
      <c r="C1106" s="53">
        <v>402730279</v>
      </c>
      <c r="D1106" s="43" t="str">
        <f t="shared" si="85"/>
        <v>4-0273-0279</v>
      </c>
      <c r="E1106" s="53" t="s">
        <v>965</v>
      </c>
      <c r="F1106" s="43" t="str">
        <f t="shared" si="86"/>
        <v>ADRIAN JOSUE</v>
      </c>
      <c r="G1106" s="43" t="str">
        <f t="shared" si="87"/>
        <v>ADRIAN</v>
      </c>
      <c r="H1106" s="43" t="str">
        <f t="shared" si="88"/>
        <v>SEQUEIRA ULLOA</v>
      </c>
      <c r="I1106" s="43" t="str">
        <f t="shared" si="89"/>
        <v>ADRIAN SEQUEIRA ULLOA</v>
      </c>
      <c r="J1106" s="37" t="s">
        <v>629</v>
      </c>
      <c r="K1106" s="37">
        <v>12</v>
      </c>
      <c r="L1106" s="37">
        <v>3</v>
      </c>
      <c r="M1106" s="37" t="s">
        <v>1</v>
      </c>
    </row>
    <row r="1107" spans="2:13" x14ac:dyDescent="0.25">
      <c r="B1107" s="46">
        <v>1104</v>
      </c>
      <c r="C1107" s="53">
        <v>120040870</v>
      </c>
      <c r="D1107" s="43" t="str">
        <f t="shared" si="85"/>
        <v>1-2004-0870</v>
      </c>
      <c r="E1107" s="53" t="s">
        <v>966</v>
      </c>
      <c r="F1107" s="43" t="str">
        <f t="shared" si="86"/>
        <v>FELIX</v>
      </c>
      <c r="G1107" s="43" t="str">
        <f t="shared" si="87"/>
        <v>FELIX</v>
      </c>
      <c r="H1107" s="43" t="str">
        <f t="shared" si="88"/>
        <v>UREÑA VARGAS</v>
      </c>
      <c r="I1107" s="43" t="str">
        <f t="shared" si="89"/>
        <v>FELIX UREÑA VARGAS</v>
      </c>
      <c r="J1107" s="37" t="s">
        <v>629</v>
      </c>
      <c r="K1107" s="37">
        <v>12</v>
      </c>
      <c r="L1107" s="37">
        <v>3</v>
      </c>
      <c r="M1107" s="37" t="s">
        <v>1</v>
      </c>
    </row>
    <row r="1108" spans="2:13" x14ac:dyDescent="0.25">
      <c r="B1108" s="48">
        <v>1105</v>
      </c>
      <c r="C1108" s="33">
        <v>208870383</v>
      </c>
      <c r="D1108" s="43" t="str">
        <f t="shared" si="85"/>
        <v>2-0887-0383</v>
      </c>
      <c r="E1108" s="33" t="s">
        <v>967</v>
      </c>
      <c r="F1108" s="43" t="str">
        <f t="shared" si="86"/>
        <v>JOSUE DAVID</v>
      </c>
      <c r="G1108" s="43" t="str">
        <f t="shared" si="87"/>
        <v>JOSUE</v>
      </c>
      <c r="H1108" s="43" t="str">
        <f t="shared" si="88"/>
        <v>AGÜERO GARITA</v>
      </c>
      <c r="I1108" s="43" t="str">
        <f t="shared" si="89"/>
        <v>JOSUE AGÜERO GARITA</v>
      </c>
      <c r="J1108" s="37" t="s">
        <v>550</v>
      </c>
      <c r="K1108" s="37">
        <v>12</v>
      </c>
      <c r="L1108" s="37">
        <v>4</v>
      </c>
      <c r="M1108" s="37" t="s">
        <v>1</v>
      </c>
    </row>
    <row r="1109" spans="2:13" x14ac:dyDescent="0.25">
      <c r="B1109" s="48">
        <v>1106</v>
      </c>
      <c r="C1109" s="33">
        <v>402750071</v>
      </c>
      <c r="D1109" s="43" t="str">
        <f t="shared" si="85"/>
        <v>4-0275-0071</v>
      </c>
      <c r="E1109" s="33" t="s">
        <v>968</v>
      </c>
      <c r="F1109" s="43" t="str">
        <f t="shared" si="86"/>
        <v>NATHALIE PRISCILLA</v>
      </c>
      <c r="G1109" s="43" t="str">
        <f t="shared" si="87"/>
        <v>NATHALIE</v>
      </c>
      <c r="H1109" s="43" t="str">
        <f t="shared" si="88"/>
        <v>ARAYA SANABRIA</v>
      </c>
      <c r="I1109" s="43" t="str">
        <f t="shared" si="89"/>
        <v>NATHALIE ARAYA SANABRIA</v>
      </c>
      <c r="J1109" s="37" t="s">
        <v>550</v>
      </c>
      <c r="K1109" s="37">
        <v>12</v>
      </c>
      <c r="L1109" s="37">
        <v>4</v>
      </c>
      <c r="M1109" s="37" t="s">
        <v>1</v>
      </c>
    </row>
    <row r="1110" spans="2:13" x14ac:dyDescent="0.25">
      <c r="B1110" s="46">
        <v>1107</v>
      </c>
      <c r="C1110" s="33">
        <v>208860900</v>
      </c>
      <c r="D1110" s="43" t="str">
        <f t="shared" si="85"/>
        <v>2-0886-0900</v>
      </c>
      <c r="E1110" s="33" t="s">
        <v>969</v>
      </c>
      <c r="F1110" s="43" t="str">
        <f t="shared" si="86"/>
        <v>DIANA DE LOS ANGELES</v>
      </c>
      <c r="G1110" s="43" t="str">
        <f t="shared" si="87"/>
        <v>DIANA</v>
      </c>
      <c r="H1110" s="43" t="str">
        <f t="shared" si="88"/>
        <v>BARRANTES OVIEDO</v>
      </c>
      <c r="I1110" s="43" t="str">
        <f t="shared" si="89"/>
        <v>DIANA BARRANTES OVIEDO</v>
      </c>
      <c r="J1110" s="37" t="s">
        <v>550</v>
      </c>
      <c r="K1110" s="37">
        <v>12</v>
      </c>
      <c r="L1110" s="37">
        <v>4</v>
      </c>
      <c r="M1110" s="37" t="s">
        <v>1</v>
      </c>
    </row>
    <row r="1111" spans="2:13" x14ac:dyDescent="0.25">
      <c r="B1111" s="48">
        <v>1108</v>
      </c>
      <c r="C1111" s="33">
        <v>402760796</v>
      </c>
      <c r="D1111" s="43" t="str">
        <f t="shared" si="85"/>
        <v>4-0276-0796</v>
      </c>
      <c r="E1111" s="33" t="s">
        <v>970</v>
      </c>
      <c r="F1111" s="43" t="str">
        <f t="shared" si="86"/>
        <v>JOSUE DAVID</v>
      </c>
      <c r="G1111" s="43" t="str">
        <f t="shared" si="87"/>
        <v>JOSUE</v>
      </c>
      <c r="H1111" s="43" t="str">
        <f t="shared" si="88"/>
        <v>CARBALLO ARTAVIA</v>
      </c>
      <c r="I1111" s="43" t="str">
        <f t="shared" si="89"/>
        <v>JOSUE CARBALLO ARTAVIA</v>
      </c>
      <c r="J1111" s="37" t="s">
        <v>550</v>
      </c>
      <c r="K1111" s="37">
        <v>12</v>
      </c>
      <c r="L1111" s="37">
        <v>4</v>
      </c>
      <c r="M1111" s="37" t="s">
        <v>1</v>
      </c>
    </row>
    <row r="1112" spans="2:13" x14ac:dyDescent="0.25">
      <c r="B1112" s="48">
        <v>1109</v>
      </c>
      <c r="C1112" s="33">
        <v>402760803</v>
      </c>
      <c r="D1112" s="43" t="str">
        <f t="shared" si="85"/>
        <v>4-0276-0803</v>
      </c>
      <c r="E1112" s="33" t="s">
        <v>971</v>
      </c>
      <c r="F1112" s="43" t="str">
        <f t="shared" si="86"/>
        <v>MATIAS</v>
      </c>
      <c r="G1112" s="43" t="str">
        <f t="shared" si="87"/>
        <v>MATIAS</v>
      </c>
      <c r="H1112" s="43" t="str">
        <f t="shared" si="88"/>
        <v>CHAVARRIA SALAZAR</v>
      </c>
      <c r="I1112" s="43" t="str">
        <f t="shared" si="89"/>
        <v>MATIAS CHAVARRIA SALAZAR</v>
      </c>
      <c r="J1112" s="37" t="s">
        <v>550</v>
      </c>
      <c r="K1112" s="37">
        <v>12</v>
      </c>
      <c r="L1112" s="37">
        <v>4</v>
      </c>
      <c r="M1112" s="37" t="s">
        <v>1</v>
      </c>
    </row>
    <row r="1113" spans="2:13" x14ac:dyDescent="0.25">
      <c r="B1113" s="46">
        <v>1110</v>
      </c>
      <c r="C1113" s="33">
        <v>208940788</v>
      </c>
      <c r="D1113" s="43" t="str">
        <f t="shared" si="85"/>
        <v>2-0894-0788</v>
      </c>
      <c r="E1113" s="33" t="s">
        <v>972</v>
      </c>
      <c r="F1113" s="43" t="str">
        <f t="shared" si="86"/>
        <v>SOPHIA RACHAEL</v>
      </c>
      <c r="G1113" s="43" t="str">
        <f t="shared" si="87"/>
        <v>SOPHIA</v>
      </c>
      <c r="H1113" s="43" t="str">
        <f t="shared" si="88"/>
        <v>CHUPPA CARVAJAL</v>
      </c>
      <c r="I1113" s="43" t="str">
        <f t="shared" si="89"/>
        <v>SOPHIA CHUPPA CARVAJAL</v>
      </c>
      <c r="J1113" s="37" t="s">
        <v>550</v>
      </c>
      <c r="K1113" s="37">
        <v>12</v>
      </c>
      <c r="L1113" s="37">
        <v>4</v>
      </c>
      <c r="M1113" s="37" t="s">
        <v>1</v>
      </c>
    </row>
    <row r="1114" spans="2:13" x14ac:dyDescent="0.25">
      <c r="B1114" s="48">
        <v>1111</v>
      </c>
      <c r="C1114" s="33">
        <v>605070456</v>
      </c>
      <c r="D1114" s="43" t="str">
        <f t="shared" si="85"/>
        <v>6-0507-0456</v>
      </c>
      <c r="E1114" s="33" t="s">
        <v>973</v>
      </c>
      <c r="F1114" s="43" t="str">
        <f t="shared" si="86"/>
        <v>KENYI PATRICIA</v>
      </c>
      <c r="G1114" s="43" t="str">
        <f t="shared" si="87"/>
        <v>KENYI</v>
      </c>
      <c r="H1114" s="43" t="str">
        <f t="shared" si="88"/>
        <v>GONZALEZ CASTRO</v>
      </c>
      <c r="I1114" s="43" t="str">
        <f t="shared" si="89"/>
        <v>KENYI GONZALEZ CASTRO</v>
      </c>
      <c r="J1114" s="37" t="s">
        <v>550</v>
      </c>
      <c r="K1114" s="37">
        <v>12</v>
      </c>
      <c r="L1114" s="37">
        <v>4</v>
      </c>
      <c r="M1114" s="37" t="s">
        <v>1</v>
      </c>
    </row>
    <row r="1115" spans="2:13" x14ac:dyDescent="0.25">
      <c r="B1115" s="48">
        <v>1112</v>
      </c>
      <c r="C1115" s="33">
        <v>208950480</v>
      </c>
      <c r="D1115" s="43" t="str">
        <f t="shared" si="85"/>
        <v>2-0895-0480</v>
      </c>
      <c r="E1115" s="33" t="s">
        <v>974</v>
      </c>
      <c r="F1115" s="43" t="str">
        <f t="shared" si="86"/>
        <v>SANTIAGO</v>
      </c>
      <c r="G1115" s="43" t="str">
        <f t="shared" si="87"/>
        <v>SANTIAGO</v>
      </c>
      <c r="H1115" s="43" t="str">
        <f t="shared" si="88"/>
        <v>GONZALEZ ROJAS</v>
      </c>
      <c r="I1115" s="43" t="str">
        <f t="shared" si="89"/>
        <v>SANTIAGO GONZALEZ ROJAS</v>
      </c>
      <c r="J1115" s="37" t="s">
        <v>550</v>
      </c>
      <c r="K1115" s="37">
        <v>12</v>
      </c>
      <c r="L1115" s="37">
        <v>4</v>
      </c>
      <c r="M1115" s="37" t="s">
        <v>1</v>
      </c>
    </row>
    <row r="1116" spans="2:13" x14ac:dyDescent="0.25">
      <c r="B1116" s="46">
        <v>1113</v>
      </c>
      <c r="C1116" s="33">
        <v>208920118</v>
      </c>
      <c r="D1116" s="43" t="str">
        <f t="shared" si="85"/>
        <v>2-0892-0118</v>
      </c>
      <c r="E1116" s="33" t="s">
        <v>975</v>
      </c>
      <c r="F1116" s="43" t="str">
        <f t="shared" si="86"/>
        <v>KATHERINE VIVIANA</v>
      </c>
      <c r="G1116" s="43" t="str">
        <f t="shared" si="87"/>
        <v>KATHERINE</v>
      </c>
      <c r="H1116" s="43" t="str">
        <f t="shared" si="88"/>
        <v>LINARTE PEREZ</v>
      </c>
      <c r="I1116" s="43" t="str">
        <f t="shared" si="89"/>
        <v>KATHERINE LINARTE PEREZ</v>
      </c>
      <c r="J1116" s="37" t="s">
        <v>550</v>
      </c>
      <c r="K1116" s="37">
        <v>12</v>
      </c>
      <c r="L1116" s="37">
        <v>4</v>
      </c>
      <c r="M1116" s="37" t="s">
        <v>1</v>
      </c>
    </row>
    <row r="1117" spans="2:13" x14ac:dyDescent="0.25">
      <c r="B1117" s="48">
        <v>1114</v>
      </c>
      <c r="C1117" s="33">
        <v>402750585</v>
      </c>
      <c r="D1117" s="43" t="str">
        <f t="shared" si="85"/>
        <v>4-0275-0585</v>
      </c>
      <c r="E1117" s="33" t="s">
        <v>976</v>
      </c>
      <c r="F1117" s="43" t="str">
        <f t="shared" si="86"/>
        <v>BARBARA DE JESÚS</v>
      </c>
      <c r="G1117" s="43" t="str">
        <f t="shared" si="87"/>
        <v>BARBARA</v>
      </c>
      <c r="H1117" s="43" t="str">
        <f t="shared" si="88"/>
        <v>MIRANDA HERNANDEZ</v>
      </c>
      <c r="I1117" s="43" t="str">
        <f t="shared" si="89"/>
        <v>BARBARA MIRANDA HERNANDEZ</v>
      </c>
      <c r="J1117" s="37" t="s">
        <v>550</v>
      </c>
      <c r="K1117" s="37">
        <v>12</v>
      </c>
      <c r="L1117" s="37">
        <v>4</v>
      </c>
      <c r="M1117" s="37" t="s">
        <v>1</v>
      </c>
    </row>
    <row r="1118" spans="2:13" x14ac:dyDescent="0.25">
      <c r="B1118" s="48">
        <v>1115</v>
      </c>
      <c r="C1118" s="33">
        <v>119900070</v>
      </c>
      <c r="D1118" s="43" t="str">
        <f t="shared" si="85"/>
        <v>1-1990-0070</v>
      </c>
      <c r="E1118" s="33" t="s">
        <v>977</v>
      </c>
      <c r="F1118" s="43" t="str">
        <f t="shared" si="86"/>
        <v>ANDRES</v>
      </c>
      <c r="G1118" s="43" t="str">
        <f t="shared" si="87"/>
        <v>ANDRES</v>
      </c>
      <c r="H1118" s="43" t="str">
        <f t="shared" si="88"/>
        <v>MORA LOPEZ</v>
      </c>
      <c r="I1118" s="43" t="str">
        <f t="shared" si="89"/>
        <v>ANDRES MORA LOPEZ</v>
      </c>
      <c r="J1118" s="37" t="s">
        <v>550</v>
      </c>
      <c r="K1118" s="37">
        <v>12</v>
      </c>
      <c r="L1118" s="37">
        <v>4</v>
      </c>
      <c r="M1118" s="37" t="s">
        <v>1</v>
      </c>
    </row>
    <row r="1119" spans="2:13" x14ac:dyDescent="0.25">
      <c r="B1119" s="46">
        <v>1116</v>
      </c>
      <c r="C1119" s="33">
        <v>208840268</v>
      </c>
      <c r="D1119" s="43" t="str">
        <f t="shared" si="85"/>
        <v>2-0884-0268</v>
      </c>
      <c r="E1119" s="33" t="s">
        <v>978</v>
      </c>
      <c r="F1119" s="43" t="str">
        <f t="shared" si="86"/>
        <v>GENESIS MARÍA</v>
      </c>
      <c r="G1119" s="43" t="str">
        <f t="shared" si="87"/>
        <v>GENESIS</v>
      </c>
      <c r="H1119" s="43" t="str">
        <f t="shared" si="88"/>
        <v>OPORTA PIEDRA</v>
      </c>
      <c r="I1119" s="43" t="str">
        <f t="shared" si="89"/>
        <v>GENESIS OPORTA PIEDRA</v>
      </c>
      <c r="J1119" s="37" t="s">
        <v>550</v>
      </c>
      <c r="K1119" s="37">
        <v>12</v>
      </c>
      <c r="L1119" s="37">
        <v>4</v>
      </c>
      <c r="M1119" s="37" t="s">
        <v>1</v>
      </c>
    </row>
    <row r="1120" spans="2:13" x14ac:dyDescent="0.25">
      <c r="B1120" s="48">
        <v>1117</v>
      </c>
      <c r="C1120" s="33">
        <v>402750899</v>
      </c>
      <c r="D1120" s="43" t="str">
        <f t="shared" si="85"/>
        <v>4-0275-0899</v>
      </c>
      <c r="E1120" s="33" t="s">
        <v>979</v>
      </c>
      <c r="F1120" s="43" t="str">
        <f t="shared" si="86"/>
        <v>MARIA CELESTE</v>
      </c>
      <c r="G1120" s="43" t="str">
        <f t="shared" si="87"/>
        <v>MARIA</v>
      </c>
      <c r="H1120" s="43" t="str">
        <f t="shared" si="88"/>
        <v>OVIEDO CARBALLO</v>
      </c>
      <c r="I1120" s="43" t="str">
        <f t="shared" si="89"/>
        <v>MARIA OVIEDO CARBALLO</v>
      </c>
      <c r="J1120" s="37" t="s">
        <v>550</v>
      </c>
      <c r="K1120" s="37">
        <v>12</v>
      </c>
      <c r="L1120" s="37">
        <v>4</v>
      </c>
      <c r="M1120" s="37" t="s">
        <v>1</v>
      </c>
    </row>
    <row r="1121" spans="2:13" x14ac:dyDescent="0.25">
      <c r="B1121" s="48">
        <v>1118</v>
      </c>
      <c r="C1121" s="33">
        <v>208910222</v>
      </c>
      <c r="D1121" s="43" t="str">
        <f t="shared" si="85"/>
        <v>2-0891-0222</v>
      </c>
      <c r="E1121" s="33" t="s">
        <v>980</v>
      </c>
      <c r="F1121" s="43" t="str">
        <f t="shared" si="86"/>
        <v>SOFIA DE LOS ANGELES</v>
      </c>
      <c r="G1121" s="43" t="str">
        <f t="shared" si="87"/>
        <v>SOFIA</v>
      </c>
      <c r="H1121" s="43" t="str">
        <f t="shared" si="88"/>
        <v>PEREZ VALVERDE</v>
      </c>
      <c r="I1121" s="43" t="str">
        <f t="shared" si="89"/>
        <v>SOFIA PEREZ VALVERDE</v>
      </c>
      <c r="J1121" s="37" t="s">
        <v>550</v>
      </c>
      <c r="K1121" s="37">
        <v>12</v>
      </c>
      <c r="L1121" s="37">
        <v>4</v>
      </c>
      <c r="M1121" s="37" t="s">
        <v>1</v>
      </c>
    </row>
    <row r="1122" spans="2:13" x14ac:dyDescent="0.25">
      <c r="B1122" s="46">
        <v>1119</v>
      </c>
      <c r="C1122" s="33">
        <v>208940807</v>
      </c>
      <c r="D1122" s="43" t="str">
        <f t="shared" si="85"/>
        <v>2-0894-0807</v>
      </c>
      <c r="E1122" s="33" t="s">
        <v>981</v>
      </c>
      <c r="F1122" s="43" t="str">
        <f t="shared" si="86"/>
        <v>KRISTY</v>
      </c>
      <c r="G1122" s="43" t="str">
        <f t="shared" si="87"/>
        <v>KRISTY</v>
      </c>
      <c r="H1122" s="43" t="str">
        <f t="shared" si="88"/>
        <v>RAMIREZ GOMEZ</v>
      </c>
      <c r="I1122" s="43" t="str">
        <f t="shared" si="89"/>
        <v>KRISTY RAMIREZ GOMEZ</v>
      </c>
      <c r="J1122" s="37" t="s">
        <v>550</v>
      </c>
      <c r="K1122" s="37">
        <v>12</v>
      </c>
      <c r="L1122" s="37">
        <v>4</v>
      </c>
      <c r="M1122" s="37" t="s">
        <v>1</v>
      </c>
    </row>
    <row r="1123" spans="2:13" x14ac:dyDescent="0.25">
      <c r="B1123" s="48">
        <v>1120</v>
      </c>
      <c r="C1123" s="33">
        <v>208940846</v>
      </c>
      <c r="D1123" s="43" t="str">
        <f t="shared" si="85"/>
        <v>2-0894-0846</v>
      </c>
      <c r="E1123" s="33" t="s">
        <v>982</v>
      </c>
      <c r="F1123" s="43" t="str">
        <f t="shared" si="86"/>
        <v>RODRIGUEZ EIMY SOFIA</v>
      </c>
      <c r="G1123" s="43" t="str">
        <f t="shared" si="87"/>
        <v>RODRIGUEZ</v>
      </c>
      <c r="H1123" s="43" t="str">
        <f t="shared" si="88"/>
        <v xml:space="preserve">VILLALOBOS </v>
      </c>
      <c r="I1123" s="43" t="str">
        <f t="shared" si="89"/>
        <v xml:space="preserve">RODRIGUEZ VILLALOBOS </v>
      </c>
      <c r="J1123" s="37" t="s">
        <v>550</v>
      </c>
      <c r="K1123" s="37">
        <v>12</v>
      </c>
      <c r="L1123" s="37">
        <v>4</v>
      </c>
      <c r="M1123" s="37" t="s">
        <v>1</v>
      </c>
    </row>
    <row r="1124" spans="2:13" x14ac:dyDescent="0.25">
      <c r="B1124" s="48">
        <v>1121</v>
      </c>
      <c r="C1124" s="53">
        <v>402750646</v>
      </c>
      <c r="D1124" s="43" t="str">
        <f t="shared" si="85"/>
        <v>4-0275-0646</v>
      </c>
      <c r="E1124" s="53" t="s">
        <v>983</v>
      </c>
      <c r="F1124" s="43" t="str">
        <f t="shared" si="86"/>
        <v xml:space="preserve">MAYKOL JORDUAD </v>
      </c>
      <c r="G1124" s="43" t="str">
        <f t="shared" si="87"/>
        <v>MAYKOL</v>
      </c>
      <c r="H1124" s="43" t="str">
        <f t="shared" si="88"/>
        <v>CARVAJAL VALVERDE</v>
      </c>
      <c r="I1124" s="43" t="str">
        <f t="shared" si="89"/>
        <v>MAYKOL CARVAJAL VALVERDE</v>
      </c>
      <c r="J1124" s="37" t="s">
        <v>582</v>
      </c>
      <c r="K1124" s="37">
        <v>12</v>
      </c>
      <c r="L1124" s="37">
        <v>4</v>
      </c>
      <c r="M1124" s="37" t="s">
        <v>0</v>
      </c>
    </row>
    <row r="1125" spans="2:13" x14ac:dyDescent="0.25">
      <c r="B1125" s="46">
        <v>1122</v>
      </c>
      <c r="C1125" s="53">
        <v>208900580</v>
      </c>
      <c r="D1125" s="43" t="str">
        <f t="shared" si="85"/>
        <v>2-0890-0580</v>
      </c>
      <c r="E1125" s="53" t="s">
        <v>984</v>
      </c>
      <c r="F1125" s="43" t="str">
        <f t="shared" si="86"/>
        <v>JEIKEL OSVALDO</v>
      </c>
      <c r="G1125" s="43" t="str">
        <f t="shared" si="87"/>
        <v>JEIKEL</v>
      </c>
      <c r="H1125" s="43" t="str">
        <f t="shared" si="88"/>
        <v>FALLAS RODRIGUEZ</v>
      </c>
      <c r="I1125" s="43" t="str">
        <f t="shared" si="89"/>
        <v>JEIKEL FALLAS RODRIGUEZ</v>
      </c>
      <c r="J1125" s="37" t="s">
        <v>582</v>
      </c>
      <c r="K1125" s="37">
        <v>12</v>
      </c>
      <c r="L1125" s="37">
        <v>4</v>
      </c>
      <c r="M1125" s="37" t="s">
        <v>0</v>
      </c>
    </row>
    <row r="1126" spans="2:13" x14ac:dyDescent="0.25">
      <c r="B1126" s="48">
        <v>1123</v>
      </c>
      <c r="C1126" s="53">
        <v>208940718</v>
      </c>
      <c r="D1126" s="43" t="str">
        <f t="shared" si="85"/>
        <v>2-0894-0718</v>
      </c>
      <c r="E1126" s="53" t="s">
        <v>985</v>
      </c>
      <c r="F1126" s="43" t="str">
        <f t="shared" si="86"/>
        <v xml:space="preserve">IAN CONRAD </v>
      </c>
      <c r="G1126" s="43" t="str">
        <f t="shared" si="87"/>
        <v>IAN</v>
      </c>
      <c r="H1126" s="43" t="str">
        <f t="shared" si="88"/>
        <v>FLORES JIMENEZ</v>
      </c>
      <c r="I1126" s="43" t="str">
        <f t="shared" si="89"/>
        <v>IAN FLORES JIMENEZ</v>
      </c>
      <c r="J1126" s="37" t="s">
        <v>582</v>
      </c>
      <c r="K1126" s="37">
        <v>12</v>
      </c>
      <c r="L1126" s="37">
        <v>4</v>
      </c>
      <c r="M1126" s="37" t="s">
        <v>0</v>
      </c>
    </row>
    <row r="1127" spans="2:13" x14ac:dyDescent="0.25">
      <c r="B1127" s="48">
        <v>1124</v>
      </c>
      <c r="C1127" s="53">
        <v>208900674</v>
      </c>
      <c r="D1127" s="43" t="str">
        <f t="shared" si="85"/>
        <v>2-0890-0674</v>
      </c>
      <c r="E1127" s="53" t="s">
        <v>986</v>
      </c>
      <c r="F1127" s="43" t="str">
        <f t="shared" si="86"/>
        <v>DANIELA</v>
      </c>
      <c r="G1127" s="43" t="str">
        <f t="shared" si="87"/>
        <v>DANIELA</v>
      </c>
      <c r="H1127" s="43" t="str">
        <f t="shared" si="88"/>
        <v>HERRERA CORTES</v>
      </c>
      <c r="I1127" s="43" t="str">
        <f t="shared" si="89"/>
        <v>DANIELA HERRERA CORTES</v>
      </c>
      <c r="J1127" s="37" t="s">
        <v>582</v>
      </c>
      <c r="K1127" s="37">
        <v>12</v>
      </c>
      <c r="L1127" s="37">
        <v>4</v>
      </c>
      <c r="M1127" s="37" t="s">
        <v>0</v>
      </c>
    </row>
    <row r="1128" spans="2:13" x14ac:dyDescent="0.25">
      <c r="B1128" s="46">
        <v>1125</v>
      </c>
      <c r="C1128" s="53">
        <v>402750373</v>
      </c>
      <c r="D1128" s="43" t="str">
        <f t="shared" si="85"/>
        <v>4-0275-0373</v>
      </c>
      <c r="E1128" s="53" t="s">
        <v>987</v>
      </c>
      <c r="F1128" s="43" t="str">
        <f t="shared" si="86"/>
        <v xml:space="preserve">KENDALL MAURICIO </v>
      </c>
      <c r="G1128" s="43" t="str">
        <f t="shared" si="87"/>
        <v>KENDALL</v>
      </c>
      <c r="H1128" s="43" t="str">
        <f t="shared" si="88"/>
        <v>MATAMOROS VASQUEZ</v>
      </c>
      <c r="I1128" s="43" t="str">
        <f t="shared" si="89"/>
        <v>KENDALL MATAMOROS VASQUEZ</v>
      </c>
      <c r="J1128" s="37" t="s">
        <v>582</v>
      </c>
      <c r="K1128" s="37">
        <v>12</v>
      </c>
      <c r="L1128" s="37">
        <v>4</v>
      </c>
      <c r="M1128" s="37" t="s">
        <v>0</v>
      </c>
    </row>
    <row r="1129" spans="2:13" x14ac:dyDescent="0.25">
      <c r="B1129" s="48">
        <v>1126</v>
      </c>
      <c r="C1129" s="53">
        <v>119840186</v>
      </c>
      <c r="D1129" s="43" t="str">
        <f t="shared" si="85"/>
        <v>1-1984-0186</v>
      </c>
      <c r="E1129" s="53" t="s">
        <v>988</v>
      </c>
      <c r="F1129" s="43" t="str">
        <f t="shared" si="86"/>
        <v>MARIA FERNANDA</v>
      </c>
      <c r="G1129" s="43" t="str">
        <f t="shared" si="87"/>
        <v>MARIA</v>
      </c>
      <c r="H1129" s="43" t="str">
        <f t="shared" si="88"/>
        <v>MONGE ALVARADO</v>
      </c>
      <c r="I1129" s="43" t="str">
        <f t="shared" si="89"/>
        <v>MARIA MONGE ALVARADO</v>
      </c>
      <c r="J1129" s="37" t="s">
        <v>582</v>
      </c>
      <c r="K1129" s="37">
        <v>12</v>
      </c>
      <c r="L1129" s="37">
        <v>4</v>
      </c>
      <c r="M1129" s="37" t="s">
        <v>0</v>
      </c>
    </row>
    <row r="1130" spans="2:13" x14ac:dyDescent="0.25">
      <c r="B1130" s="48">
        <v>1127</v>
      </c>
      <c r="C1130" s="53">
        <v>402750984</v>
      </c>
      <c r="D1130" s="43" t="str">
        <f t="shared" si="85"/>
        <v>4-0275-0984</v>
      </c>
      <c r="E1130" s="53" t="s">
        <v>989</v>
      </c>
      <c r="F1130" s="43" t="str">
        <f t="shared" si="86"/>
        <v xml:space="preserve">GERALD ANTONIO </v>
      </c>
      <c r="G1130" s="43" t="str">
        <f t="shared" si="87"/>
        <v>GERALD</v>
      </c>
      <c r="H1130" s="43" t="str">
        <f t="shared" si="88"/>
        <v>MONTERO MADRIGAL</v>
      </c>
      <c r="I1130" s="43" t="str">
        <f t="shared" si="89"/>
        <v>GERALD MONTERO MADRIGAL</v>
      </c>
      <c r="J1130" s="37" t="s">
        <v>582</v>
      </c>
      <c r="K1130" s="37">
        <v>12</v>
      </c>
      <c r="L1130" s="37">
        <v>4</v>
      </c>
      <c r="M1130" s="37" t="s">
        <v>0</v>
      </c>
    </row>
    <row r="1131" spans="2:13" x14ac:dyDescent="0.25">
      <c r="B1131" s="46">
        <v>1128</v>
      </c>
      <c r="C1131" s="53">
        <v>208940312</v>
      </c>
      <c r="D1131" s="43" t="str">
        <f t="shared" si="85"/>
        <v>2-0894-0312</v>
      </c>
      <c r="E1131" s="53" t="s">
        <v>990</v>
      </c>
      <c r="F1131" s="43" t="str">
        <f t="shared" si="86"/>
        <v>PRISCILLA</v>
      </c>
      <c r="G1131" s="43" t="str">
        <f t="shared" si="87"/>
        <v>PRISCILLA</v>
      </c>
      <c r="H1131" s="43" t="str">
        <f t="shared" si="88"/>
        <v>MORALES BARRANTES</v>
      </c>
      <c r="I1131" s="43" t="str">
        <f t="shared" si="89"/>
        <v>PRISCILLA MORALES BARRANTES</v>
      </c>
      <c r="J1131" s="37" t="s">
        <v>582</v>
      </c>
      <c r="K1131" s="37">
        <v>12</v>
      </c>
      <c r="L1131" s="37">
        <v>4</v>
      </c>
      <c r="M1131" s="37" t="s">
        <v>0</v>
      </c>
    </row>
    <row r="1132" spans="2:13" x14ac:dyDescent="0.25">
      <c r="B1132" s="48">
        <v>1129</v>
      </c>
      <c r="C1132" s="53">
        <v>208750806</v>
      </c>
      <c r="D1132" s="43" t="str">
        <f t="shared" si="85"/>
        <v>2-0875-0806</v>
      </c>
      <c r="E1132" s="53" t="s">
        <v>991</v>
      </c>
      <c r="F1132" s="43" t="str">
        <f t="shared" si="86"/>
        <v>SEBASTIAN DAVID</v>
      </c>
      <c r="G1132" s="43" t="str">
        <f t="shared" si="87"/>
        <v>SEBASTIAN</v>
      </c>
      <c r="H1132" s="43" t="str">
        <f t="shared" si="88"/>
        <v>NUÑEZ CHINCHILLA</v>
      </c>
      <c r="I1132" s="43" t="str">
        <f t="shared" si="89"/>
        <v>SEBASTIAN NUÑEZ CHINCHILLA</v>
      </c>
      <c r="J1132" s="37" t="s">
        <v>582</v>
      </c>
      <c r="K1132" s="37">
        <v>12</v>
      </c>
      <c r="L1132" s="37">
        <v>4</v>
      </c>
      <c r="M1132" s="37" t="s">
        <v>0</v>
      </c>
    </row>
    <row r="1133" spans="2:13" x14ac:dyDescent="0.25">
      <c r="B1133" s="48">
        <v>1130</v>
      </c>
      <c r="C1133" s="33">
        <v>208900259</v>
      </c>
      <c r="D1133" s="43" t="str">
        <f t="shared" si="85"/>
        <v>2-0890-0259</v>
      </c>
      <c r="E1133" s="33" t="s">
        <v>992</v>
      </c>
      <c r="F1133" s="43" t="str">
        <f t="shared" si="86"/>
        <v xml:space="preserve"> MANFRED</v>
      </c>
      <c r="G1133" s="43" t="str">
        <f t="shared" si="87"/>
        <v/>
      </c>
      <c r="H1133" s="43" t="str">
        <f t="shared" si="88"/>
        <v>QUIROS ARAYA</v>
      </c>
      <c r="I1133" s="43" t="str">
        <f t="shared" si="89"/>
        <v xml:space="preserve"> QUIROS ARAYA</v>
      </c>
      <c r="J1133" s="37" t="s">
        <v>582</v>
      </c>
      <c r="K1133" s="37">
        <v>12</v>
      </c>
      <c r="L1133" s="37">
        <v>4</v>
      </c>
      <c r="M1133" s="37" t="s">
        <v>0</v>
      </c>
    </row>
    <row r="1134" spans="2:13" x14ac:dyDescent="0.25">
      <c r="B1134" s="46">
        <v>1131</v>
      </c>
      <c r="C1134" s="53">
        <v>208860721</v>
      </c>
      <c r="D1134" s="43" t="str">
        <f t="shared" si="85"/>
        <v>2-0886-0721</v>
      </c>
      <c r="E1134" s="53" t="s">
        <v>993</v>
      </c>
      <c r="F1134" s="43" t="str">
        <f t="shared" si="86"/>
        <v xml:space="preserve">JUAN BAUTISTA </v>
      </c>
      <c r="G1134" s="43" t="str">
        <f t="shared" si="87"/>
        <v>JUAN</v>
      </c>
      <c r="H1134" s="43" t="str">
        <f t="shared" si="88"/>
        <v>ROJAS CHACON</v>
      </c>
      <c r="I1134" s="43" t="str">
        <f t="shared" si="89"/>
        <v>JUAN ROJAS CHACON</v>
      </c>
      <c r="J1134" s="37" t="s">
        <v>582</v>
      </c>
      <c r="K1134" s="37">
        <v>12</v>
      </c>
      <c r="L1134" s="37">
        <v>4</v>
      </c>
      <c r="M1134" s="37" t="s">
        <v>0</v>
      </c>
    </row>
    <row r="1135" spans="2:13" x14ac:dyDescent="0.25">
      <c r="B1135" s="48">
        <v>1132</v>
      </c>
      <c r="C1135" s="53">
        <v>208940626</v>
      </c>
      <c r="D1135" s="43" t="str">
        <f t="shared" si="85"/>
        <v>2-0894-0626</v>
      </c>
      <c r="E1135" s="53" t="s">
        <v>994</v>
      </c>
      <c r="F1135" s="43" t="str">
        <f t="shared" si="86"/>
        <v>MATIAS</v>
      </c>
      <c r="G1135" s="43" t="str">
        <f t="shared" si="87"/>
        <v>MATIAS</v>
      </c>
      <c r="H1135" s="43" t="str">
        <f t="shared" si="88"/>
        <v>SALAS ALVAREZ</v>
      </c>
      <c r="I1135" s="43" t="str">
        <f t="shared" si="89"/>
        <v>MATIAS SALAS ALVAREZ</v>
      </c>
      <c r="J1135" s="37" t="s">
        <v>582</v>
      </c>
      <c r="K1135" s="37">
        <v>12</v>
      </c>
      <c r="L1135" s="37">
        <v>4</v>
      </c>
      <c r="M1135" s="37" t="s">
        <v>0</v>
      </c>
    </row>
    <row r="1136" spans="2:13" x14ac:dyDescent="0.25">
      <c r="B1136" s="48">
        <v>1133</v>
      </c>
      <c r="C1136" s="53">
        <v>208880901</v>
      </c>
      <c r="D1136" s="43" t="str">
        <f t="shared" si="85"/>
        <v>2-0888-0901</v>
      </c>
      <c r="E1136" s="53" t="s">
        <v>995</v>
      </c>
      <c r="F1136" s="43" t="str">
        <f t="shared" si="86"/>
        <v xml:space="preserve">NELSON ALBERTO </v>
      </c>
      <c r="G1136" s="43" t="str">
        <f t="shared" si="87"/>
        <v>NELSON</v>
      </c>
      <c r="H1136" s="43" t="str">
        <f t="shared" si="88"/>
        <v>SOLANO FONSECA</v>
      </c>
      <c r="I1136" s="43" t="str">
        <f t="shared" si="89"/>
        <v>NELSON SOLANO FONSECA</v>
      </c>
      <c r="J1136" s="37" t="s">
        <v>582</v>
      </c>
      <c r="K1136" s="37">
        <v>12</v>
      </c>
      <c r="L1136" s="37">
        <v>4</v>
      </c>
      <c r="M1136" s="37" t="s">
        <v>0</v>
      </c>
    </row>
    <row r="1137" spans="2:13" x14ac:dyDescent="0.25">
      <c r="B1137" s="46">
        <v>1134</v>
      </c>
      <c r="C1137" s="33">
        <v>208900827</v>
      </c>
      <c r="D1137" s="43" t="str">
        <f t="shared" si="85"/>
        <v>2-0890-0827</v>
      </c>
      <c r="E1137" s="33" t="s">
        <v>996</v>
      </c>
      <c r="F1137" s="43" t="str">
        <f t="shared" si="86"/>
        <v>ESMERALDA</v>
      </c>
      <c r="G1137" s="43" t="str">
        <f t="shared" si="87"/>
        <v>ESMERALDA</v>
      </c>
      <c r="H1137" s="43" t="str">
        <f t="shared" si="88"/>
        <v>ARTAVIA MEDINA</v>
      </c>
      <c r="I1137" s="43" t="str">
        <f t="shared" si="89"/>
        <v>ESMERALDA ARTAVIA MEDINA</v>
      </c>
      <c r="J1137" s="37" t="s">
        <v>550</v>
      </c>
      <c r="K1137" s="37">
        <v>12</v>
      </c>
      <c r="L1137" s="37">
        <v>5</v>
      </c>
      <c r="M1137" s="37" t="s">
        <v>1</v>
      </c>
    </row>
    <row r="1138" spans="2:13" x14ac:dyDescent="0.25">
      <c r="B1138" s="48">
        <v>1135</v>
      </c>
      <c r="C1138" s="33">
        <v>208960659</v>
      </c>
      <c r="D1138" s="43" t="str">
        <f t="shared" si="85"/>
        <v>2-0896-0659</v>
      </c>
      <c r="E1138" s="33" t="s">
        <v>997</v>
      </c>
      <c r="F1138" s="43" t="str">
        <f t="shared" si="86"/>
        <v>MIGUEL</v>
      </c>
      <c r="G1138" s="43" t="str">
        <f t="shared" si="87"/>
        <v>MIGUEL</v>
      </c>
      <c r="H1138" s="43" t="str">
        <f t="shared" si="88"/>
        <v>BENAVIDES JIMENEZ</v>
      </c>
      <c r="I1138" s="43" t="str">
        <f t="shared" si="89"/>
        <v>MIGUEL BENAVIDES JIMENEZ</v>
      </c>
      <c r="J1138" s="37" t="s">
        <v>550</v>
      </c>
      <c r="K1138" s="37">
        <v>12</v>
      </c>
      <c r="L1138" s="37">
        <v>5</v>
      </c>
      <c r="M1138" s="37" t="s">
        <v>1</v>
      </c>
    </row>
    <row r="1139" spans="2:13" x14ac:dyDescent="0.25">
      <c r="B1139" s="48">
        <v>1136</v>
      </c>
      <c r="C1139" s="33">
        <v>208900819</v>
      </c>
      <c r="D1139" s="43" t="str">
        <f t="shared" si="85"/>
        <v>2-0890-0819</v>
      </c>
      <c r="E1139" s="33" t="s">
        <v>998</v>
      </c>
      <c r="F1139" s="43" t="str">
        <f t="shared" si="86"/>
        <v>MARIA PAULA</v>
      </c>
      <c r="G1139" s="43" t="str">
        <f t="shared" si="87"/>
        <v>MARIA</v>
      </c>
      <c r="H1139" s="43" t="str">
        <f t="shared" si="88"/>
        <v>CARVAJAL MURILLO</v>
      </c>
      <c r="I1139" s="43" t="str">
        <f t="shared" si="89"/>
        <v>MARIA CARVAJAL MURILLO</v>
      </c>
      <c r="J1139" s="37" t="s">
        <v>550</v>
      </c>
      <c r="K1139" s="37">
        <v>12</v>
      </c>
      <c r="L1139" s="37">
        <v>5</v>
      </c>
      <c r="M1139" s="37" t="s">
        <v>1</v>
      </c>
    </row>
    <row r="1140" spans="2:13" x14ac:dyDescent="0.25">
      <c r="B1140" s="46">
        <v>1137</v>
      </c>
      <c r="C1140" s="33">
        <v>208910587</v>
      </c>
      <c r="D1140" s="43" t="str">
        <f t="shared" si="85"/>
        <v>2-0891-0587</v>
      </c>
      <c r="E1140" s="33" t="s">
        <v>999</v>
      </c>
      <c r="F1140" s="43" t="str">
        <f t="shared" si="86"/>
        <v>MELISSA</v>
      </c>
      <c r="G1140" s="43" t="str">
        <f t="shared" si="87"/>
        <v>MELISSA</v>
      </c>
      <c r="H1140" s="43" t="str">
        <f t="shared" si="88"/>
        <v>DIAZ MEJIAS</v>
      </c>
      <c r="I1140" s="43" t="str">
        <f t="shared" si="89"/>
        <v>MELISSA DIAZ MEJIAS</v>
      </c>
      <c r="J1140" s="37" t="s">
        <v>550</v>
      </c>
      <c r="K1140" s="37">
        <v>12</v>
      </c>
      <c r="L1140" s="37">
        <v>5</v>
      </c>
      <c r="M1140" s="37" t="s">
        <v>1</v>
      </c>
    </row>
    <row r="1141" spans="2:13" x14ac:dyDescent="0.25">
      <c r="B1141" s="48">
        <v>1138</v>
      </c>
      <c r="C1141" s="33">
        <v>402750065</v>
      </c>
      <c r="D1141" s="43" t="str">
        <f t="shared" si="85"/>
        <v>4-0275-0065</v>
      </c>
      <c r="E1141" s="33" t="s">
        <v>1000</v>
      </c>
      <c r="F1141" s="43" t="str">
        <f t="shared" si="86"/>
        <v>KENNETH ISAAC</v>
      </c>
      <c r="G1141" s="43" t="str">
        <f t="shared" si="87"/>
        <v>KENNETH</v>
      </c>
      <c r="H1141" s="43" t="str">
        <f t="shared" si="88"/>
        <v>JIMENEZ CARVAJAL</v>
      </c>
      <c r="I1141" s="43" t="str">
        <f t="shared" si="89"/>
        <v>KENNETH JIMENEZ CARVAJAL</v>
      </c>
      <c r="J1141" s="37" t="s">
        <v>550</v>
      </c>
      <c r="K1141" s="37">
        <v>12</v>
      </c>
      <c r="L1141" s="37">
        <v>5</v>
      </c>
      <c r="M1141" s="37" t="s">
        <v>1</v>
      </c>
    </row>
    <row r="1142" spans="2:13" x14ac:dyDescent="0.25">
      <c r="B1142" s="48">
        <v>1139</v>
      </c>
      <c r="C1142" s="33">
        <v>402740442</v>
      </c>
      <c r="D1142" s="43" t="str">
        <f t="shared" si="85"/>
        <v>4-0274-0442</v>
      </c>
      <c r="E1142" s="33" t="s">
        <v>1001</v>
      </c>
      <c r="F1142" s="43" t="str">
        <f t="shared" si="86"/>
        <v xml:space="preserve">ARLIN DAYANA </v>
      </c>
      <c r="G1142" s="43" t="str">
        <f t="shared" si="87"/>
        <v>ARLIN</v>
      </c>
      <c r="H1142" s="43" t="str">
        <f t="shared" si="88"/>
        <v>MIRANDA RUIZ</v>
      </c>
      <c r="I1142" s="43" t="str">
        <f t="shared" si="89"/>
        <v>ARLIN MIRANDA RUIZ</v>
      </c>
      <c r="J1142" s="37" t="s">
        <v>550</v>
      </c>
      <c r="K1142" s="37">
        <v>12</v>
      </c>
      <c r="L1142" s="37">
        <v>5</v>
      </c>
      <c r="M1142" s="37" t="s">
        <v>1</v>
      </c>
    </row>
    <row r="1143" spans="2:13" x14ac:dyDescent="0.25">
      <c r="B1143" s="46">
        <v>1140</v>
      </c>
      <c r="C1143" s="33">
        <v>120000081</v>
      </c>
      <c r="D1143" s="43" t="str">
        <f t="shared" si="85"/>
        <v>1-2000-0081</v>
      </c>
      <c r="E1143" s="33" t="s">
        <v>1002</v>
      </c>
      <c r="F1143" s="43" t="str">
        <f t="shared" si="86"/>
        <v>JIMENA</v>
      </c>
      <c r="G1143" s="43" t="str">
        <f t="shared" si="87"/>
        <v>JIMENA</v>
      </c>
      <c r="H1143" s="43" t="str">
        <f t="shared" si="88"/>
        <v>MURILLO VILLALOBOS</v>
      </c>
      <c r="I1143" s="43" t="str">
        <f t="shared" si="89"/>
        <v>JIMENA MURILLO VILLALOBOS</v>
      </c>
      <c r="J1143" s="37" t="s">
        <v>550</v>
      </c>
      <c r="K1143" s="37">
        <v>12</v>
      </c>
      <c r="L1143" s="37">
        <v>5</v>
      </c>
      <c r="M1143" s="37" t="s">
        <v>1</v>
      </c>
    </row>
    <row r="1144" spans="2:13" x14ac:dyDescent="0.25">
      <c r="B1144" s="48">
        <v>1141</v>
      </c>
      <c r="C1144" s="33">
        <v>208890327</v>
      </c>
      <c r="D1144" s="43" t="str">
        <f t="shared" si="85"/>
        <v>2-0889-0327</v>
      </c>
      <c r="E1144" s="33" t="s">
        <v>1003</v>
      </c>
      <c r="F1144" s="43" t="str">
        <f t="shared" si="86"/>
        <v>ANGELY</v>
      </c>
      <c r="G1144" s="43" t="str">
        <f t="shared" si="87"/>
        <v>ANGELY</v>
      </c>
      <c r="H1144" s="43" t="str">
        <f t="shared" si="88"/>
        <v>ORTEGA VARGAS</v>
      </c>
      <c r="I1144" s="43" t="str">
        <f t="shared" si="89"/>
        <v>ANGELY ORTEGA VARGAS</v>
      </c>
      <c r="J1144" s="37" t="s">
        <v>550</v>
      </c>
      <c r="K1144" s="37">
        <v>12</v>
      </c>
      <c r="L1144" s="37">
        <v>5</v>
      </c>
      <c r="M1144" s="37" t="s">
        <v>1</v>
      </c>
    </row>
    <row r="1145" spans="2:13" x14ac:dyDescent="0.25">
      <c r="B1145" s="48">
        <v>1142</v>
      </c>
      <c r="C1145" s="33">
        <v>402740461</v>
      </c>
      <c r="D1145" s="43" t="str">
        <f t="shared" si="85"/>
        <v>4-0274-0461</v>
      </c>
      <c r="E1145" s="33" t="s">
        <v>1004</v>
      </c>
      <c r="F1145" s="43" t="str">
        <f t="shared" si="86"/>
        <v>NICOLE</v>
      </c>
      <c r="G1145" s="43" t="str">
        <f t="shared" si="87"/>
        <v>NICOLE</v>
      </c>
      <c r="H1145" s="43" t="str">
        <f t="shared" si="88"/>
        <v>RAMIREZ CHACON</v>
      </c>
      <c r="I1145" s="43" t="str">
        <f t="shared" si="89"/>
        <v>NICOLE RAMIREZ CHACON</v>
      </c>
      <c r="J1145" s="37" t="s">
        <v>550</v>
      </c>
      <c r="K1145" s="37">
        <v>12</v>
      </c>
      <c r="L1145" s="37">
        <v>5</v>
      </c>
      <c r="M1145" s="37" t="s">
        <v>1</v>
      </c>
    </row>
    <row r="1146" spans="2:13" x14ac:dyDescent="0.25">
      <c r="B1146" s="46">
        <v>1143</v>
      </c>
      <c r="C1146" s="33">
        <v>402770113</v>
      </c>
      <c r="D1146" s="43" t="str">
        <f t="shared" si="85"/>
        <v>4-0277-0113</v>
      </c>
      <c r="E1146" s="33" t="s">
        <v>1005</v>
      </c>
      <c r="F1146" s="43" t="str">
        <f t="shared" si="86"/>
        <v>MARIANGEL</v>
      </c>
      <c r="G1146" s="43" t="str">
        <f t="shared" si="87"/>
        <v>MARIANGEL</v>
      </c>
      <c r="H1146" s="43" t="str">
        <f t="shared" si="88"/>
        <v>SANCHEZ CLAVERO</v>
      </c>
      <c r="I1146" s="43" t="str">
        <f t="shared" si="89"/>
        <v>MARIANGEL SANCHEZ CLAVERO</v>
      </c>
      <c r="J1146" s="37" t="s">
        <v>550</v>
      </c>
      <c r="K1146" s="37">
        <v>12</v>
      </c>
      <c r="L1146" s="37">
        <v>5</v>
      </c>
      <c r="M1146" s="37" t="s">
        <v>1</v>
      </c>
    </row>
    <row r="1147" spans="2:13" x14ac:dyDescent="0.25">
      <c r="B1147" s="48">
        <v>1144</v>
      </c>
      <c r="C1147" s="33">
        <v>119950492</v>
      </c>
      <c r="D1147" s="43" t="str">
        <f t="shared" si="85"/>
        <v>1-1995-0492</v>
      </c>
      <c r="E1147" s="33" t="s">
        <v>1006</v>
      </c>
      <c r="F1147" s="43" t="str">
        <f t="shared" si="86"/>
        <v>KRISTEL NAYELI</v>
      </c>
      <c r="G1147" s="43" t="str">
        <f t="shared" si="87"/>
        <v>KRISTEL</v>
      </c>
      <c r="H1147" s="43" t="str">
        <f t="shared" si="88"/>
        <v>VILLACHICA UMAÑA</v>
      </c>
      <c r="I1147" s="43" t="str">
        <f t="shared" si="89"/>
        <v>KRISTEL VILLACHICA UMAÑA</v>
      </c>
      <c r="J1147" s="37" t="s">
        <v>550</v>
      </c>
      <c r="K1147" s="37">
        <v>12</v>
      </c>
      <c r="L1147" s="37">
        <v>5</v>
      </c>
      <c r="M1147" s="37" t="s">
        <v>1</v>
      </c>
    </row>
    <row r="1148" spans="2:13" x14ac:dyDescent="0.25">
      <c r="B1148" s="48">
        <v>1145</v>
      </c>
      <c r="C1148" s="33">
        <v>208940574</v>
      </c>
      <c r="D1148" s="43" t="str">
        <f t="shared" si="85"/>
        <v>2-0894-0574</v>
      </c>
      <c r="E1148" s="33" t="s">
        <v>1007</v>
      </c>
      <c r="F1148" s="43" t="str">
        <f t="shared" si="86"/>
        <v>BRIGITTE</v>
      </c>
      <c r="G1148" s="43" t="str">
        <f t="shared" si="87"/>
        <v>BRIGITTE</v>
      </c>
      <c r="H1148" s="43" t="str">
        <f t="shared" si="88"/>
        <v>VILLANEA BONILLA</v>
      </c>
      <c r="I1148" s="43" t="str">
        <f t="shared" si="89"/>
        <v>BRIGITTE VILLANEA BONILLA</v>
      </c>
      <c r="J1148" s="37" t="s">
        <v>550</v>
      </c>
      <c r="K1148" s="37">
        <v>12</v>
      </c>
      <c r="L1148" s="37">
        <v>5</v>
      </c>
      <c r="M1148" s="37" t="s">
        <v>1</v>
      </c>
    </row>
    <row r="1149" spans="2:13" x14ac:dyDescent="0.25">
      <c r="B1149" s="46">
        <v>1146</v>
      </c>
      <c r="C1149" s="33">
        <v>208880403</v>
      </c>
      <c r="D1149" s="43" t="str">
        <f t="shared" si="85"/>
        <v>2-0888-0403</v>
      </c>
      <c r="E1149" s="33" t="s">
        <v>1008</v>
      </c>
      <c r="F1149" s="43" t="str">
        <f t="shared" si="86"/>
        <v>CRISTOPHER ELIEL</v>
      </c>
      <c r="G1149" s="43" t="str">
        <f t="shared" si="87"/>
        <v>CRISTOPHER</v>
      </c>
      <c r="H1149" s="43" t="str">
        <f t="shared" si="88"/>
        <v>ZAMORA PEREZ</v>
      </c>
      <c r="I1149" s="43" t="str">
        <f t="shared" si="89"/>
        <v>CRISTOPHER ZAMORA PEREZ</v>
      </c>
      <c r="J1149" s="37" t="s">
        <v>550</v>
      </c>
      <c r="K1149" s="37">
        <v>12</v>
      </c>
      <c r="L1149" s="37">
        <v>5</v>
      </c>
      <c r="M1149" s="37" t="s">
        <v>1</v>
      </c>
    </row>
    <row r="1150" spans="2:13" x14ac:dyDescent="0.25">
      <c r="B1150" s="48">
        <v>1147</v>
      </c>
      <c r="C1150" s="53">
        <v>402770093</v>
      </c>
      <c r="D1150" s="43" t="str">
        <f t="shared" si="85"/>
        <v>4-0277-0093</v>
      </c>
      <c r="E1150" s="53" t="s">
        <v>1009</v>
      </c>
      <c r="F1150" s="43" t="str">
        <f t="shared" si="86"/>
        <v xml:space="preserve">JORDAN DAVID </v>
      </c>
      <c r="G1150" s="43" t="str">
        <f t="shared" si="87"/>
        <v>JORDAN</v>
      </c>
      <c r="H1150" s="43" t="str">
        <f t="shared" si="88"/>
        <v>AGUILAR MUÑOZ</v>
      </c>
      <c r="I1150" s="43" t="str">
        <f t="shared" si="89"/>
        <v>JORDAN AGUILAR MUÑOZ</v>
      </c>
      <c r="J1150" s="37" t="s">
        <v>582</v>
      </c>
      <c r="K1150" s="37">
        <v>12</v>
      </c>
      <c r="L1150" s="37">
        <v>5</v>
      </c>
      <c r="M1150" s="37" t="s">
        <v>0</v>
      </c>
    </row>
    <row r="1151" spans="2:13" x14ac:dyDescent="0.25">
      <c r="B1151" s="48">
        <v>1148</v>
      </c>
      <c r="C1151" s="53">
        <v>208870328</v>
      </c>
      <c r="D1151" s="43" t="str">
        <f t="shared" si="85"/>
        <v>2-0887-0328</v>
      </c>
      <c r="E1151" s="53" t="s">
        <v>1010</v>
      </c>
      <c r="F1151" s="43" t="str">
        <f t="shared" si="86"/>
        <v xml:space="preserve">LUIS ANDRES </v>
      </c>
      <c r="G1151" s="43" t="str">
        <f t="shared" si="87"/>
        <v>LUIS</v>
      </c>
      <c r="H1151" s="43" t="str">
        <f t="shared" si="88"/>
        <v>ALFARO ARAYA</v>
      </c>
      <c r="I1151" s="43" t="str">
        <f t="shared" si="89"/>
        <v>LUIS ALFARO ARAYA</v>
      </c>
      <c r="J1151" s="37" t="s">
        <v>582</v>
      </c>
      <c r="K1151" s="37">
        <v>12</v>
      </c>
      <c r="L1151" s="37">
        <v>5</v>
      </c>
      <c r="M1151" s="37" t="s">
        <v>0</v>
      </c>
    </row>
    <row r="1152" spans="2:13" x14ac:dyDescent="0.25">
      <c r="B1152" s="46">
        <v>1149</v>
      </c>
      <c r="C1152" s="53">
        <v>208940809</v>
      </c>
      <c r="D1152" s="43" t="str">
        <f t="shared" si="85"/>
        <v>2-0894-0809</v>
      </c>
      <c r="E1152" s="53" t="s">
        <v>1011</v>
      </c>
      <c r="F1152" s="43" t="str">
        <f t="shared" si="86"/>
        <v xml:space="preserve">KEVIN ANDREY </v>
      </c>
      <c r="G1152" s="43" t="str">
        <f t="shared" si="87"/>
        <v>KEVIN</v>
      </c>
      <c r="H1152" s="43" t="str">
        <f t="shared" si="88"/>
        <v>CAMPOS GONZALEZ</v>
      </c>
      <c r="I1152" s="43" t="str">
        <f t="shared" si="89"/>
        <v>KEVIN CAMPOS GONZALEZ</v>
      </c>
      <c r="J1152" s="37" t="s">
        <v>582</v>
      </c>
      <c r="K1152" s="37">
        <v>12</v>
      </c>
      <c r="L1152" s="37">
        <v>5</v>
      </c>
      <c r="M1152" s="37" t="s">
        <v>0</v>
      </c>
    </row>
    <row r="1153" spans="2:13" x14ac:dyDescent="0.25">
      <c r="B1153" s="48">
        <v>1150</v>
      </c>
      <c r="C1153" s="53">
        <v>208860754</v>
      </c>
      <c r="D1153" s="43" t="str">
        <f t="shared" si="85"/>
        <v>2-0886-0754</v>
      </c>
      <c r="E1153" s="53" t="s">
        <v>1012</v>
      </c>
      <c r="F1153" s="43" t="str">
        <f t="shared" si="86"/>
        <v>DAYANA</v>
      </c>
      <c r="G1153" s="43" t="str">
        <f t="shared" si="87"/>
        <v>DAYANA</v>
      </c>
      <c r="H1153" s="43" t="str">
        <f t="shared" si="88"/>
        <v>CHAVES SAENZ</v>
      </c>
      <c r="I1153" s="43" t="str">
        <f t="shared" si="89"/>
        <v>DAYANA CHAVES SAENZ</v>
      </c>
      <c r="J1153" s="37" t="s">
        <v>582</v>
      </c>
      <c r="K1153" s="37">
        <v>12</v>
      </c>
      <c r="L1153" s="37">
        <v>5</v>
      </c>
      <c r="M1153" s="37" t="s">
        <v>0</v>
      </c>
    </row>
    <row r="1154" spans="2:13" x14ac:dyDescent="0.25">
      <c r="B1154" s="48">
        <v>1151</v>
      </c>
      <c r="C1154" s="53">
        <v>208870649</v>
      </c>
      <c r="D1154" s="43" t="str">
        <f t="shared" si="85"/>
        <v>2-0887-0649</v>
      </c>
      <c r="E1154" s="53" t="s">
        <v>1013</v>
      </c>
      <c r="F1154" s="43" t="str">
        <f t="shared" si="86"/>
        <v>JONATHAN ANTONIO</v>
      </c>
      <c r="G1154" s="43" t="str">
        <f t="shared" si="87"/>
        <v>JONATHAN</v>
      </c>
      <c r="H1154" s="43" t="str">
        <f t="shared" si="88"/>
        <v>DIAZ MADRIGAL</v>
      </c>
      <c r="I1154" s="43" t="str">
        <f t="shared" si="89"/>
        <v>JONATHAN DIAZ MADRIGAL</v>
      </c>
      <c r="J1154" s="37" t="s">
        <v>582</v>
      </c>
      <c r="K1154" s="37">
        <v>12</v>
      </c>
      <c r="L1154" s="37">
        <v>5</v>
      </c>
      <c r="M1154" s="37" t="s">
        <v>0</v>
      </c>
    </row>
    <row r="1155" spans="2:13" x14ac:dyDescent="0.25">
      <c r="B1155" s="46">
        <v>1152</v>
      </c>
      <c r="C1155" s="53">
        <v>402750318</v>
      </c>
      <c r="D1155" s="43" t="str">
        <f t="shared" si="85"/>
        <v>4-0275-0318</v>
      </c>
      <c r="E1155" s="53" t="s">
        <v>1014</v>
      </c>
      <c r="F1155" s="43" t="str">
        <f t="shared" si="86"/>
        <v xml:space="preserve">EDISON ALEXANDER </v>
      </c>
      <c r="G1155" s="43" t="str">
        <f t="shared" si="87"/>
        <v>EDISON</v>
      </c>
      <c r="H1155" s="43" t="str">
        <f t="shared" si="88"/>
        <v>FERNANDEZ FERNANDEZ</v>
      </c>
      <c r="I1155" s="43" t="str">
        <f t="shared" si="89"/>
        <v>EDISON FERNANDEZ FERNANDEZ</v>
      </c>
      <c r="J1155" s="37" t="s">
        <v>582</v>
      </c>
      <c r="K1155" s="37">
        <v>12</v>
      </c>
      <c r="L1155" s="37">
        <v>5</v>
      </c>
      <c r="M1155" s="37" t="s">
        <v>0</v>
      </c>
    </row>
    <row r="1156" spans="2:13" x14ac:dyDescent="0.25">
      <c r="B1156" s="48">
        <v>1153</v>
      </c>
      <c r="C1156" s="53">
        <v>402760497</v>
      </c>
      <c r="D1156" s="43" t="str">
        <f t="shared" ref="D1156:D1197" si="90">IF(LEN(C1156)=9,_xlfn.CONCAT(MID(C1156,1,1),"-",MID(C1156,2,4),"-",MID(C1156,6,4)),TEXT(C1156,"000000000000"))</f>
        <v>4-0276-0497</v>
      </c>
      <c r="E1156" s="53" t="s">
        <v>1015</v>
      </c>
      <c r="F1156" s="43" t="str">
        <f t="shared" si="86"/>
        <v>ADRIAN DANIEL</v>
      </c>
      <c r="G1156" s="43" t="str">
        <f t="shared" si="87"/>
        <v>ADRIAN</v>
      </c>
      <c r="H1156" s="43" t="str">
        <f t="shared" si="88"/>
        <v>HERNANDEZ HERRERA</v>
      </c>
      <c r="I1156" s="43" t="str">
        <f t="shared" si="89"/>
        <v>ADRIAN HERNANDEZ HERRERA</v>
      </c>
      <c r="J1156" s="37" t="s">
        <v>582</v>
      </c>
      <c r="K1156" s="37">
        <v>12</v>
      </c>
      <c r="L1156" s="37">
        <v>5</v>
      </c>
      <c r="M1156" s="37" t="s">
        <v>0</v>
      </c>
    </row>
    <row r="1157" spans="2:13" x14ac:dyDescent="0.25">
      <c r="B1157" s="48">
        <v>1154</v>
      </c>
      <c r="C1157" s="53">
        <v>120060390</v>
      </c>
      <c r="D1157" s="43" t="str">
        <f t="shared" si="90"/>
        <v>1-2006-0390</v>
      </c>
      <c r="E1157" s="53" t="s">
        <v>1016</v>
      </c>
      <c r="F1157" s="43" t="str">
        <f t="shared" ref="F1157:F1197" si="91">RIGHT(E1157,LEN(E1157)-SEARCH(" ",E1157,SEARCH(" ",E1157)+1))</f>
        <v>KENDALL ANDRES</v>
      </c>
      <c r="G1157" s="43" t="str">
        <f t="shared" ref="G1157:G1197" si="92">IFERROR(LEFT(F1157,SEARCH(" ",F1157,1)-1),F1157)</f>
        <v>KENDALL</v>
      </c>
      <c r="H1157" s="43" t="str">
        <f t="shared" ref="H1157:H1197" si="93">LEFT(E1157,SEARCH(" ",E1157,SEARCH(" ",E1157)+1)-1)</f>
        <v>JIMENEZ CASCANTE</v>
      </c>
      <c r="I1157" s="43" t="str">
        <f t="shared" ref="I1157:I1197" si="94">_xlfn.CONCAT(G1157," ",H1157)</f>
        <v>KENDALL JIMENEZ CASCANTE</v>
      </c>
      <c r="J1157" s="37" t="s">
        <v>582</v>
      </c>
      <c r="K1157" s="37">
        <v>12</v>
      </c>
      <c r="L1157" s="37">
        <v>5</v>
      </c>
      <c r="M1157" s="37" t="s">
        <v>0</v>
      </c>
    </row>
    <row r="1158" spans="2:13" x14ac:dyDescent="0.25">
      <c r="B1158" s="46">
        <v>1155</v>
      </c>
      <c r="C1158" s="53">
        <v>208910334</v>
      </c>
      <c r="D1158" s="43" t="str">
        <f t="shared" si="90"/>
        <v>2-0891-0334</v>
      </c>
      <c r="E1158" s="53" t="s">
        <v>1017</v>
      </c>
      <c r="F1158" s="43" t="str">
        <f t="shared" si="91"/>
        <v>JEAN CARLO</v>
      </c>
      <c r="G1158" s="43" t="str">
        <f t="shared" si="92"/>
        <v>JEAN</v>
      </c>
      <c r="H1158" s="43" t="str">
        <f t="shared" si="93"/>
        <v>LARA GARCIA</v>
      </c>
      <c r="I1158" s="43" t="str">
        <f t="shared" si="94"/>
        <v>JEAN LARA GARCIA</v>
      </c>
      <c r="J1158" s="37" t="s">
        <v>582</v>
      </c>
      <c r="K1158" s="37">
        <v>12</v>
      </c>
      <c r="L1158" s="37">
        <v>5</v>
      </c>
      <c r="M1158" s="37" t="s">
        <v>0</v>
      </c>
    </row>
    <row r="1159" spans="2:13" x14ac:dyDescent="0.25">
      <c r="B1159" s="48">
        <v>1156</v>
      </c>
      <c r="C1159" s="53">
        <v>208810989</v>
      </c>
      <c r="D1159" s="43" t="str">
        <f t="shared" si="90"/>
        <v>2-0881-0989</v>
      </c>
      <c r="E1159" s="53" t="s">
        <v>1018</v>
      </c>
      <c r="F1159" s="43" t="str">
        <f t="shared" si="91"/>
        <v>HILARY</v>
      </c>
      <c r="G1159" s="43" t="str">
        <f t="shared" si="92"/>
        <v>HILARY</v>
      </c>
      <c r="H1159" s="43" t="str">
        <f t="shared" si="93"/>
        <v>PANIAGUA MONTERO</v>
      </c>
      <c r="I1159" s="43" t="str">
        <f t="shared" si="94"/>
        <v>HILARY PANIAGUA MONTERO</v>
      </c>
      <c r="J1159" s="37" t="s">
        <v>582</v>
      </c>
      <c r="K1159" s="37">
        <v>12</v>
      </c>
      <c r="L1159" s="37">
        <v>5</v>
      </c>
      <c r="M1159" s="37" t="s">
        <v>0</v>
      </c>
    </row>
    <row r="1160" spans="2:13" x14ac:dyDescent="0.25">
      <c r="B1160" s="48">
        <v>1157</v>
      </c>
      <c r="C1160" s="53">
        <v>208920632</v>
      </c>
      <c r="D1160" s="43" t="str">
        <f t="shared" si="90"/>
        <v>2-0892-0632</v>
      </c>
      <c r="E1160" s="53" t="s">
        <v>1019</v>
      </c>
      <c r="F1160" s="43" t="str">
        <f t="shared" si="91"/>
        <v xml:space="preserve">ANGELO </v>
      </c>
      <c r="G1160" s="43" t="str">
        <f t="shared" si="92"/>
        <v>ANGELO</v>
      </c>
      <c r="H1160" s="43" t="str">
        <f t="shared" si="93"/>
        <v>QUIROS AGUILAR</v>
      </c>
      <c r="I1160" s="43" t="str">
        <f t="shared" si="94"/>
        <v>ANGELO QUIROS AGUILAR</v>
      </c>
      <c r="J1160" s="37" t="s">
        <v>582</v>
      </c>
      <c r="K1160" s="37">
        <v>12</v>
      </c>
      <c r="L1160" s="37">
        <v>5</v>
      </c>
      <c r="M1160" s="37" t="s">
        <v>0</v>
      </c>
    </row>
    <row r="1161" spans="2:13" x14ac:dyDescent="0.25">
      <c r="B1161" s="46">
        <v>1158</v>
      </c>
      <c r="C1161" s="53">
        <v>402770649</v>
      </c>
      <c r="D1161" s="43" t="str">
        <f t="shared" si="90"/>
        <v>4-0277-0649</v>
      </c>
      <c r="E1161" s="53" t="s">
        <v>1020</v>
      </c>
      <c r="F1161" s="43" t="str">
        <f t="shared" si="91"/>
        <v xml:space="preserve">FABRICIO JOSE </v>
      </c>
      <c r="G1161" s="43" t="str">
        <f t="shared" si="92"/>
        <v>FABRICIO</v>
      </c>
      <c r="H1161" s="43" t="str">
        <f t="shared" si="93"/>
        <v>RUBIO SANCHEZ</v>
      </c>
      <c r="I1161" s="43" t="str">
        <f t="shared" si="94"/>
        <v>FABRICIO RUBIO SANCHEZ</v>
      </c>
      <c r="J1161" s="37" t="s">
        <v>582</v>
      </c>
      <c r="K1161" s="37">
        <v>12</v>
      </c>
      <c r="L1161" s="37">
        <v>5</v>
      </c>
      <c r="M1161" s="37" t="s">
        <v>0</v>
      </c>
    </row>
    <row r="1162" spans="2:13" x14ac:dyDescent="0.25">
      <c r="B1162" s="48">
        <v>1159</v>
      </c>
      <c r="C1162" s="33">
        <v>402760355</v>
      </c>
      <c r="D1162" s="43" t="str">
        <f t="shared" si="90"/>
        <v>4-0276-0355</v>
      </c>
      <c r="E1162" s="33" t="s">
        <v>1021</v>
      </c>
      <c r="F1162" s="43" t="str">
        <f t="shared" si="91"/>
        <v>DIEGO GERARDO</v>
      </c>
      <c r="G1162" s="43" t="str">
        <f t="shared" si="92"/>
        <v>DIEGO</v>
      </c>
      <c r="H1162" s="43" t="str">
        <f t="shared" si="93"/>
        <v>VARGAS GARRO</v>
      </c>
      <c r="I1162" s="43" t="str">
        <f t="shared" si="94"/>
        <v>DIEGO VARGAS GARRO</v>
      </c>
      <c r="J1162" s="37" t="s">
        <v>582</v>
      </c>
      <c r="K1162" s="37">
        <v>12</v>
      </c>
      <c r="L1162" s="37">
        <v>5</v>
      </c>
      <c r="M1162" s="37" t="s">
        <v>0</v>
      </c>
    </row>
    <row r="1163" spans="2:13" x14ac:dyDescent="0.25">
      <c r="B1163" s="48">
        <v>1160</v>
      </c>
      <c r="C1163" s="53">
        <v>402760814</v>
      </c>
      <c r="D1163" s="43" t="str">
        <f t="shared" si="90"/>
        <v>4-0276-0814</v>
      </c>
      <c r="E1163" s="53" t="s">
        <v>1022</v>
      </c>
      <c r="F1163" s="43" t="str">
        <f t="shared" si="91"/>
        <v>GABRIEL</v>
      </c>
      <c r="G1163" s="43" t="str">
        <f t="shared" si="92"/>
        <v>GABRIEL</v>
      </c>
      <c r="H1163" s="43" t="str">
        <f t="shared" si="93"/>
        <v>VIQUEZ CORTES</v>
      </c>
      <c r="I1163" s="43" t="str">
        <f t="shared" si="94"/>
        <v>GABRIEL VIQUEZ CORTES</v>
      </c>
      <c r="J1163" s="37" t="s">
        <v>582</v>
      </c>
      <c r="K1163" s="37">
        <v>12</v>
      </c>
      <c r="L1163" s="37">
        <v>5</v>
      </c>
      <c r="M1163" s="37" t="s">
        <v>0</v>
      </c>
    </row>
    <row r="1164" spans="2:13" x14ac:dyDescent="0.25">
      <c r="B1164" s="46">
        <v>1161</v>
      </c>
      <c r="C1164" s="63">
        <v>120100874</v>
      </c>
      <c r="D1164" s="43" t="str">
        <f t="shared" si="90"/>
        <v>1-2010-0874</v>
      </c>
      <c r="E1164" s="63" t="s">
        <v>1023</v>
      </c>
      <c r="F1164" s="43" t="str">
        <f t="shared" si="91"/>
        <v xml:space="preserve">ABIGAIL DE MARIA </v>
      </c>
      <c r="G1164" s="43" t="str">
        <f t="shared" si="92"/>
        <v>ABIGAIL</v>
      </c>
      <c r="H1164" s="43" t="str">
        <f t="shared" si="93"/>
        <v>ALPIZAR SANCHEZ</v>
      </c>
      <c r="I1164" s="43" t="str">
        <f t="shared" si="94"/>
        <v>ABIGAIL ALPIZAR SANCHEZ</v>
      </c>
      <c r="J1164" s="37" t="s">
        <v>675</v>
      </c>
      <c r="K1164" s="37">
        <v>12</v>
      </c>
      <c r="L1164" s="37">
        <v>6</v>
      </c>
      <c r="M1164" s="37" t="s">
        <v>1</v>
      </c>
    </row>
    <row r="1165" spans="2:13" x14ac:dyDescent="0.25">
      <c r="B1165" s="48">
        <v>1162</v>
      </c>
      <c r="C1165" s="63">
        <v>120080999</v>
      </c>
      <c r="D1165" s="43" t="str">
        <f t="shared" si="90"/>
        <v>1-2008-0999</v>
      </c>
      <c r="E1165" s="63" t="s">
        <v>1024</v>
      </c>
      <c r="F1165" s="43" t="str">
        <f t="shared" si="91"/>
        <v xml:space="preserve">KENDALL ADRIAN </v>
      </c>
      <c r="G1165" s="43" t="str">
        <f t="shared" si="92"/>
        <v>KENDALL</v>
      </c>
      <c r="H1165" s="43" t="str">
        <f t="shared" si="93"/>
        <v>CALVO ALFARO</v>
      </c>
      <c r="I1165" s="43" t="str">
        <f t="shared" si="94"/>
        <v>KENDALL CALVO ALFARO</v>
      </c>
      <c r="J1165" s="37" t="s">
        <v>675</v>
      </c>
      <c r="K1165" s="37">
        <v>12</v>
      </c>
      <c r="L1165" s="37">
        <v>6</v>
      </c>
      <c r="M1165" s="37" t="s">
        <v>1</v>
      </c>
    </row>
    <row r="1166" spans="2:13" x14ac:dyDescent="0.25">
      <c r="B1166" s="48">
        <v>1163</v>
      </c>
      <c r="C1166" s="63">
        <v>402740121</v>
      </c>
      <c r="D1166" s="43" t="str">
        <f t="shared" si="90"/>
        <v>4-0274-0121</v>
      </c>
      <c r="E1166" s="63" t="s">
        <v>1025</v>
      </c>
      <c r="F1166" s="43" t="str">
        <f t="shared" si="91"/>
        <v xml:space="preserve">JUSTIN DANIEL </v>
      </c>
      <c r="G1166" s="43" t="str">
        <f t="shared" si="92"/>
        <v>JUSTIN</v>
      </c>
      <c r="H1166" s="43" t="str">
        <f t="shared" si="93"/>
        <v>CAMACHO MORA</v>
      </c>
      <c r="I1166" s="43" t="str">
        <f t="shared" si="94"/>
        <v>JUSTIN CAMACHO MORA</v>
      </c>
      <c r="J1166" s="37" t="s">
        <v>675</v>
      </c>
      <c r="K1166" s="37">
        <v>12</v>
      </c>
      <c r="L1166" s="37">
        <v>6</v>
      </c>
      <c r="M1166" s="37" t="s">
        <v>1</v>
      </c>
    </row>
    <row r="1167" spans="2:13" x14ac:dyDescent="0.25">
      <c r="B1167" s="46">
        <v>1164</v>
      </c>
      <c r="C1167" s="63">
        <v>208960472</v>
      </c>
      <c r="D1167" s="43" t="str">
        <f t="shared" si="90"/>
        <v>2-0896-0472</v>
      </c>
      <c r="E1167" s="63" t="s">
        <v>1026</v>
      </c>
      <c r="F1167" s="43" t="str">
        <f t="shared" si="91"/>
        <v xml:space="preserve">JOSE ALONSO </v>
      </c>
      <c r="G1167" s="43" t="str">
        <f t="shared" si="92"/>
        <v>JOSE</v>
      </c>
      <c r="H1167" s="43" t="str">
        <f t="shared" si="93"/>
        <v>CAMBRONERO CAMPOS</v>
      </c>
      <c r="I1167" s="43" t="str">
        <f t="shared" si="94"/>
        <v>JOSE CAMBRONERO CAMPOS</v>
      </c>
      <c r="J1167" s="37" t="s">
        <v>675</v>
      </c>
      <c r="K1167" s="37">
        <v>12</v>
      </c>
      <c r="L1167" s="37">
        <v>6</v>
      </c>
      <c r="M1167" s="37" t="s">
        <v>1</v>
      </c>
    </row>
    <row r="1168" spans="2:13" x14ac:dyDescent="0.25">
      <c r="B1168" s="48">
        <v>1165</v>
      </c>
      <c r="C1168" s="63">
        <v>402760964</v>
      </c>
      <c r="D1168" s="43" t="str">
        <f t="shared" si="90"/>
        <v>4-0276-0964</v>
      </c>
      <c r="E1168" s="63" t="s">
        <v>1027</v>
      </c>
      <c r="F1168" s="43" t="str">
        <f t="shared" si="91"/>
        <v>FABIAN GERARDO</v>
      </c>
      <c r="G1168" s="43" t="str">
        <f t="shared" si="92"/>
        <v>FABIAN</v>
      </c>
      <c r="H1168" s="43" t="str">
        <f t="shared" si="93"/>
        <v>CAMBRONERO NUÑEZ</v>
      </c>
      <c r="I1168" s="43" t="str">
        <f t="shared" si="94"/>
        <v>FABIAN CAMBRONERO NUÑEZ</v>
      </c>
      <c r="J1168" s="37" t="s">
        <v>675</v>
      </c>
      <c r="K1168" s="37">
        <v>12</v>
      </c>
      <c r="L1168" s="37">
        <v>6</v>
      </c>
      <c r="M1168" s="37" t="s">
        <v>1</v>
      </c>
    </row>
    <row r="1169" spans="2:13" x14ac:dyDescent="0.25">
      <c r="B1169" s="48">
        <v>1166</v>
      </c>
      <c r="C1169" s="63">
        <v>402760445</v>
      </c>
      <c r="D1169" s="43" t="str">
        <f t="shared" si="90"/>
        <v>4-0276-0445</v>
      </c>
      <c r="E1169" s="63" t="s">
        <v>1028</v>
      </c>
      <c r="F1169" s="43" t="str">
        <f t="shared" si="91"/>
        <v xml:space="preserve">RICARDO JESUS </v>
      </c>
      <c r="G1169" s="43" t="str">
        <f t="shared" si="92"/>
        <v>RICARDO</v>
      </c>
      <c r="H1169" s="43" t="str">
        <f t="shared" si="93"/>
        <v>CARBALLO VEGA</v>
      </c>
      <c r="I1169" s="43" t="str">
        <f t="shared" si="94"/>
        <v>RICARDO CARBALLO VEGA</v>
      </c>
      <c r="J1169" s="37" t="s">
        <v>675</v>
      </c>
      <c r="K1169" s="37">
        <v>12</v>
      </c>
      <c r="L1169" s="37">
        <v>6</v>
      </c>
      <c r="M1169" s="37" t="s">
        <v>1</v>
      </c>
    </row>
    <row r="1170" spans="2:13" x14ac:dyDescent="0.25">
      <c r="B1170" s="46">
        <v>1167</v>
      </c>
      <c r="C1170" s="63">
        <v>208880598</v>
      </c>
      <c r="D1170" s="43" t="str">
        <f t="shared" si="90"/>
        <v>2-0888-0598</v>
      </c>
      <c r="E1170" s="63" t="s">
        <v>1029</v>
      </c>
      <c r="F1170" s="43" t="str">
        <f t="shared" si="91"/>
        <v>DYLAN</v>
      </c>
      <c r="G1170" s="43" t="str">
        <f t="shared" si="92"/>
        <v>DYLAN</v>
      </c>
      <c r="H1170" s="43" t="str">
        <f t="shared" si="93"/>
        <v>CASTRO BOLAÑOS</v>
      </c>
      <c r="I1170" s="43" t="str">
        <f t="shared" si="94"/>
        <v>DYLAN CASTRO BOLAÑOS</v>
      </c>
      <c r="J1170" s="37" t="s">
        <v>675</v>
      </c>
      <c r="K1170" s="37">
        <v>12</v>
      </c>
      <c r="L1170" s="37">
        <v>6</v>
      </c>
      <c r="M1170" s="37" t="s">
        <v>1</v>
      </c>
    </row>
    <row r="1171" spans="2:13" x14ac:dyDescent="0.25">
      <c r="B1171" s="48">
        <v>1168</v>
      </c>
      <c r="C1171" s="33">
        <v>208840812</v>
      </c>
      <c r="D1171" s="43" t="str">
        <f t="shared" si="90"/>
        <v>2-0884-0812</v>
      </c>
      <c r="E1171" s="33" t="s">
        <v>775</v>
      </c>
      <c r="F1171" s="43" t="str">
        <f t="shared" si="91"/>
        <v>AARON JOSE</v>
      </c>
      <c r="G1171" s="43" t="str">
        <f t="shared" si="92"/>
        <v>AARON</v>
      </c>
      <c r="H1171" s="43" t="str">
        <f t="shared" si="93"/>
        <v>CHAVES GONZALEZ</v>
      </c>
      <c r="I1171" s="43" t="str">
        <f t="shared" si="94"/>
        <v>AARON CHAVES GONZALEZ</v>
      </c>
      <c r="J1171" s="37" t="s">
        <v>675</v>
      </c>
      <c r="K1171" s="37">
        <v>12</v>
      </c>
      <c r="L1171" s="37">
        <v>6</v>
      </c>
      <c r="M1171" s="37" t="s">
        <v>1</v>
      </c>
    </row>
    <row r="1172" spans="2:13" x14ac:dyDescent="0.25">
      <c r="B1172" s="48">
        <v>1169</v>
      </c>
      <c r="C1172" s="63">
        <v>120080304</v>
      </c>
      <c r="D1172" s="43" t="str">
        <f t="shared" si="90"/>
        <v>1-2008-0304</v>
      </c>
      <c r="E1172" s="63" t="s">
        <v>1030</v>
      </c>
      <c r="F1172" s="43" t="str">
        <f t="shared" si="91"/>
        <v xml:space="preserve">JOSE GABRIEL </v>
      </c>
      <c r="G1172" s="43" t="str">
        <f t="shared" si="92"/>
        <v>JOSE</v>
      </c>
      <c r="H1172" s="43" t="str">
        <f t="shared" si="93"/>
        <v>FLORES ARIAS</v>
      </c>
      <c r="I1172" s="43" t="str">
        <f t="shared" si="94"/>
        <v>JOSE FLORES ARIAS</v>
      </c>
      <c r="J1172" s="37" t="s">
        <v>675</v>
      </c>
      <c r="K1172" s="37">
        <v>12</v>
      </c>
      <c r="L1172" s="37">
        <v>6</v>
      </c>
      <c r="M1172" s="37" t="s">
        <v>1</v>
      </c>
    </row>
    <row r="1173" spans="2:13" x14ac:dyDescent="0.25">
      <c r="B1173" s="46">
        <v>1170</v>
      </c>
      <c r="C1173" s="63">
        <v>402760999</v>
      </c>
      <c r="D1173" s="43" t="str">
        <f t="shared" si="90"/>
        <v>4-0276-0999</v>
      </c>
      <c r="E1173" s="63" t="s">
        <v>1031</v>
      </c>
      <c r="F1173" s="43" t="str">
        <f t="shared" si="91"/>
        <v xml:space="preserve">ANDRES </v>
      </c>
      <c r="G1173" s="43" t="str">
        <f t="shared" si="92"/>
        <v>ANDRES</v>
      </c>
      <c r="H1173" s="43" t="str">
        <f t="shared" si="93"/>
        <v>FUERTES SOLANO</v>
      </c>
      <c r="I1173" s="43" t="str">
        <f t="shared" si="94"/>
        <v>ANDRES FUERTES SOLANO</v>
      </c>
      <c r="J1173" s="37" t="s">
        <v>675</v>
      </c>
      <c r="K1173" s="37">
        <v>12</v>
      </c>
      <c r="L1173" s="37">
        <v>6</v>
      </c>
      <c r="M1173" s="37" t="s">
        <v>1</v>
      </c>
    </row>
    <row r="1174" spans="2:13" x14ac:dyDescent="0.25">
      <c r="B1174" s="48">
        <v>1171</v>
      </c>
      <c r="C1174" s="53">
        <v>999991171</v>
      </c>
      <c r="D1174" s="70" t="s">
        <v>1032</v>
      </c>
      <c r="E1174" s="63" t="s">
        <v>1033</v>
      </c>
      <c r="F1174" s="43" t="str">
        <f t="shared" si="91"/>
        <v xml:space="preserve">RANDAL ANDREY </v>
      </c>
      <c r="G1174" s="43" t="str">
        <f t="shared" si="92"/>
        <v>RANDAL</v>
      </c>
      <c r="H1174" s="43" t="str">
        <f t="shared" si="93"/>
        <v>JARQUIN JIMENEZ</v>
      </c>
      <c r="I1174" s="43" t="str">
        <f t="shared" si="94"/>
        <v>RANDAL JARQUIN JIMENEZ</v>
      </c>
      <c r="J1174" s="37" t="s">
        <v>675</v>
      </c>
      <c r="K1174" s="37">
        <v>12</v>
      </c>
      <c r="L1174" s="37">
        <v>6</v>
      </c>
      <c r="M1174" s="37" t="s">
        <v>1</v>
      </c>
    </row>
    <row r="1175" spans="2:13" x14ac:dyDescent="0.25">
      <c r="B1175" s="48">
        <v>1172</v>
      </c>
      <c r="C1175" s="63">
        <v>208910238</v>
      </c>
      <c r="D1175" s="43" t="str">
        <f t="shared" si="90"/>
        <v>2-0891-0238</v>
      </c>
      <c r="E1175" s="63" t="s">
        <v>1034</v>
      </c>
      <c r="F1175" s="43" t="str">
        <f t="shared" si="91"/>
        <v>RICARDO FELIPE</v>
      </c>
      <c r="G1175" s="43" t="str">
        <f t="shared" si="92"/>
        <v>RICARDO</v>
      </c>
      <c r="H1175" s="43" t="str">
        <f t="shared" si="93"/>
        <v>MORA LOPEZ</v>
      </c>
      <c r="I1175" s="43" t="str">
        <f t="shared" si="94"/>
        <v>RICARDO MORA LOPEZ</v>
      </c>
      <c r="J1175" s="37" t="s">
        <v>675</v>
      </c>
      <c r="K1175" s="37">
        <v>12</v>
      </c>
      <c r="L1175" s="37">
        <v>6</v>
      </c>
      <c r="M1175" s="37" t="s">
        <v>1</v>
      </c>
    </row>
    <row r="1176" spans="2:13" x14ac:dyDescent="0.25">
      <c r="B1176" s="46">
        <v>1173</v>
      </c>
      <c r="C1176" s="63">
        <v>402740708</v>
      </c>
      <c r="D1176" s="43" t="str">
        <f t="shared" si="90"/>
        <v>4-0274-0708</v>
      </c>
      <c r="E1176" s="63" t="s">
        <v>1035</v>
      </c>
      <c r="F1176" s="43" t="str">
        <f t="shared" si="91"/>
        <v>MANUEL ANTONIO</v>
      </c>
      <c r="G1176" s="43" t="str">
        <f t="shared" si="92"/>
        <v>MANUEL</v>
      </c>
      <c r="H1176" s="43" t="str">
        <f t="shared" si="93"/>
        <v>OVIEDO CAMACHO</v>
      </c>
      <c r="I1176" s="43" t="str">
        <f t="shared" si="94"/>
        <v>MANUEL OVIEDO CAMACHO</v>
      </c>
      <c r="J1176" s="37" t="s">
        <v>675</v>
      </c>
      <c r="K1176" s="37">
        <v>12</v>
      </c>
      <c r="L1176" s="37">
        <v>6</v>
      </c>
      <c r="M1176" s="37" t="s">
        <v>1</v>
      </c>
    </row>
    <row r="1177" spans="2:13" x14ac:dyDescent="0.25">
      <c r="B1177" s="48">
        <v>1174</v>
      </c>
      <c r="C1177" s="63">
        <v>208910562</v>
      </c>
      <c r="D1177" s="43" t="str">
        <f t="shared" si="90"/>
        <v>2-0891-0562</v>
      </c>
      <c r="E1177" s="63" t="s">
        <v>1036</v>
      </c>
      <c r="F1177" s="43" t="str">
        <f t="shared" si="91"/>
        <v xml:space="preserve">DANIEL ALONSO </v>
      </c>
      <c r="G1177" s="43" t="str">
        <f t="shared" si="92"/>
        <v>DANIEL</v>
      </c>
      <c r="H1177" s="43" t="str">
        <f t="shared" si="93"/>
        <v>PANIAGUA MONTERO</v>
      </c>
      <c r="I1177" s="43" t="str">
        <f t="shared" si="94"/>
        <v>DANIEL PANIAGUA MONTERO</v>
      </c>
      <c r="J1177" s="37" t="s">
        <v>675</v>
      </c>
      <c r="K1177" s="37">
        <v>12</v>
      </c>
      <c r="L1177" s="37">
        <v>6</v>
      </c>
      <c r="M1177" s="37" t="s">
        <v>1</v>
      </c>
    </row>
    <row r="1178" spans="2:13" x14ac:dyDescent="0.25">
      <c r="B1178" s="48">
        <v>1175</v>
      </c>
      <c r="C1178" s="63">
        <v>504730674</v>
      </c>
      <c r="D1178" s="43" t="str">
        <f t="shared" si="90"/>
        <v>5-0473-0674</v>
      </c>
      <c r="E1178" s="63" t="s">
        <v>1037</v>
      </c>
      <c r="F1178" s="43" t="str">
        <f t="shared" si="91"/>
        <v>PAULA VANESSA</v>
      </c>
      <c r="G1178" s="43" t="str">
        <f t="shared" si="92"/>
        <v>PAULA</v>
      </c>
      <c r="H1178" s="43" t="str">
        <f t="shared" si="93"/>
        <v>SANCHEZ GONZALEZ</v>
      </c>
      <c r="I1178" s="43" t="str">
        <f t="shared" si="94"/>
        <v>PAULA SANCHEZ GONZALEZ</v>
      </c>
      <c r="J1178" s="37" t="s">
        <v>675</v>
      </c>
      <c r="K1178" s="37">
        <v>12</v>
      </c>
      <c r="L1178" s="37">
        <v>6</v>
      </c>
      <c r="M1178" s="37" t="s">
        <v>1</v>
      </c>
    </row>
    <row r="1179" spans="2:13" x14ac:dyDescent="0.25">
      <c r="B1179" s="46">
        <v>1176</v>
      </c>
      <c r="C1179" s="63">
        <v>208960024</v>
      </c>
      <c r="D1179" s="43" t="str">
        <f t="shared" si="90"/>
        <v>2-0896-0024</v>
      </c>
      <c r="E1179" s="63" t="s">
        <v>1038</v>
      </c>
      <c r="F1179" s="43" t="str">
        <f t="shared" si="91"/>
        <v xml:space="preserve">ADONAI JOSUE </v>
      </c>
      <c r="G1179" s="43" t="str">
        <f t="shared" si="92"/>
        <v>ADONAI</v>
      </c>
      <c r="H1179" s="43" t="str">
        <f t="shared" si="93"/>
        <v>SANCHEZ LOPEZ</v>
      </c>
      <c r="I1179" s="43" t="str">
        <f t="shared" si="94"/>
        <v>ADONAI SANCHEZ LOPEZ</v>
      </c>
      <c r="J1179" s="37" t="s">
        <v>675</v>
      </c>
      <c r="K1179" s="37">
        <v>12</v>
      </c>
      <c r="L1179" s="37">
        <v>6</v>
      </c>
      <c r="M1179" s="37" t="s">
        <v>1</v>
      </c>
    </row>
    <row r="1180" spans="2:13" x14ac:dyDescent="0.25">
      <c r="B1180" s="48">
        <v>1177</v>
      </c>
      <c r="C1180" s="63">
        <v>208840466</v>
      </c>
      <c r="D1180" s="43" t="str">
        <f t="shared" si="90"/>
        <v>2-0884-0466</v>
      </c>
      <c r="E1180" s="63" t="s">
        <v>1039</v>
      </c>
      <c r="F1180" s="43" t="str">
        <f t="shared" si="91"/>
        <v>JORDAN JOSE</v>
      </c>
      <c r="G1180" s="43" t="str">
        <f t="shared" si="92"/>
        <v>JORDAN</v>
      </c>
      <c r="H1180" s="43" t="str">
        <f t="shared" si="93"/>
        <v>SEGURA CARRILLO</v>
      </c>
      <c r="I1180" s="43" t="str">
        <f t="shared" si="94"/>
        <v>JORDAN SEGURA CARRILLO</v>
      </c>
      <c r="J1180" s="37" t="s">
        <v>675</v>
      </c>
      <c r="K1180" s="37">
        <v>12</v>
      </c>
      <c r="L1180" s="37">
        <v>6</v>
      </c>
      <c r="M1180" s="37" t="s">
        <v>1</v>
      </c>
    </row>
    <row r="1181" spans="2:13" x14ac:dyDescent="0.25">
      <c r="B1181" s="48">
        <v>1178</v>
      </c>
      <c r="C1181" s="63">
        <v>208860688</v>
      </c>
      <c r="D1181" s="43" t="str">
        <f t="shared" si="90"/>
        <v>2-0886-0688</v>
      </c>
      <c r="E1181" s="63" t="s">
        <v>1040</v>
      </c>
      <c r="F1181" s="43" t="str">
        <f t="shared" si="91"/>
        <v xml:space="preserve">NANCY JIMENA </v>
      </c>
      <c r="G1181" s="43" t="str">
        <f t="shared" si="92"/>
        <v>NANCY</v>
      </c>
      <c r="H1181" s="43" t="str">
        <f t="shared" si="93"/>
        <v>VARGAS ARAYA</v>
      </c>
      <c r="I1181" s="43" t="str">
        <f t="shared" si="94"/>
        <v>NANCY VARGAS ARAYA</v>
      </c>
      <c r="J1181" s="37" t="s">
        <v>675</v>
      </c>
      <c r="K1181" s="37">
        <v>12</v>
      </c>
      <c r="L1181" s="37">
        <v>6</v>
      </c>
      <c r="M1181" s="37" t="s">
        <v>1</v>
      </c>
    </row>
    <row r="1182" spans="2:13" x14ac:dyDescent="0.25">
      <c r="B1182" s="46">
        <v>1179</v>
      </c>
      <c r="C1182" s="63">
        <v>402740631</v>
      </c>
      <c r="D1182" s="43" t="str">
        <f t="shared" si="90"/>
        <v>4-0274-0631</v>
      </c>
      <c r="E1182" s="63" t="s">
        <v>1041</v>
      </c>
      <c r="F1182" s="43" t="str">
        <f t="shared" si="91"/>
        <v>DYLAN GUSTAVO</v>
      </c>
      <c r="G1182" s="43" t="str">
        <f t="shared" si="92"/>
        <v>DYLAN</v>
      </c>
      <c r="H1182" s="43" t="str">
        <f t="shared" si="93"/>
        <v>VARGAS GONZALEZ</v>
      </c>
      <c r="I1182" s="43" t="str">
        <f t="shared" si="94"/>
        <v>DYLAN VARGAS GONZALEZ</v>
      </c>
      <c r="J1182" s="37" t="s">
        <v>675</v>
      </c>
      <c r="K1182" s="37">
        <v>12</v>
      </c>
      <c r="L1182" s="37">
        <v>6</v>
      </c>
      <c r="M1182" s="37" t="s">
        <v>1</v>
      </c>
    </row>
    <row r="1183" spans="2:13" x14ac:dyDescent="0.25">
      <c r="B1183" s="48">
        <v>1180</v>
      </c>
      <c r="C1183" s="53">
        <v>120030443</v>
      </c>
      <c r="D1183" s="43" t="str">
        <f t="shared" si="90"/>
        <v>1-2003-0443</v>
      </c>
      <c r="E1183" s="53" t="s">
        <v>1042</v>
      </c>
      <c r="F1183" s="43" t="str">
        <f t="shared" si="91"/>
        <v xml:space="preserve">JERICK GERARDO </v>
      </c>
      <c r="G1183" s="43" t="str">
        <f t="shared" si="92"/>
        <v>JERICK</v>
      </c>
      <c r="H1183" s="43" t="str">
        <f t="shared" si="93"/>
        <v>ALVAREZ GONZALEZ</v>
      </c>
      <c r="I1183" s="43" t="str">
        <f t="shared" si="94"/>
        <v>JERICK ALVAREZ GONZALEZ</v>
      </c>
      <c r="J1183" s="37" t="s">
        <v>2348</v>
      </c>
      <c r="K1183" s="37">
        <v>12</v>
      </c>
      <c r="L1183" s="37">
        <v>6</v>
      </c>
      <c r="M1183" s="37" t="s">
        <v>0</v>
      </c>
    </row>
    <row r="1184" spans="2:13" x14ac:dyDescent="0.25">
      <c r="B1184" s="48">
        <v>1181</v>
      </c>
      <c r="C1184" s="53">
        <v>402740758</v>
      </c>
      <c r="D1184" s="43" t="str">
        <f t="shared" si="90"/>
        <v>4-0274-0758</v>
      </c>
      <c r="E1184" s="53" t="s">
        <v>1044</v>
      </c>
      <c r="F1184" s="43" t="str">
        <f t="shared" si="91"/>
        <v xml:space="preserve">ANTHONY CALEB </v>
      </c>
      <c r="G1184" s="43" t="str">
        <f t="shared" si="92"/>
        <v>ANTHONY</v>
      </c>
      <c r="H1184" s="43" t="str">
        <f t="shared" si="93"/>
        <v>ARIAS ALFARO</v>
      </c>
      <c r="I1184" s="43" t="str">
        <f t="shared" si="94"/>
        <v>ANTHONY ARIAS ALFARO</v>
      </c>
      <c r="J1184" s="37" t="s">
        <v>2348</v>
      </c>
      <c r="K1184" s="37">
        <v>12</v>
      </c>
      <c r="L1184" s="37">
        <v>6</v>
      </c>
      <c r="M1184" s="37" t="s">
        <v>0</v>
      </c>
    </row>
    <row r="1185" spans="2:13" x14ac:dyDescent="0.25">
      <c r="B1185" s="46">
        <v>1182</v>
      </c>
      <c r="C1185" s="53">
        <v>402750085</v>
      </c>
      <c r="D1185" s="43" t="str">
        <f t="shared" si="90"/>
        <v>4-0275-0085</v>
      </c>
      <c r="E1185" s="53" t="s">
        <v>1045</v>
      </c>
      <c r="F1185" s="43" t="str">
        <f t="shared" si="91"/>
        <v>SHANOON PAOLA</v>
      </c>
      <c r="G1185" s="43" t="str">
        <f t="shared" si="92"/>
        <v>SHANOON</v>
      </c>
      <c r="H1185" s="43" t="str">
        <f t="shared" si="93"/>
        <v>BARRANTES CALVO</v>
      </c>
      <c r="I1185" s="43" t="str">
        <f t="shared" si="94"/>
        <v>SHANOON BARRANTES CALVO</v>
      </c>
      <c r="J1185" s="37" t="s">
        <v>2348</v>
      </c>
      <c r="K1185" s="37">
        <v>12</v>
      </c>
      <c r="L1185" s="37">
        <v>6</v>
      </c>
      <c r="M1185" s="37" t="s">
        <v>0</v>
      </c>
    </row>
    <row r="1186" spans="2:13" x14ac:dyDescent="0.25">
      <c r="B1186" s="48">
        <v>1183</v>
      </c>
      <c r="C1186" s="53">
        <v>208850100</v>
      </c>
      <c r="D1186" s="43" t="str">
        <f t="shared" si="90"/>
        <v>2-0885-0100</v>
      </c>
      <c r="E1186" s="53" t="s">
        <v>1046</v>
      </c>
      <c r="F1186" s="43" t="str">
        <f t="shared" si="91"/>
        <v>ALISON MARIA</v>
      </c>
      <c r="G1186" s="43" t="str">
        <f t="shared" si="92"/>
        <v>ALISON</v>
      </c>
      <c r="H1186" s="43" t="str">
        <f t="shared" si="93"/>
        <v>MENDEZ CASTRO</v>
      </c>
      <c r="I1186" s="43" t="str">
        <f t="shared" si="94"/>
        <v>ALISON MENDEZ CASTRO</v>
      </c>
      <c r="J1186" s="37" t="s">
        <v>2348</v>
      </c>
      <c r="K1186" s="37">
        <v>12</v>
      </c>
      <c r="L1186" s="37">
        <v>6</v>
      </c>
      <c r="M1186" s="37" t="s">
        <v>0</v>
      </c>
    </row>
    <row r="1187" spans="2:13" x14ac:dyDescent="0.25">
      <c r="B1187" s="48">
        <v>1184</v>
      </c>
      <c r="C1187" s="53">
        <v>703320110</v>
      </c>
      <c r="D1187" s="43" t="str">
        <f t="shared" si="90"/>
        <v>7-0332-0110</v>
      </c>
      <c r="E1187" s="53" t="s">
        <v>1047</v>
      </c>
      <c r="F1187" s="43" t="str">
        <f t="shared" si="91"/>
        <v xml:space="preserve">PAULA KARINA </v>
      </c>
      <c r="G1187" s="43" t="str">
        <f t="shared" si="92"/>
        <v>PAULA</v>
      </c>
      <c r="H1187" s="43" t="str">
        <f t="shared" si="93"/>
        <v>MORA MACIAS</v>
      </c>
      <c r="I1187" s="43" t="str">
        <f t="shared" si="94"/>
        <v>PAULA MORA MACIAS</v>
      </c>
      <c r="J1187" s="37" t="s">
        <v>2348</v>
      </c>
      <c r="K1187" s="37">
        <v>12</v>
      </c>
      <c r="L1187" s="37">
        <v>6</v>
      </c>
      <c r="M1187" s="37" t="s">
        <v>0</v>
      </c>
    </row>
    <row r="1188" spans="2:13" x14ac:dyDescent="0.25">
      <c r="B1188" s="46">
        <v>1185</v>
      </c>
      <c r="C1188" s="53">
        <v>120030808</v>
      </c>
      <c r="D1188" s="43" t="str">
        <f t="shared" si="90"/>
        <v>1-2003-0808</v>
      </c>
      <c r="E1188" s="53" t="s">
        <v>1048</v>
      </c>
      <c r="F1188" s="43" t="str">
        <f t="shared" si="91"/>
        <v xml:space="preserve">HILARY AURORA </v>
      </c>
      <c r="G1188" s="43" t="str">
        <f t="shared" si="92"/>
        <v>HILARY</v>
      </c>
      <c r="H1188" s="43" t="str">
        <f t="shared" si="93"/>
        <v>PALACIOS ROJAS</v>
      </c>
      <c r="I1188" s="43" t="str">
        <f t="shared" si="94"/>
        <v>HILARY PALACIOS ROJAS</v>
      </c>
      <c r="J1188" s="37" t="s">
        <v>2348</v>
      </c>
      <c r="K1188" s="37">
        <v>12</v>
      </c>
      <c r="L1188" s="37">
        <v>6</v>
      </c>
      <c r="M1188" s="37" t="s">
        <v>0</v>
      </c>
    </row>
    <row r="1189" spans="2:13" x14ac:dyDescent="0.25">
      <c r="B1189" s="48">
        <v>1186</v>
      </c>
      <c r="C1189" s="53">
        <v>605030771</v>
      </c>
      <c r="D1189" s="43" t="str">
        <f t="shared" si="90"/>
        <v>6-0503-0771</v>
      </c>
      <c r="E1189" s="53" t="s">
        <v>1049</v>
      </c>
      <c r="F1189" s="43" t="str">
        <f t="shared" si="91"/>
        <v xml:space="preserve">VIELKA SAMARI </v>
      </c>
      <c r="G1189" s="43" t="str">
        <f t="shared" si="92"/>
        <v>VIELKA</v>
      </c>
      <c r="H1189" s="43" t="str">
        <f t="shared" si="93"/>
        <v>PATTERSON PORRAS</v>
      </c>
      <c r="I1189" s="43" t="str">
        <f t="shared" si="94"/>
        <v>VIELKA PATTERSON PORRAS</v>
      </c>
      <c r="J1189" s="37" t="s">
        <v>2348</v>
      </c>
      <c r="K1189" s="37">
        <v>12</v>
      </c>
      <c r="L1189" s="37">
        <v>6</v>
      </c>
      <c r="M1189" s="37" t="s">
        <v>0</v>
      </c>
    </row>
    <row r="1190" spans="2:13" x14ac:dyDescent="0.25">
      <c r="B1190" s="48">
        <v>1187</v>
      </c>
      <c r="C1190" s="53">
        <v>305750281</v>
      </c>
      <c r="D1190" s="43" t="str">
        <f t="shared" si="90"/>
        <v>3-0575-0281</v>
      </c>
      <c r="E1190" s="53" t="s">
        <v>1050</v>
      </c>
      <c r="F1190" s="43" t="str">
        <f t="shared" si="91"/>
        <v xml:space="preserve">SANDRA PAOLA </v>
      </c>
      <c r="G1190" s="43" t="str">
        <f t="shared" si="92"/>
        <v>SANDRA</v>
      </c>
      <c r="H1190" s="43" t="str">
        <f t="shared" si="93"/>
        <v>PEREZ CRUZ</v>
      </c>
      <c r="I1190" s="43" t="str">
        <f t="shared" si="94"/>
        <v>SANDRA PEREZ CRUZ</v>
      </c>
      <c r="J1190" s="37" t="s">
        <v>2348</v>
      </c>
      <c r="K1190" s="37">
        <v>12</v>
      </c>
      <c r="L1190" s="37">
        <v>6</v>
      </c>
      <c r="M1190" s="37" t="s">
        <v>0</v>
      </c>
    </row>
    <row r="1191" spans="2:13" x14ac:dyDescent="0.25">
      <c r="B1191" s="46">
        <v>1188</v>
      </c>
      <c r="C1191" s="53">
        <v>402760672</v>
      </c>
      <c r="D1191" s="43" t="str">
        <f t="shared" si="90"/>
        <v>4-0276-0672</v>
      </c>
      <c r="E1191" s="53" t="s">
        <v>1051</v>
      </c>
      <c r="F1191" s="43" t="str">
        <f t="shared" si="91"/>
        <v>BRITTANY NAOMI</v>
      </c>
      <c r="G1191" s="43" t="str">
        <f t="shared" si="92"/>
        <v>BRITTANY</v>
      </c>
      <c r="H1191" s="43" t="str">
        <f t="shared" si="93"/>
        <v>ROCHA MONTERO</v>
      </c>
      <c r="I1191" s="43" t="str">
        <f t="shared" si="94"/>
        <v>BRITTANY ROCHA MONTERO</v>
      </c>
      <c r="J1191" s="37" t="s">
        <v>2348</v>
      </c>
      <c r="K1191" s="37">
        <v>12</v>
      </c>
      <c r="L1191" s="37">
        <v>6</v>
      </c>
      <c r="M1191" s="37" t="s">
        <v>0</v>
      </c>
    </row>
    <row r="1192" spans="2:13" x14ac:dyDescent="0.25">
      <c r="B1192" s="48">
        <v>1189</v>
      </c>
      <c r="C1192" s="53">
        <v>208940194</v>
      </c>
      <c r="D1192" s="43" t="str">
        <f t="shared" si="90"/>
        <v>2-0894-0194</v>
      </c>
      <c r="E1192" s="53" t="s">
        <v>1052</v>
      </c>
      <c r="F1192" s="43" t="str">
        <f t="shared" si="91"/>
        <v xml:space="preserve">JOSE DANIEL </v>
      </c>
      <c r="G1192" s="43" t="str">
        <f t="shared" si="92"/>
        <v>JOSE</v>
      </c>
      <c r="H1192" s="43" t="str">
        <f t="shared" si="93"/>
        <v>ROJAS ARAYA</v>
      </c>
      <c r="I1192" s="43" t="str">
        <f t="shared" si="94"/>
        <v>JOSE ROJAS ARAYA</v>
      </c>
      <c r="J1192" s="37" t="s">
        <v>2348</v>
      </c>
      <c r="K1192" s="37">
        <v>12</v>
      </c>
      <c r="L1192" s="37">
        <v>6</v>
      </c>
      <c r="M1192" s="37" t="s">
        <v>0</v>
      </c>
    </row>
    <row r="1193" spans="2:13" x14ac:dyDescent="0.25">
      <c r="B1193" s="48">
        <v>1190</v>
      </c>
      <c r="C1193" s="53">
        <v>208890940</v>
      </c>
      <c r="D1193" s="43" t="str">
        <f t="shared" si="90"/>
        <v>2-0889-0940</v>
      </c>
      <c r="E1193" s="53" t="s">
        <v>1053</v>
      </c>
      <c r="F1193" s="43" t="str">
        <f t="shared" si="91"/>
        <v xml:space="preserve">GEOVANNY ALBERTO </v>
      </c>
      <c r="G1193" s="43" t="str">
        <f t="shared" si="92"/>
        <v>GEOVANNY</v>
      </c>
      <c r="H1193" s="43" t="str">
        <f t="shared" si="93"/>
        <v>SALAZAR ARIAS</v>
      </c>
      <c r="I1193" s="43" t="str">
        <f t="shared" si="94"/>
        <v>GEOVANNY SALAZAR ARIAS</v>
      </c>
      <c r="J1193" s="37" t="s">
        <v>2348</v>
      </c>
      <c r="K1193" s="37">
        <v>12</v>
      </c>
      <c r="L1193" s="37">
        <v>6</v>
      </c>
      <c r="M1193" s="37" t="s">
        <v>0</v>
      </c>
    </row>
    <row r="1194" spans="2:13" x14ac:dyDescent="0.25">
      <c r="B1194" s="46">
        <v>1191</v>
      </c>
      <c r="C1194" s="53">
        <v>119960039</v>
      </c>
      <c r="D1194" s="43" t="str">
        <f t="shared" si="90"/>
        <v>1-1996-0039</v>
      </c>
      <c r="E1194" s="53" t="s">
        <v>1054</v>
      </c>
      <c r="F1194" s="43" t="str">
        <f t="shared" si="91"/>
        <v xml:space="preserve">DURMAN JOSUE </v>
      </c>
      <c r="G1194" s="43" t="str">
        <f t="shared" si="92"/>
        <v>DURMAN</v>
      </c>
      <c r="H1194" s="43" t="str">
        <f t="shared" si="93"/>
        <v>SEQUEIRA QUIROS</v>
      </c>
      <c r="I1194" s="43" t="str">
        <f t="shared" si="94"/>
        <v>DURMAN SEQUEIRA QUIROS</v>
      </c>
      <c r="J1194" s="37" t="s">
        <v>2348</v>
      </c>
      <c r="K1194" s="37">
        <v>12</v>
      </c>
      <c r="L1194" s="37">
        <v>6</v>
      </c>
      <c r="M1194" s="37" t="s">
        <v>0</v>
      </c>
    </row>
    <row r="1195" spans="2:13" x14ac:dyDescent="0.25">
      <c r="B1195" s="48">
        <v>1192</v>
      </c>
      <c r="C1195" s="62">
        <v>208900891</v>
      </c>
      <c r="D1195" s="43" t="str">
        <f t="shared" si="90"/>
        <v>2-0890-0891</v>
      </c>
      <c r="E1195" s="62" t="s">
        <v>1055</v>
      </c>
      <c r="F1195" s="43" t="str">
        <f t="shared" si="91"/>
        <v xml:space="preserve">AARON DANIEL </v>
      </c>
      <c r="G1195" s="43" t="str">
        <f t="shared" si="92"/>
        <v>AARON</v>
      </c>
      <c r="H1195" s="43" t="str">
        <f t="shared" si="93"/>
        <v>VELASQUEZ PEREZ</v>
      </c>
      <c r="I1195" s="43" t="str">
        <f t="shared" si="94"/>
        <v>AARON VELASQUEZ PEREZ</v>
      </c>
      <c r="J1195" s="37" t="s">
        <v>2348</v>
      </c>
      <c r="K1195" s="37">
        <v>12</v>
      </c>
      <c r="L1195" s="37">
        <v>6</v>
      </c>
      <c r="M1195" s="37" t="s">
        <v>0</v>
      </c>
    </row>
    <row r="1196" spans="2:13" x14ac:dyDescent="0.25">
      <c r="B1196" s="48">
        <v>1193</v>
      </c>
      <c r="C1196" s="53">
        <v>208920989</v>
      </c>
      <c r="D1196" s="43" t="str">
        <f t="shared" si="90"/>
        <v>2-0892-0989</v>
      </c>
      <c r="E1196" s="53" t="s">
        <v>1056</v>
      </c>
      <c r="F1196" s="43" t="str">
        <f t="shared" si="91"/>
        <v>CAMILA</v>
      </c>
      <c r="G1196" s="43" t="str">
        <f t="shared" si="92"/>
        <v>CAMILA</v>
      </c>
      <c r="H1196" s="43" t="str">
        <f t="shared" si="93"/>
        <v>VILLALOBOS HERRERA</v>
      </c>
      <c r="I1196" s="43" t="str">
        <f t="shared" si="94"/>
        <v>CAMILA VILLALOBOS HERRERA</v>
      </c>
      <c r="J1196" s="37" t="s">
        <v>2348</v>
      </c>
      <c r="K1196" s="37">
        <v>12</v>
      </c>
      <c r="L1196" s="37">
        <v>6</v>
      </c>
      <c r="M1196" s="37" t="s">
        <v>0</v>
      </c>
    </row>
    <row r="1197" spans="2:13" x14ac:dyDescent="0.25">
      <c r="B1197" s="46">
        <v>1194</v>
      </c>
      <c r="C1197" s="53">
        <v>208510608</v>
      </c>
      <c r="D1197" s="43" t="str">
        <f t="shared" si="90"/>
        <v>2-0851-0608</v>
      </c>
      <c r="E1197" s="53" t="s">
        <v>1057</v>
      </c>
      <c r="F1197" s="43" t="str">
        <f t="shared" si="91"/>
        <v>MELANY</v>
      </c>
      <c r="G1197" s="43" t="str">
        <f t="shared" si="92"/>
        <v>MELANY</v>
      </c>
      <c r="H1197" s="43" t="str">
        <f t="shared" si="93"/>
        <v>ZUÑIGA ARCE</v>
      </c>
      <c r="I1197" s="43" t="str">
        <f t="shared" si="94"/>
        <v>MELANY ZUÑIGA ARCE</v>
      </c>
      <c r="J1197" s="37" t="s">
        <v>2348</v>
      </c>
      <c r="K1197" s="37">
        <v>12</v>
      </c>
      <c r="L1197" s="37">
        <v>6</v>
      </c>
      <c r="M1197" s="37" t="s">
        <v>0</v>
      </c>
    </row>
  </sheetData>
  <protectedRanges>
    <protectedRange sqref="E516 C516" name="Rango1"/>
    <protectedRange sqref="E578 E580 C578 C580" name="Rango1_2"/>
    <protectedRange sqref="E659 E663 E666:E670 E654:E657" name="Rango1_1"/>
    <protectedRange sqref="C659 D663 C666:C670 D657 C654:C656" name="Rango1_2_1"/>
    <protectedRange sqref="E689" name="Rango1_12_1"/>
    <protectedRange sqref="E691" name="Rango1_14_1"/>
    <protectedRange sqref="C689" name="Rango1_12_2"/>
    <protectedRange sqref="C691" name="Rango1_14_2"/>
    <protectedRange sqref="E722:E725 E727:E734 E736 E738:E739 C736 C738:C739 C722:C725 C727:C734" name="Rango1_3"/>
    <protectedRange sqref="E795 E797:E801 C795 C797:C801" name="Rango1_2_2"/>
    <protectedRange sqref="E794 C794" name="Rango1_1_1_1_1"/>
    <protectedRange sqref="E802:E817 C802:C817" name="Rango1_4"/>
    <protectedRange sqref="E820 E822:E833 C820 C822:C833" name="Rango1_2_3"/>
    <protectedRange sqref="E819 C819" name="Rango1_1_1_1_1_1"/>
    <protectedRange sqref="E843 E845:E849 E837:E841" name="Rango1_5"/>
    <protectedRange sqref="C843 C845:C849 C837:C841" name="Rango1_2_4"/>
    <protectedRange sqref="E861 E863:E864 E854:E858" name="Rango1_6"/>
    <protectedRange sqref="C861 C863:C864 C854:C858" name="Rango1_2_5"/>
    <protectedRange sqref="E902 E905 C902 C905" name="Rango3_6"/>
    <protectedRange sqref="E888:E900 C888:C900" name="Rango1_1_1_1"/>
    <protectedRange sqref="E907:E910 E912:E914 E916 C916 C907:C910 C912:C914" name="Rango1_2_1_1"/>
    <protectedRange sqref="E919:E935 C919:C935" name="Rango1_1_3"/>
    <protectedRange sqref="E955 C955" name="Rango1_2_6"/>
    <protectedRange sqref="E1020 C1020" name="Rango1_1_3_1"/>
    <protectedRange sqref="E1028:E1033 E1021:E1025" name="Rango1_4_1"/>
    <protectedRange sqref="C1028:C1033 C1021:C1025" name="Rango1_2_1_2"/>
    <protectedRange sqref="E1043:E1048 E1036:E1040" name="Rango1_4_2"/>
    <protectedRange sqref="C1043:C1048 C1036:C1040" name="Rango1_2_1_3"/>
    <protectedRange sqref="E1063" name="Rango1_4_3"/>
    <protectedRange sqref="C1063" name="Rango1_2_1_4"/>
    <protectedRange sqref="E1077:E1086 C1077:C1086" name="Rango1_1_1"/>
    <protectedRange sqref="E1089:E1091 C1089:C1091" name="Rango3_6_2"/>
    <protectedRange sqref="E1107 C1107" name="Rango1_1_2_1_1"/>
    <protectedRange sqref="C1108" name="Rango3_3"/>
    <protectedRange sqref="E1108" name="Rango3_3_7_2"/>
    <protectedRange sqref="E1112" name="Rango3_3_12_1_1"/>
    <protectedRange sqref="E1109" name="Rango3_3_10_1_2_1"/>
    <protectedRange sqref="C1109" name="Rango3_3_10_1_4_1"/>
    <protectedRange sqref="E1164:E1176 C1164:C1176" name="Rango1_7"/>
    <protectedRange sqref="E1183:E1185 E1187:E1195 C1183:C1185 C1187:C1196" name="Rango1_2_1_5"/>
    <protectedRange sqref="E1197 C1197" name="Rango1_2_2_1"/>
  </protectedRanges>
  <autoFilter ref="B3:N3" xr:uid="{9DC9B7B4-4E20-4DC4-A571-501014A55354}"/>
  <phoneticPr fontId="4" type="noConversion"/>
  <conditionalFormatting sqref="C4:C14 C16:C19 D15">
    <cfRule type="expression" dxfId="74" priority="56">
      <formula>$Q4=1</formula>
    </cfRule>
  </conditionalFormatting>
  <conditionalFormatting sqref="C22:C37">
    <cfRule type="expression" dxfId="73" priority="55">
      <formula>$Q22=1</formula>
    </cfRule>
  </conditionalFormatting>
  <conditionalFormatting sqref="C141">
    <cfRule type="expression" dxfId="72" priority="54">
      <formula>$Q141=1</formula>
    </cfRule>
  </conditionalFormatting>
  <conditionalFormatting sqref="C739:C740">
    <cfRule type="expression" dxfId="71" priority="53">
      <formula>$Q739=1</formula>
    </cfRule>
  </conditionalFormatting>
  <conditionalFormatting sqref="E836">
    <cfRule type="expression" dxfId="70" priority="52">
      <formula>$Q836=1</formula>
    </cfRule>
  </conditionalFormatting>
  <conditionalFormatting sqref="E904:E905 C864">
    <cfRule type="expression" dxfId="69" priority="49">
      <formula>$Q865=1</formula>
    </cfRule>
  </conditionalFormatting>
  <conditionalFormatting sqref="C864:C868">
    <cfRule type="expression" dxfId="68" priority="51">
      <formula>$Q864=1</formula>
    </cfRule>
  </conditionalFormatting>
  <conditionalFormatting sqref="C866:C868">
    <cfRule type="expression" dxfId="67" priority="50">
      <formula>$Q867=1</formula>
    </cfRule>
  </conditionalFormatting>
  <conditionalFormatting sqref="C905">
    <cfRule type="expression" dxfId="66" priority="47">
      <formula>$Q905=1</formula>
    </cfRule>
  </conditionalFormatting>
  <conditionalFormatting sqref="C904:C905">
    <cfRule type="expression" dxfId="65" priority="46">
      <formula>$Q905=1</formula>
    </cfRule>
  </conditionalFormatting>
  <conditionalFormatting sqref="E903:E905">
    <cfRule type="expression" dxfId="64" priority="48">
      <formula>$Q903=1</formula>
    </cfRule>
  </conditionalFormatting>
  <conditionalFormatting sqref="C1016:C1020">
    <cfRule type="expression" dxfId="63" priority="43">
      <formula>$Q1017=1</formula>
    </cfRule>
  </conditionalFormatting>
  <conditionalFormatting sqref="C1017:C1020 C1071:C1076 C1099:C1104 E1068:E1070 E1096:E1098">
    <cfRule type="expression" dxfId="62" priority="45">
      <formula>$Q1020=1</formula>
    </cfRule>
  </conditionalFormatting>
  <conditionalFormatting sqref="C1018:C1020">
    <cfRule type="expression" dxfId="61" priority="44">
      <formula>$Q1018=1</formula>
    </cfRule>
  </conditionalFormatting>
  <conditionalFormatting sqref="C1036:C1048">
    <cfRule type="expression" dxfId="60" priority="42">
      <formula>$Q1036=1</formula>
    </cfRule>
  </conditionalFormatting>
  <conditionalFormatting sqref="C1064:C1070">
    <cfRule type="expression" dxfId="59" priority="37">
      <formula>$Q1065=1</formula>
    </cfRule>
  </conditionalFormatting>
  <conditionalFormatting sqref="C1069:C1071">
    <cfRule type="expression" dxfId="58" priority="33">
      <formula>$Q1069=1</formula>
    </cfRule>
  </conditionalFormatting>
  <conditionalFormatting sqref="C1073:C1076">
    <cfRule type="expression" dxfId="57" priority="35">
      <formula>$Q1074=1</formula>
    </cfRule>
  </conditionalFormatting>
  <conditionalFormatting sqref="C1076">
    <cfRule type="expression" dxfId="56" priority="34">
      <formula>$Q1076=1</formula>
    </cfRule>
  </conditionalFormatting>
  <conditionalFormatting sqref="C1068:C1070">
    <cfRule type="expression" dxfId="55" priority="36">
      <formula>$Q1071=1</formula>
    </cfRule>
  </conditionalFormatting>
  <conditionalFormatting sqref="E1064:E1065">
    <cfRule type="expression" dxfId="54" priority="41">
      <formula>$Q1064=1</formula>
    </cfRule>
  </conditionalFormatting>
  <conditionalFormatting sqref="E1064:E1069">
    <cfRule type="expression" dxfId="53" priority="40">
      <formula>$Q1065=1</formula>
    </cfRule>
  </conditionalFormatting>
  <conditionalFormatting sqref="E1067:E1070">
    <cfRule type="expression" dxfId="52" priority="39">
      <formula>$Q1069=1</formula>
    </cfRule>
  </conditionalFormatting>
  <conditionalFormatting sqref="E1070:E1074">
    <cfRule type="expression" dxfId="51" priority="38">
      <formula>$Q1073=1</formula>
    </cfRule>
  </conditionalFormatting>
  <conditionalFormatting sqref="C1092:C1098">
    <cfRule type="expression" dxfId="50" priority="28">
      <formula>$Q1093=1</formula>
    </cfRule>
  </conditionalFormatting>
  <conditionalFormatting sqref="C1097:C1099">
    <cfRule type="expression" dxfId="49" priority="24">
      <formula>$Q1097=1</formula>
    </cfRule>
  </conditionalFormatting>
  <conditionalFormatting sqref="C1101:C1104">
    <cfRule type="expression" dxfId="48" priority="26">
      <formula>$Q1102=1</formula>
    </cfRule>
  </conditionalFormatting>
  <conditionalFormatting sqref="C1104:C1105">
    <cfRule type="expression" dxfId="47" priority="25">
      <formula>$Q1104=1</formula>
    </cfRule>
  </conditionalFormatting>
  <conditionalFormatting sqref="C1096:C1098">
    <cfRule type="expression" dxfId="46" priority="27">
      <formula>$Q1099=1</formula>
    </cfRule>
  </conditionalFormatting>
  <conditionalFormatting sqref="E1092:E1093">
    <cfRule type="expression" dxfId="45" priority="32">
      <formula>$Q1092=1</formula>
    </cfRule>
  </conditionalFormatting>
  <conditionalFormatting sqref="E1092:E1097">
    <cfRule type="expression" dxfId="44" priority="31">
      <formula>$Q1093=1</formula>
    </cfRule>
  </conditionalFormatting>
  <conditionalFormatting sqref="E1095:E1098">
    <cfRule type="expression" dxfId="43" priority="30">
      <formula>$Q1097=1</formula>
    </cfRule>
  </conditionalFormatting>
  <conditionalFormatting sqref="E1098:E1102">
    <cfRule type="expression" dxfId="42" priority="29">
      <formula>$Q1101=1</formula>
    </cfRule>
  </conditionalFormatting>
  <conditionalFormatting sqref="C1164:C1180">
    <cfRule type="expression" dxfId="41" priority="23">
      <formula>$Q1164=1</formula>
    </cfRule>
  </conditionalFormatting>
  <conditionalFormatting sqref="C1186:C1188">
    <cfRule type="expression" dxfId="40" priority="22">
      <formula>#REF!=1</formula>
    </cfRule>
  </conditionalFormatting>
  <conditionalFormatting sqref="B4:B1197">
    <cfRule type="expression" dxfId="39" priority="21">
      <formula>$Q4=1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D2F51-FFD4-48B3-9087-E006EB9C2862}">
  <sheetPr codeName="Hoja4"/>
  <dimension ref="B3:N1746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9" sqref="D9"/>
    </sheetView>
  </sheetViews>
  <sheetFormatPr baseColWidth="10" defaultRowHeight="15" x14ac:dyDescent="0.25"/>
  <cols>
    <col min="1" max="1" width="4.28515625" style="1" customWidth="1"/>
    <col min="2" max="2" width="15.28515625" style="3" bestFit="1" customWidth="1"/>
    <col min="3" max="3" width="16.140625" style="3" customWidth="1"/>
    <col min="4" max="4" width="15.5703125" style="3" bestFit="1" customWidth="1"/>
    <col min="5" max="5" width="34.140625" style="1" bestFit="1" customWidth="1"/>
    <col min="6" max="6" width="27.85546875" style="4" bestFit="1" customWidth="1"/>
    <col min="7" max="7" width="11.28515625" style="3" bestFit="1" customWidth="1"/>
    <col min="8" max="8" width="13.42578125" style="3" bestFit="1" customWidth="1"/>
    <col min="9" max="9" width="15.42578125" style="3" bestFit="1" customWidth="1"/>
    <col min="10" max="10" width="18" style="3" bestFit="1" customWidth="1"/>
    <col min="11" max="12" width="18" style="3" hidden="1" customWidth="1"/>
    <col min="13" max="13" width="32.140625" style="3" hidden="1" customWidth="1"/>
    <col min="14" max="14" width="11.85546875" style="1" hidden="1" customWidth="1"/>
    <col min="15" max="16384" width="11.42578125" style="1"/>
  </cols>
  <sheetData>
    <row r="3" spans="2:14" x14ac:dyDescent="0.25">
      <c r="B3" s="6" t="s">
        <v>13</v>
      </c>
      <c r="C3" s="6" t="s">
        <v>14</v>
      </c>
      <c r="D3" s="6" t="s">
        <v>15</v>
      </c>
      <c r="E3" s="2" t="s">
        <v>2</v>
      </c>
      <c r="F3" s="2" t="s">
        <v>9</v>
      </c>
      <c r="G3" s="6" t="s">
        <v>3</v>
      </c>
      <c r="H3" s="6" t="s">
        <v>3640</v>
      </c>
      <c r="I3" s="6" t="s">
        <v>6</v>
      </c>
      <c r="J3" s="6" t="s">
        <v>3641</v>
      </c>
      <c r="K3" s="6" t="s">
        <v>18</v>
      </c>
      <c r="L3" s="6" t="s">
        <v>2369</v>
      </c>
      <c r="M3" s="6" t="s">
        <v>2370</v>
      </c>
      <c r="N3" s="2" t="s">
        <v>3642</v>
      </c>
    </row>
    <row r="4" spans="2:14" x14ac:dyDescent="0.25">
      <c r="B4" s="24">
        <v>1</v>
      </c>
      <c r="C4" s="24">
        <v>209390450</v>
      </c>
      <c r="D4" s="24" t="s">
        <v>2372</v>
      </c>
      <c r="E4" s="25" t="s">
        <v>3657</v>
      </c>
      <c r="F4" s="29" t="s">
        <v>2243</v>
      </c>
      <c r="G4" s="26">
        <v>7</v>
      </c>
      <c r="H4" s="26">
        <v>1</v>
      </c>
      <c r="I4" s="24" t="s">
        <v>1</v>
      </c>
      <c r="J4" s="24" t="s">
        <v>3632</v>
      </c>
      <c r="K4" s="24">
        <f>IF(ISERROR(VLOOKUP(C4,Comedor!$B$5:$B$805,1,FALSE)),0,1)</f>
        <v>1</v>
      </c>
      <c r="L4" s="24">
        <f>IF(IFERROR(MATCH(C4,Casilleros!$C$5:$C$1305,0)+4,0) &gt; 0,1,0)</f>
        <v>0</v>
      </c>
      <c r="M4" s="24">
        <f>IF(IFERROR(MATCH(C4,Transporte!$C$5:$C$805,0)+4,0) &gt; 0,1,0)</f>
        <v>0</v>
      </c>
      <c r="N4" s="25">
        <v>1</v>
      </c>
    </row>
    <row r="5" spans="2:14" x14ac:dyDescent="0.25">
      <c r="B5" s="24">
        <v>2</v>
      </c>
      <c r="C5" s="24">
        <v>209640122</v>
      </c>
      <c r="D5" s="24" t="s">
        <v>2374</v>
      </c>
      <c r="E5" s="25" t="s">
        <v>2375</v>
      </c>
      <c r="F5" s="29" t="s">
        <v>2243</v>
      </c>
      <c r="G5" s="26">
        <v>7</v>
      </c>
      <c r="H5" s="26">
        <v>1</v>
      </c>
      <c r="I5" s="24" t="s">
        <v>1</v>
      </c>
      <c r="J5" s="24" t="s">
        <v>3632</v>
      </c>
      <c r="K5" s="24">
        <f>IF(ISERROR(VLOOKUP(C5,Comedor!$B$5:$B$805,1,FALSE)),0,1)</f>
        <v>1</v>
      </c>
      <c r="L5" s="24">
        <f>IF(IFERROR(MATCH(C5,Casilleros!$C$5:$C$1305,0)+4,0) &gt; 0,1,0)</f>
        <v>0</v>
      </c>
      <c r="M5" s="24">
        <f>IF(IFERROR(MATCH(C5,Transporte!$C$5:$C$805,0)+4,0) &gt; 0,1,0)</f>
        <v>0</v>
      </c>
      <c r="N5" s="25">
        <v>1</v>
      </c>
    </row>
    <row r="6" spans="2:14" x14ac:dyDescent="0.25">
      <c r="B6" s="24">
        <v>3</v>
      </c>
      <c r="C6" s="24">
        <v>402900498</v>
      </c>
      <c r="D6" s="24" t="s">
        <v>2689</v>
      </c>
      <c r="E6" s="25" t="s">
        <v>2690</v>
      </c>
      <c r="F6" s="29" t="s">
        <v>2243</v>
      </c>
      <c r="G6" s="26">
        <v>8</v>
      </c>
      <c r="H6" s="26">
        <v>2</v>
      </c>
      <c r="I6" s="24" t="s">
        <v>1</v>
      </c>
      <c r="J6" s="24" t="s">
        <v>3632</v>
      </c>
      <c r="K6" s="24">
        <f>IF(ISERROR(VLOOKUP(C6,Comedor!$B$5:$B$805,1,FALSE)),0,1)</f>
        <v>0</v>
      </c>
      <c r="L6" s="24">
        <f>IF(IFERROR(MATCH(C6,Casilleros!$C$5:$C$1305,0)+4,0) &gt; 0,1,0)</f>
        <v>0</v>
      </c>
      <c r="M6" s="24">
        <f>IF(IFERROR(MATCH(C6,Transporte!$C$5:$C$805,0)+4,0) &gt; 0,1,0)</f>
        <v>0</v>
      </c>
      <c r="N6" s="25">
        <v>1</v>
      </c>
    </row>
    <row r="7" spans="2:14" x14ac:dyDescent="0.25">
      <c r="B7" s="24">
        <v>4</v>
      </c>
      <c r="C7" s="24">
        <v>402910855</v>
      </c>
      <c r="D7" s="24" t="s">
        <v>1268</v>
      </c>
      <c r="E7" s="25" t="s">
        <v>2691</v>
      </c>
      <c r="F7" s="29" t="s">
        <v>2243</v>
      </c>
      <c r="G7" s="26">
        <v>8</v>
      </c>
      <c r="H7" s="26">
        <v>2</v>
      </c>
      <c r="I7" s="24" t="s">
        <v>1</v>
      </c>
      <c r="J7" s="24" t="s">
        <v>3632</v>
      </c>
      <c r="K7" s="24">
        <f>IF(ISERROR(VLOOKUP(C7,Comedor!$B$5:$B$805,1,FALSE)),0,1)</f>
        <v>0</v>
      </c>
      <c r="L7" s="24">
        <f>IF(IFERROR(MATCH(C7,Casilleros!$C$5:$C$1305,0)+4,0) &gt; 0,1,0)</f>
        <v>0</v>
      </c>
      <c r="M7" s="24">
        <f>IF(IFERROR(MATCH(C7,Transporte!$C$5:$C$805,0)+4,0) &gt; 0,1,0)</f>
        <v>0</v>
      </c>
      <c r="N7" s="25">
        <v>1</v>
      </c>
    </row>
    <row r="8" spans="2:14" x14ac:dyDescent="0.25">
      <c r="B8" s="24">
        <v>5</v>
      </c>
      <c r="C8" s="24">
        <v>209290997</v>
      </c>
      <c r="D8" s="24" t="s">
        <v>3003</v>
      </c>
      <c r="E8" s="25" t="s">
        <v>3004</v>
      </c>
      <c r="F8" s="29" t="s">
        <v>2243</v>
      </c>
      <c r="G8" s="26">
        <v>9</v>
      </c>
      <c r="H8" s="26">
        <v>5</v>
      </c>
      <c r="I8" s="24" t="s">
        <v>0</v>
      </c>
      <c r="J8" s="24" t="s">
        <v>3632</v>
      </c>
      <c r="K8" s="24">
        <f>IF(ISERROR(VLOOKUP(C8,Comedor!$B$5:$B$805,1,FALSE)),0,1)</f>
        <v>0</v>
      </c>
      <c r="L8" s="24">
        <f>IF(IFERROR(MATCH(C8,Casilleros!$C$5:$C$1305,0)+4,0) &gt; 0,1,0)</f>
        <v>0</v>
      </c>
      <c r="M8" s="24">
        <f>IF(IFERROR(MATCH(C8,Transporte!$C$5:$C$805,0)+4,0) &gt; 0,1,0)</f>
        <v>0</v>
      </c>
      <c r="N8" s="25">
        <v>1</v>
      </c>
    </row>
    <row r="9" spans="2:14" x14ac:dyDescent="0.25">
      <c r="B9" s="24">
        <v>6</v>
      </c>
      <c r="C9" s="24">
        <v>209310643</v>
      </c>
      <c r="D9" s="24" t="s">
        <v>1569</v>
      </c>
      <c r="E9" s="25" t="s">
        <v>3005</v>
      </c>
      <c r="F9" s="29" t="s">
        <v>2243</v>
      </c>
      <c r="G9" s="26">
        <v>9</v>
      </c>
      <c r="H9" s="26">
        <v>5</v>
      </c>
      <c r="I9" s="24" t="s">
        <v>0</v>
      </c>
      <c r="J9" s="24" t="s">
        <v>3632</v>
      </c>
      <c r="K9" s="24">
        <f>IF(ISERROR(VLOOKUP(C9,Comedor!$B$5:$B$805,1,FALSE)),0,1)</f>
        <v>0</v>
      </c>
      <c r="L9" s="24">
        <f>IF(IFERROR(MATCH(C9,Casilleros!$C$5:$C$1305,0)+4,0) &gt; 0,1,0)</f>
        <v>0</v>
      </c>
      <c r="M9" s="24">
        <f>IF(IFERROR(MATCH(C9,Transporte!$C$5:$C$805,0)+4,0) &gt; 0,1,0)</f>
        <v>0</v>
      </c>
      <c r="N9" s="25">
        <v>1</v>
      </c>
    </row>
    <row r="10" spans="2:14" x14ac:dyDescent="0.25">
      <c r="B10" s="24">
        <v>7</v>
      </c>
      <c r="C10" s="24">
        <v>209190711</v>
      </c>
      <c r="D10" s="24" t="s">
        <v>1788</v>
      </c>
      <c r="E10" s="25" t="s">
        <v>3250</v>
      </c>
      <c r="F10" s="29" t="s">
        <v>3634</v>
      </c>
      <c r="G10" s="26">
        <v>10</v>
      </c>
      <c r="H10" s="26">
        <v>6</v>
      </c>
      <c r="I10" s="24" t="s">
        <v>0</v>
      </c>
      <c r="J10" s="24" t="s">
        <v>3632</v>
      </c>
      <c r="K10" s="24">
        <f>IF(ISERROR(VLOOKUP(C10,Comedor!$B$5:$B$805,1,FALSE)),0,1)</f>
        <v>0</v>
      </c>
      <c r="L10" s="24">
        <f>IF(IFERROR(MATCH(C10,Casilleros!$C$5:$C$1305,0)+4,0) &gt; 0,1,0)</f>
        <v>0</v>
      </c>
      <c r="M10" s="24">
        <f>IF(IFERROR(MATCH(C10,Transporte!$C$5:$C$805,0)+4,0) &gt; 0,1,0)</f>
        <v>0</v>
      </c>
      <c r="N10" s="25">
        <v>0</v>
      </c>
    </row>
    <row r="11" spans="2:14" x14ac:dyDescent="0.25">
      <c r="B11" s="24">
        <v>8</v>
      </c>
      <c r="C11" s="24">
        <v>208910223</v>
      </c>
      <c r="D11" s="24" t="s">
        <v>1789</v>
      </c>
      <c r="E11" s="25" t="s">
        <v>3251</v>
      </c>
      <c r="F11" s="29" t="s">
        <v>3634</v>
      </c>
      <c r="G11" s="26">
        <v>10</v>
      </c>
      <c r="H11" s="26">
        <v>6</v>
      </c>
      <c r="I11" s="24" t="s">
        <v>0</v>
      </c>
      <c r="J11" s="24" t="s">
        <v>3632</v>
      </c>
      <c r="K11" s="24">
        <f>IF(ISERROR(VLOOKUP(C11,Comedor!$B$5:$B$805,1,FALSE)),0,1)</f>
        <v>0</v>
      </c>
      <c r="L11" s="24">
        <f>IF(IFERROR(MATCH(C11,Casilleros!$C$5:$C$1305,0)+4,0) &gt; 0,1,0)</f>
        <v>0</v>
      </c>
      <c r="M11" s="24">
        <f>IF(IFERROR(MATCH(C11,Transporte!$C$5:$C$805,0)+4,0) &gt; 0,1,0)</f>
        <v>0</v>
      </c>
      <c r="N11" s="25">
        <v>1</v>
      </c>
    </row>
    <row r="12" spans="2:14" x14ac:dyDescent="0.25">
      <c r="B12" s="24">
        <v>9</v>
      </c>
      <c r="C12" s="24">
        <v>999991195</v>
      </c>
      <c r="D12" s="28" t="s">
        <v>3643</v>
      </c>
      <c r="E12" s="25" t="s">
        <v>3644</v>
      </c>
      <c r="F12" s="29" t="s">
        <v>2243</v>
      </c>
      <c r="G12" s="26">
        <v>9</v>
      </c>
      <c r="H12" s="26">
        <v>2</v>
      </c>
      <c r="I12" s="24" t="s">
        <v>0</v>
      </c>
      <c r="J12" s="24" t="s">
        <v>3632</v>
      </c>
      <c r="K12" s="24">
        <v>0</v>
      </c>
      <c r="L12" s="24">
        <v>0</v>
      </c>
      <c r="M12" s="24">
        <v>0</v>
      </c>
      <c r="N12" s="25">
        <v>0</v>
      </c>
    </row>
    <row r="13" spans="2:14" x14ac:dyDescent="0.25">
      <c r="B13" s="24">
        <v>10</v>
      </c>
      <c r="C13" s="24">
        <v>208880408</v>
      </c>
      <c r="D13" s="24" t="s">
        <v>3646</v>
      </c>
      <c r="E13" s="25" t="s">
        <v>3647</v>
      </c>
      <c r="F13" s="29" t="s">
        <v>3633</v>
      </c>
      <c r="G13" s="26">
        <v>10</v>
      </c>
      <c r="H13" s="26">
        <v>6</v>
      </c>
      <c r="I13" s="24" t="s">
        <v>0</v>
      </c>
      <c r="J13" s="24" t="s">
        <v>3632</v>
      </c>
      <c r="K13" s="24">
        <v>0</v>
      </c>
      <c r="L13" s="24">
        <v>0</v>
      </c>
      <c r="M13" s="24">
        <v>0</v>
      </c>
      <c r="N13" s="25">
        <v>1</v>
      </c>
    </row>
    <row r="14" spans="2:14" x14ac:dyDescent="0.25">
      <c r="B14" s="24">
        <v>11</v>
      </c>
      <c r="C14" s="24">
        <v>999991197</v>
      </c>
      <c r="D14" s="24" t="s">
        <v>2188</v>
      </c>
      <c r="E14" s="25" t="s">
        <v>2552</v>
      </c>
      <c r="F14" s="29" t="s">
        <v>2243</v>
      </c>
      <c r="G14" s="26">
        <v>7</v>
      </c>
      <c r="H14" s="26">
        <v>5</v>
      </c>
      <c r="I14" s="24" t="s">
        <v>1</v>
      </c>
      <c r="J14" s="24" t="s">
        <v>3632</v>
      </c>
      <c r="K14" s="24">
        <v>0</v>
      </c>
      <c r="L14" s="24">
        <v>0</v>
      </c>
      <c r="M14" s="24">
        <v>0</v>
      </c>
      <c r="N14" s="25">
        <v>1</v>
      </c>
    </row>
    <row r="15" spans="2:14" x14ac:dyDescent="0.25">
      <c r="B15" s="24">
        <v>12</v>
      </c>
      <c r="C15" s="24">
        <v>999991198</v>
      </c>
      <c r="D15" s="24" t="s">
        <v>3648</v>
      </c>
      <c r="E15" s="25" t="s">
        <v>3649</v>
      </c>
      <c r="F15" s="29" t="s">
        <v>3654</v>
      </c>
      <c r="G15" s="26">
        <v>1</v>
      </c>
      <c r="H15" s="26">
        <v>1</v>
      </c>
      <c r="I15" s="24" t="s">
        <v>1</v>
      </c>
      <c r="J15" s="24" t="s">
        <v>3655</v>
      </c>
      <c r="K15" s="24">
        <v>1</v>
      </c>
      <c r="L15" s="24">
        <v>0</v>
      </c>
      <c r="M15" s="24">
        <v>0</v>
      </c>
      <c r="N15" s="25">
        <v>1</v>
      </c>
    </row>
    <row r="16" spans="2:14" x14ac:dyDescent="0.25">
      <c r="B16" s="24">
        <v>13</v>
      </c>
      <c r="C16" s="24">
        <v>208980474</v>
      </c>
      <c r="D16" s="24" t="s">
        <v>3650</v>
      </c>
      <c r="E16" s="25" t="s">
        <v>3651</v>
      </c>
      <c r="F16" s="29" t="s">
        <v>3654</v>
      </c>
      <c r="G16" s="26">
        <v>1</v>
      </c>
      <c r="H16" s="26">
        <v>1</v>
      </c>
      <c r="I16" s="24" t="s">
        <v>1</v>
      </c>
      <c r="J16" s="24" t="s">
        <v>3655</v>
      </c>
      <c r="K16" s="24">
        <v>1</v>
      </c>
      <c r="L16" s="24">
        <v>0</v>
      </c>
      <c r="M16" s="24">
        <v>0</v>
      </c>
      <c r="N16" s="25">
        <v>1</v>
      </c>
    </row>
    <row r="17" spans="2:14" x14ac:dyDescent="0.25">
      <c r="B17" s="24">
        <v>14</v>
      </c>
      <c r="C17" s="24">
        <v>208900585</v>
      </c>
      <c r="D17" s="24" t="s">
        <v>3652</v>
      </c>
      <c r="E17" s="25" t="s">
        <v>3653</v>
      </c>
      <c r="F17" s="29" t="s">
        <v>3654</v>
      </c>
      <c r="G17" s="26">
        <v>1</v>
      </c>
      <c r="H17" s="26">
        <v>1</v>
      </c>
      <c r="I17" s="24" t="s">
        <v>1</v>
      </c>
      <c r="J17" s="24" t="s">
        <v>3655</v>
      </c>
      <c r="K17" s="24">
        <v>1</v>
      </c>
      <c r="L17" s="24">
        <v>0</v>
      </c>
      <c r="M17" s="24">
        <v>0</v>
      </c>
      <c r="N17" s="25">
        <v>1</v>
      </c>
    </row>
    <row r="18" spans="2:14" x14ac:dyDescent="0.25">
      <c r="B18" s="24"/>
      <c r="C18" s="24"/>
      <c r="D18" s="24"/>
      <c r="E18" s="25"/>
      <c r="F18" s="29"/>
      <c r="G18" s="26"/>
      <c r="H18" s="26"/>
      <c r="I18" s="24"/>
      <c r="J18" s="24"/>
      <c r="K18" s="24"/>
      <c r="L18" s="24"/>
      <c r="M18" s="24"/>
      <c r="N18" s="25"/>
    </row>
    <row r="19" spans="2:14" x14ac:dyDescent="0.25">
      <c r="B19" s="24"/>
      <c r="C19" s="24"/>
      <c r="D19" s="24"/>
      <c r="E19" s="25"/>
      <c r="F19" s="29"/>
      <c r="G19" s="26"/>
      <c r="H19" s="26"/>
      <c r="I19" s="24"/>
      <c r="J19" s="24"/>
      <c r="K19" s="24"/>
      <c r="L19" s="24"/>
      <c r="M19" s="24"/>
      <c r="N19" s="25"/>
    </row>
    <row r="20" spans="2:14" x14ac:dyDescent="0.25">
      <c r="B20" s="24"/>
      <c r="C20" s="24"/>
      <c r="D20" s="24"/>
      <c r="E20" s="25"/>
      <c r="F20" s="29"/>
      <c r="G20" s="26"/>
      <c r="H20" s="26"/>
      <c r="I20" s="24"/>
      <c r="J20" s="24"/>
      <c r="K20" s="24"/>
      <c r="L20" s="24"/>
      <c r="M20" s="24"/>
      <c r="N20" s="25"/>
    </row>
    <row r="21" spans="2:14" x14ac:dyDescent="0.25">
      <c r="B21" s="24"/>
      <c r="C21" s="24"/>
      <c r="D21" s="24"/>
      <c r="E21" s="25"/>
      <c r="F21" s="29"/>
      <c r="G21" s="26"/>
      <c r="H21" s="26"/>
      <c r="I21" s="24"/>
      <c r="J21" s="24"/>
      <c r="K21" s="24"/>
      <c r="L21" s="24"/>
      <c r="M21" s="24"/>
      <c r="N21" s="25"/>
    </row>
    <row r="22" spans="2:14" x14ac:dyDescent="0.25">
      <c r="B22" s="24"/>
      <c r="C22" s="24"/>
      <c r="D22" s="24"/>
      <c r="E22" s="25"/>
      <c r="F22" s="29"/>
      <c r="G22" s="26"/>
      <c r="H22" s="26"/>
      <c r="I22" s="24"/>
      <c r="J22" s="24"/>
      <c r="K22" s="24"/>
      <c r="L22" s="24"/>
      <c r="M22" s="24"/>
      <c r="N22" s="25"/>
    </row>
    <row r="23" spans="2:14" x14ac:dyDescent="0.25">
      <c r="B23" s="24"/>
      <c r="C23" s="24"/>
      <c r="D23" s="24"/>
      <c r="E23" s="25"/>
      <c r="F23" s="29"/>
      <c r="G23" s="26"/>
      <c r="H23" s="26"/>
      <c r="I23" s="24"/>
      <c r="J23" s="24"/>
      <c r="K23" s="24"/>
      <c r="L23" s="24"/>
      <c r="M23" s="24"/>
      <c r="N23" s="25"/>
    </row>
    <row r="24" spans="2:14" x14ac:dyDescent="0.25">
      <c r="B24" s="24"/>
      <c r="C24" s="24"/>
      <c r="D24" s="24"/>
      <c r="E24" s="25"/>
      <c r="F24" s="29"/>
      <c r="G24" s="26"/>
      <c r="H24" s="26"/>
      <c r="I24" s="24"/>
      <c r="J24" s="24"/>
      <c r="K24" s="24"/>
      <c r="L24" s="24"/>
      <c r="M24" s="24"/>
      <c r="N24" s="25"/>
    </row>
    <row r="25" spans="2:14" x14ac:dyDescent="0.25">
      <c r="B25" s="24"/>
      <c r="C25" s="24"/>
      <c r="D25" s="24"/>
      <c r="E25" s="25"/>
      <c r="F25" s="29"/>
      <c r="G25" s="26"/>
      <c r="H25" s="26"/>
      <c r="I25" s="24"/>
      <c r="J25" s="24"/>
      <c r="K25" s="24"/>
      <c r="L25" s="24"/>
      <c r="M25" s="24"/>
      <c r="N25" s="25"/>
    </row>
    <row r="26" spans="2:14" x14ac:dyDescent="0.25">
      <c r="B26" s="24"/>
      <c r="C26" s="24"/>
      <c r="D26" s="24"/>
      <c r="E26" s="25"/>
      <c r="F26" s="29"/>
      <c r="G26" s="26"/>
      <c r="H26" s="26"/>
      <c r="I26" s="24"/>
      <c r="J26" s="24"/>
      <c r="K26" s="24"/>
      <c r="L26" s="24"/>
      <c r="M26" s="24"/>
      <c r="N26" s="25"/>
    </row>
    <row r="27" spans="2:14" x14ac:dyDescent="0.25">
      <c r="B27" s="24"/>
      <c r="C27" s="24"/>
      <c r="D27" s="24"/>
      <c r="E27" s="25"/>
      <c r="F27" s="29"/>
      <c r="G27" s="26"/>
      <c r="H27" s="26"/>
      <c r="I27" s="24"/>
      <c r="J27" s="24"/>
      <c r="K27" s="24"/>
      <c r="L27" s="24"/>
      <c r="M27" s="24"/>
      <c r="N27" s="25"/>
    </row>
    <row r="28" spans="2:14" x14ac:dyDescent="0.25">
      <c r="B28" s="24"/>
      <c r="C28" s="24"/>
      <c r="D28" s="24"/>
      <c r="E28" s="25"/>
      <c r="F28" s="29"/>
      <c r="G28" s="26"/>
      <c r="H28" s="26"/>
      <c r="I28" s="24"/>
      <c r="J28" s="24"/>
      <c r="K28" s="24"/>
      <c r="L28" s="24"/>
      <c r="M28" s="24"/>
      <c r="N28" s="25"/>
    </row>
    <row r="29" spans="2:14" x14ac:dyDescent="0.25">
      <c r="B29" s="24"/>
      <c r="C29" s="24"/>
      <c r="D29" s="24"/>
      <c r="E29" s="25"/>
      <c r="F29" s="29"/>
      <c r="G29" s="26"/>
      <c r="H29" s="26"/>
      <c r="I29" s="24"/>
      <c r="J29" s="24"/>
      <c r="K29" s="24"/>
      <c r="L29" s="24"/>
      <c r="M29" s="24"/>
      <c r="N29" s="25"/>
    </row>
    <row r="30" spans="2:14" x14ac:dyDescent="0.25">
      <c r="B30" s="24"/>
      <c r="C30" s="24"/>
      <c r="D30" s="24"/>
      <c r="E30" s="25"/>
      <c r="F30" s="29"/>
      <c r="G30" s="26"/>
      <c r="H30" s="26"/>
      <c r="I30" s="24"/>
      <c r="J30" s="24"/>
      <c r="K30" s="24"/>
      <c r="L30" s="24"/>
      <c r="M30" s="24"/>
      <c r="N30" s="25"/>
    </row>
    <row r="31" spans="2:14" x14ac:dyDescent="0.25">
      <c r="B31" s="24"/>
      <c r="C31" s="24"/>
      <c r="D31" s="24"/>
      <c r="E31" s="25"/>
      <c r="F31" s="29"/>
      <c r="G31" s="26"/>
      <c r="H31" s="26"/>
      <c r="I31" s="24"/>
      <c r="J31" s="24"/>
      <c r="K31" s="24"/>
      <c r="L31" s="24"/>
      <c r="M31" s="24"/>
      <c r="N31" s="25"/>
    </row>
    <row r="32" spans="2:14" x14ac:dyDescent="0.25">
      <c r="B32" s="24"/>
      <c r="C32" s="24"/>
      <c r="D32" s="24"/>
      <c r="E32" s="25"/>
      <c r="F32" s="29"/>
      <c r="G32" s="26"/>
      <c r="H32" s="26"/>
      <c r="I32" s="24"/>
      <c r="J32" s="24"/>
      <c r="K32" s="24"/>
      <c r="L32" s="24"/>
      <c r="M32" s="24"/>
      <c r="N32" s="25"/>
    </row>
    <row r="33" spans="2:14" x14ac:dyDescent="0.25">
      <c r="B33" s="24"/>
      <c r="C33" s="24"/>
      <c r="D33" s="24"/>
      <c r="E33" s="25"/>
      <c r="F33" s="29"/>
      <c r="G33" s="26"/>
      <c r="H33" s="26"/>
      <c r="I33" s="24"/>
      <c r="J33" s="24"/>
      <c r="K33" s="24"/>
      <c r="L33" s="24"/>
      <c r="M33" s="24"/>
      <c r="N33" s="25"/>
    </row>
    <row r="34" spans="2:14" x14ac:dyDescent="0.25">
      <c r="B34" s="24"/>
      <c r="C34" s="24"/>
      <c r="D34" s="24"/>
      <c r="E34" s="25"/>
      <c r="F34" s="29"/>
      <c r="G34" s="26"/>
      <c r="H34" s="26"/>
      <c r="I34" s="24"/>
      <c r="J34" s="24"/>
      <c r="K34" s="24"/>
      <c r="L34" s="24"/>
      <c r="M34" s="24"/>
      <c r="N34" s="25"/>
    </row>
    <row r="35" spans="2:14" x14ac:dyDescent="0.25">
      <c r="B35" s="24"/>
      <c r="C35" s="24"/>
      <c r="D35" s="24"/>
      <c r="E35" s="25"/>
      <c r="F35" s="29"/>
      <c r="G35" s="26"/>
      <c r="H35" s="26"/>
      <c r="I35" s="24"/>
      <c r="J35" s="24"/>
      <c r="K35" s="24"/>
      <c r="L35" s="24"/>
      <c r="M35" s="24"/>
      <c r="N35" s="25"/>
    </row>
    <row r="36" spans="2:14" x14ac:dyDescent="0.25">
      <c r="B36" s="24"/>
      <c r="C36" s="24"/>
      <c r="D36" s="24"/>
      <c r="E36" s="25"/>
      <c r="F36" s="29"/>
      <c r="G36" s="26"/>
      <c r="H36" s="26"/>
      <c r="I36" s="24"/>
      <c r="J36" s="24"/>
      <c r="K36" s="24"/>
      <c r="L36" s="24"/>
      <c r="M36" s="24"/>
      <c r="N36" s="25"/>
    </row>
    <row r="37" spans="2:14" x14ac:dyDescent="0.25">
      <c r="B37" s="24"/>
      <c r="C37" s="24"/>
      <c r="D37" s="24"/>
      <c r="E37" s="25"/>
      <c r="F37" s="29"/>
      <c r="G37" s="26"/>
      <c r="H37" s="26"/>
      <c r="I37" s="24"/>
      <c r="J37" s="24"/>
      <c r="K37" s="24"/>
      <c r="L37" s="24"/>
      <c r="M37" s="24"/>
      <c r="N37" s="25"/>
    </row>
    <row r="38" spans="2:14" x14ac:dyDescent="0.25">
      <c r="B38" s="24"/>
      <c r="C38" s="24"/>
      <c r="D38" s="24"/>
      <c r="E38" s="25"/>
      <c r="F38" s="29"/>
      <c r="G38" s="26"/>
      <c r="H38" s="26"/>
      <c r="I38" s="24"/>
      <c r="J38" s="24"/>
      <c r="K38" s="24"/>
      <c r="L38" s="24"/>
      <c r="M38" s="24"/>
      <c r="N38" s="25"/>
    </row>
    <row r="39" spans="2:14" x14ac:dyDescent="0.25">
      <c r="B39" s="24"/>
      <c r="C39" s="24"/>
      <c r="D39" s="24"/>
      <c r="E39" s="25"/>
      <c r="F39" s="29"/>
      <c r="G39" s="26"/>
      <c r="H39" s="26"/>
      <c r="I39" s="24"/>
      <c r="J39" s="24"/>
      <c r="K39" s="24"/>
      <c r="L39" s="24"/>
      <c r="M39" s="24"/>
      <c r="N39" s="25"/>
    </row>
    <row r="40" spans="2:14" x14ac:dyDescent="0.25">
      <c r="B40" s="24"/>
      <c r="C40" s="24"/>
      <c r="D40" s="24"/>
      <c r="E40" s="25"/>
      <c r="F40" s="29"/>
      <c r="G40" s="26"/>
      <c r="H40" s="26"/>
      <c r="I40" s="24"/>
      <c r="J40" s="24"/>
      <c r="K40" s="24"/>
      <c r="L40" s="24"/>
      <c r="M40" s="24"/>
      <c r="N40" s="25"/>
    </row>
    <row r="41" spans="2:14" x14ac:dyDescent="0.25">
      <c r="B41" s="24"/>
      <c r="C41" s="24"/>
      <c r="D41" s="24"/>
      <c r="E41" s="25"/>
      <c r="F41" s="29"/>
      <c r="G41" s="26"/>
      <c r="H41" s="26"/>
      <c r="I41" s="24"/>
      <c r="J41" s="24"/>
      <c r="K41" s="24"/>
      <c r="L41" s="24"/>
      <c r="M41" s="24"/>
      <c r="N41" s="25"/>
    </row>
    <row r="42" spans="2:14" x14ac:dyDescent="0.25">
      <c r="B42" s="24"/>
      <c r="C42" s="24"/>
      <c r="D42" s="24"/>
      <c r="E42" s="25"/>
      <c r="F42" s="29"/>
      <c r="G42" s="26"/>
      <c r="H42" s="26"/>
      <c r="I42" s="24"/>
      <c r="J42" s="24"/>
      <c r="K42" s="24"/>
      <c r="L42" s="24"/>
      <c r="M42" s="24"/>
      <c r="N42" s="25"/>
    </row>
    <row r="43" spans="2:14" x14ac:dyDescent="0.25">
      <c r="B43" s="24"/>
      <c r="C43" s="24"/>
      <c r="D43" s="24"/>
      <c r="E43" s="25"/>
      <c r="F43" s="29"/>
      <c r="G43" s="26"/>
      <c r="H43" s="26"/>
      <c r="I43" s="24"/>
      <c r="J43" s="24"/>
      <c r="K43" s="24"/>
      <c r="L43" s="24"/>
      <c r="M43" s="24"/>
      <c r="N43" s="25"/>
    </row>
    <row r="44" spans="2:14" x14ac:dyDescent="0.25">
      <c r="B44" s="24"/>
      <c r="C44" s="24"/>
      <c r="D44" s="24"/>
      <c r="E44" s="25"/>
      <c r="F44" s="29"/>
      <c r="G44" s="26"/>
      <c r="H44" s="26"/>
      <c r="I44" s="24"/>
      <c r="J44" s="24"/>
      <c r="K44" s="24"/>
      <c r="L44" s="24"/>
      <c r="M44" s="24"/>
      <c r="N44" s="25"/>
    </row>
    <row r="45" spans="2:14" x14ac:dyDescent="0.25">
      <c r="B45" s="24"/>
      <c r="C45" s="24"/>
      <c r="D45" s="24"/>
      <c r="E45" s="25"/>
      <c r="F45" s="29"/>
      <c r="G45" s="26"/>
      <c r="H45" s="26"/>
      <c r="I45" s="24"/>
      <c r="J45" s="24"/>
      <c r="K45" s="24"/>
      <c r="L45" s="24"/>
      <c r="M45" s="24"/>
      <c r="N45" s="25"/>
    </row>
    <row r="46" spans="2:14" x14ac:dyDescent="0.25">
      <c r="B46" s="24"/>
      <c r="C46" s="24"/>
      <c r="D46" s="24"/>
      <c r="E46" s="25"/>
      <c r="F46" s="29"/>
      <c r="G46" s="26"/>
      <c r="H46" s="26"/>
      <c r="I46" s="24"/>
      <c r="J46" s="24"/>
      <c r="K46" s="24"/>
      <c r="L46" s="24"/>
      <c r="M46" s="24"/>
      <c r="N46" s="25"/>
    </row>
    <row r="47" spans="2:14" x14ac:dyDescent="0.25">
      <c r="B47" s="24"/>
      <c r="C47" s="24"/>
      <c r="D47" s="24"/>
      <c r="E47" s="25"/>
      <c r="F47" s="29"/>
      <c r="G47" s="26"/>
      <c r="H47" s="26"/>
      <c r="I47" s="24"/>
      <c r="J47" s="24"/>
      <c r="K47" s="24"/>
      <c r="L47" s="24"/>
      <c r="M47" s="24"/>
      <c r="N47" s="25"/>
    </row>
    <row r="48" spans="2:14" x14ac:dyDescent="0.25">
      <c r="B48" s="24"/>
      <c r="C48" s="24"/>
      <c r="D48" s="24"/>
      <c r="E48" s="25"/>
      <c r="F48" s="29"/>
      <c r="G48" s="26"/>
      <c r="H48" s="26"/>
      <c r="I48" s="24"/>
      <c r="J48" s="24"/>
      <c r="K48" s="24"/>
      <c r="L48" s="24"/>
      <c r="M48" s="24"/>
      <c r="N48" s="25"/>
    </row>
    <row r="49" spans="2:14" x14ac:dyDescent="0.25">
      <c r="B49" s="24"/>
      <c r="C49" s="24"/>
      <c r="D49" s="24"/>
      <c r="E49" s="25"/>
      <c r="F49" s="29"/>
      <c r="G49" s="26"/>
      <c r="H49" s="26"/>
      <c r="I49" s="24"/>
      <c r="J49" s="24"/>
      <c r="K49" s="24"/>
      <c r="L49" s="24"/>
      <c r="M49" s="24"/>
      <c r="N49" s="25"/>
    </row>
    <row r="50" spans="2:14" x14ac:dyDescent="0.25">
      <c r="B50" s="24"/>
      <c r="C50" s="24"/>
      <c r="D50" s="24"/>
      <c r="E50" s="25"/>
      <c r="F50" s="29"/>
      <c r="G50" s="26"/>
      <c r="H50" s="26"/>
      <c r="I50" s="24"/>
      <c r="J50" s="24"/>
      <c r="K50" s="24"/>
      <c r="L50" s="24"/>
      <c r="M50" s="24"/>
      <c r="N50" s="25"/>
    </row>
    <row r="51" spans="2:14" x14ac:dyDescent="0.25">
      <c r="B51" s="24"/>
      <c r="C51" s="24"/>
      <c r="D51" s="24"/>
      <c r="E51" s="25"/>
      <c r="F51" s="29"/>
      <c r="G51" s="26"/>
      <c r="H51" s="26"/>
      <c r="I51" s="24"/>
      <c r="J51" s="24"/>
      <c r="K51" s="24"/>
      <c r="L51" s="24"/>
      <c r="M51" s="24"/>
      <c r="N51" s="25"/>
    </row>
    <row r="52" spans="2:14" x14ac:dyDescent="0.25">
      <c r="B52" s="24"/>
      <c r="C52" s="24"/>
      <c r="D52" s="24"/>
      <c r="E52" s="25"/>
      <c r="F52" s="29"/>
      <c r="G52" s="26"/>
      <c r="H52" s="26"/>
      <c r="I52" s="24"/>
      <c r="J52" s="24"/>
      <c r="K52" s="24"/>
      <c r="L52" s="24"/>
      <c r="M52" s="24"/>
      <c r="N52" s="25"/>
    </row>
    <row r="53" spans="2:14" x14ac:dyDescent="0.25">
      <c r="B53" s="24"/>
      <c r="C53" s="24"/>
      <c r="D53" s="24"/>
      <c r="E53" s="25"/>
      <c r="F53" s="29"/>
      <c r="G53" s="26"/>
      <c r="H53" s="26"/>
      <c r="I53" s="24"/>
      <c r="J53" s="24"/>
      <c r="K53" s="24"/>
      <c r="L53" s="24"/>
      <c r="M53" s="24"/>
      <c r="N53" s="25"/>
    </row>
    <row r="54" spans="2:14" x14ac:dyDescent="0.25">
      <c r="B54" s="24"/>
      <c r="C54" s="24"/>
      <c r="D54" s="24"/>
      <c r="E54" s="25"/>
      <c r="F54" s="29"/>
      <c r="G54" s="26"/>
      <c r="H54" s="26"/>
      <c r="I54" s="24"/>
      <c r="J54" s="24"/>
      <c r="K54" s="24"/>
      <c r="L54" s="24"/>
      <c r="M54" s="24"/>
      <c r="N54" s="25"/>
    </row>
    <row r="55" spans="2:14" x14ac:dyDescent="0.25">
      <c r="B55" s="24"/>
      <c r="C55" s="24"/>
      <c r="D55" s="24"/>
      <c r="E55" s="25"/>
      <c r="F55" s="29"/>
      <c r="G55" s="26"/>
      <c r="H55" s="26"/>
      <c r="I55" s="24"/>
      <c r="J55" s="24"/>
      <c r="K55" s="24"/>
      <c r="L55" s="24"/>
      <c r="M55" s="24"/>
      <c r="N55" s="25"/>
    </row>
    <row r="56" spans="2:14" x14ac:dyDescent="0.25">
      <c r="B56" s="24"/>
      <c r="C56" s="24"/>
      <c r="D56" s="24"/>
      <c r="E56" s="25"/>
      <c r="F56" s="29"/>
      <c r="G56" s="26"/>
      <c r="H56" s="26"/>
      <c r="I56" s="24"/>
      <c r="J56" s="24"/>
      <c r="K56" s="24"/>
      <c r="L56" s="24"/>
      <c r="M56" s="24"/>
      <c r="N56" s="25"/>
    </row>
    <row r="57" spans="2:14" x14ac:dyDescent="0.25">
      <c r="B57" s="24"/>
      <c r="C57" s="24"/>
      <c r="D57" s="24"/>
      <c r="E57" s="25"/>
      <c r="F57" s="29"/>
      <c r="G57" s="26"/>
      <c r="H57" s="26"/>
      <c r="I57" s="24"/>
      <c r="J57" s="24"/>
      <c r="K57" s="24"/>
      <c r="L57" s="24"/>
      <c r="M57" s="24"/>
      <c r="N57" s="25"/>
    </row>
    <row r="58" spans="2:14" x14ac:dyDescent="0.25">
      <c r="B58" s="24"/>
      <c r="C58" s="24"/>
      <c r="D58" s="24"/>
      <c r="E58" s="25"/>
      <c r="F58" s="29"/>
      <c r="G58" s="26"/>
      <c r="H58" s="26"/>
      <c r="I58" s="24"/>
      <c r="J58" s="24"/>
      <c r="K58" s="24"/>
      <c r="L58" s="24"/>
      <c r="M58" s="24"/>
      <c r="N58" s="25"/>
    </row>
    <row r="59" spans="2:14" x14ac:dyDescent="0.25">
      <c r="B59" s="24"/>
      <c r="C59" s="24"/>
      <c r="D59" s="24"/>
      <c r="E59" s="25"/>
      <c r="F59" s="29"/>
      <c r="G59" s="26"/>
      <c r="H59" s="26"/>
      <c r="I59" s="24"/>
      <c r="J59" s="24"/>
      <c r="K59" s="24"/>
      <c r="L59" s="24"/>
      <c r="M59" s="24"/>
      <c r="N59" s="25"/>
    </row>
    <row r="60" spans="2:14" x14ac:dyDescent="0.25">
      <c r="B60" s="24"/>
      <c r="C60" s="24"/>
      <c r="D60" s="24"/>
      <c r="E60" s="25"/>
      <c r="F60" s="29"/>
      <c r="G60" s="26"/>
      <c r="H60" s="26"/>
      <c r="I60" s="24"/>
      <c r="J60" s="24"/>
      <c r="K60" s="24"/>
      <c r="L60" s="24"/>
      <c r="M60" s="24"/>
      <c r="N60" s="25"/>
    </row>
    <row r="61" spans="2:14" x14ac:dyDescent="0.25">
      <c r="B61" s="24"/>
      <c r="C61" s="24"/>
      <c r="D61" s="24"/>
      <c r="E61" s="25"/>
      <c r="F61" s="29"/>
      <c r="G61" s="26"/>
      <c r="H61" s="26"/>
      <c r="I61" s="24"/>
      <c r="J61" s="24"/>
      <c r="K61" s="24"/>
      <c r="L61" s="24"/>
      <c r="M61" s="24"/>
      <c r="N61" s="25"/>
    </row>
    <row r="62" spans="2:14" x14ac:dyDescent="0.25">
      <c r="B62" s="24"/>
      <c r="C62" s="24"/>
      <c r="D62" s="24"/>
      <c r="E62" s="25"/>
      <c r="F62" s="29"/>
      <c r="G62" s="26"/>
      <c r="H62" s="26"/>
      <c r="I62" s="24"/>
      <c r="J62" s="24"/>
      <c r="K62" s="24"/>
      <c r="L62" s="24"/>
      <c r="M62" s="24"/>
      <c r="N62" s="25"/>
    </row>
    <row r="63" spans="2:14" x14ac:dyDescent="0.25">
      <c r="B63" s="24"/>
      <c r="C63" s="24"/>
      <c r="D63" s="24"/>
      <c r="E63" s="25"/>
      <c r="F63" s="29"/>
      <c r="G63" s="26"/>
      <c r="H63" s="26"/>
      <c r="I63" s="24"/>
      <c r="J63" s="24"/>
      <c r="K63" s="24"/>
      <c r="L63" s="24"/>
      <c r="M63" s="24"/>
      <c r="N63" s="25"/>
    </row>
    <row r="64" spans="2:14" x14ac:dyDescent="0.25">
      <c r="B64" s="24"/>
      <c r="C64" s="24"/>
      <c r="D64" s="24"/>
      <c r="E64" s="25"/>
      <c r="F64" s="29"/>
      <c r="G64" s="26"/>
      <c r="H64" s="26"/>
      <c r="I64" s="24"/>
      <c r="J64" s="24"/>
      <c r="K64" s="24"/>
      <c r="L64" s="24"/>
      <c r="M64" s="24"/>
      <c r="N64" s="25"/>
    </row>
    <row r="65" spans="2:14" x14ac:dyDescent="0.25">
      <c r="B65" s="24"/>
      <c r="C65" s="24"/>
      <c r="D65" s="24"/>
      <c r="E65" s="25"/>
      <c r="F65" s="29"/>
      <c r="G65" s="26"/>
      <c r="H65" s="26"/>
      <c r="I65" s="93"/>
      <c r="J65" s="24"/>
      <c r="K65" s="24"/>
      <c r="L65" s="24"/>
      <c r="M65" s="24"/>
      <c r="N65" s="25"/>
    </row>
    <row r="66" spans="2:14" x14ac:dyDescent="0.25">
      <c r="B66" s="24"/>
      <c r="C66" s="24"/>
      <c r="D66" s="24"/>
      <c r="E66" s="25"/>
      <c r="F66" s="29"/>
      <c r="G66" s="26"/>
      <c r="H66" s="26"/>
      <c r="I66" s="24"/>
      <c r="J66" s="24"/>
      <c r="K66" s="24"/>
      <c r="L66" s="24"/>
      <c r="M66" s="24"/>
      <c r="N66" s="25"/>
    </row>
    <row r="67" spans="2:14" x14ac:dyDescent="0.25">
      <c r="B67" s="24"/>
      <c r="C67" s="24"/>
      <c r="D67" s="24"/>
      <c r="E67" s="25"/>
      <c r="F67" s="29"/>
      <c r="G67" s="26"/>
      <c r="H67" s="26"/>
      <c r="I67" s="24"/>
      <c r="J67" s="24"/>
      <c r="K67" s="24"/>
      <c r="L67" s="24"/>
      <c r="M67" s="24"/>
      <c r="N67" s="25"/>
    </row>
    <row r="68" spans="2:14" x14ac:dyDescent="0.25">
      <c r="B68" s="24"/>
      <c r="C68" s="24"/>
      <c r="D68" s="24"/>
      <c r="E68" s="25"/>
      <c r="F68" s="29"/>
      <c r="G68" s="26"/>
      <c r="H68" s="26"/>
      <c r="I68" s="24"/>
      <c r="J68" s="24"/>
      <c r="K68" s="24"/>
      <c r="L68" s="24"/>
      <c r="M68" s="24"/>
      <c r="N68" s="25"/>
    </row>
    <row r="69" spans="2:14" x14ac:dyDescent="0.25">
      <c r="B69" s="24"/>
      <c r="C69" s="24"/>
      <c r="D69" s="24"/>
      <c r="E69" s="25"/>
      <c r="F69" s="29"/>
      <c r="G69" s="26"/>
      <c r="H69" s="26"/>
      <c r="I69" s="24"/>
      <c r="J69" s="24"/>
      <c r="K69" s="24"/>
      <c r="L69" s="24"/>
      <c r="M69" s="24"/>
      <c r="N69" s="25"/>
    </row>
    <row r="70" spans="2:14" x14ac:dyDescent="0.25">
      <c r="B70" s="24"/>
      <c r="C70" s="24"/>
      <c r="D70" s="24"/>
      <c r="E70" s="25"/>
      <c r="F70" s="29"/>
      <c r="G70" s="26"/>
      <c r="H70" s="26"/>
      <c r="I70" s="24"/>
      <c r="J70" s="24"/>
      <c r="K70" s="24"/>
      <c r="L70" s="24"/>
      <c r="M70" s="24"/>
      <c r="N70" s="25"/>
    </row>
    <row r="71" spans="2:14" x14ac:dyDescent="0.25">
      <c r="B71" s="24"/>
      <c r="C71" s="24"/>
      <c r="D71" s="24"/>
      <c r="E71" s="25"/>
      <c r="F71" s="29"/>
      <c r="G71" s="26"/>
      <c r="H71" s="26"/>
      <c r="I71" s="24"/>
      <c r="J71" s="24"/>
      <c r="K71" s="24"/>
      <c r="L71" s="24"/>
      <c r="M71" s="24"/>
      <c r="N71" s="25"/>
    </row>
    <row r="72" spans="2:14" x14ac:dyDescent="0.25">
      <c r="B72" s="24"/>
      <c r="C72" s="24"/>
      <c r="D72" s="24"/>
      <c r="E72" s="25"/>
      <c r="F72" s="29"/>
      <c r="G72" s="26"/>
      <c r="H72" s="26"/>
      <c r="I72" s="24"/>
      <c r="J72" s="24"/>
      <c r="K72" s="24"/>
      <c r="L72" s="24"/>
      <c r="M72" s="24"/>
      <c r="N72" s="25"/>
    </row>
    <row r="73" spans="2:14" x14ac:dyDescent="0.25">
      <c r="B73" s="24"/>
      <c r="C73" s="24"/>
      <c r="D73" s="24"/>
      <c r="E73" s="25"/>
      <c r="F73" s="29"/>
      <c r="G73" s="26"/>
      <c r="H73" s="26"/>
      <c r="I73" s="24"/>
      <c r="J73" s="24"/>
      <c r="K73" s="24"/>
      <c r="L73" s="24"/>
      <c r="M73" s="24"/>
      <c r="N73" s="25"/>
    </row>
    <row r="74" spans="2:14" x14ac:dyDescent="0.25">
      <c r="B74" s="24"/>
      <c r="C74" s="24"/>
      <c r="D74" s="24"/>
      <c r="E74" s="25"/>
      <c r="F74" s="29"/>
      <c r="G74" s="26"/>
      <c r="H74" s="26"/>
      <c r="I74" s="24"/>
      <c r="J74" s="24"/>
      <c r="K74" s="24"/>
      <c r="L74" s="24"/>
      <c r="M74" s="24"/>
      <c r="N74" s="25"/>
    </row>
    <row r="75" spans="2:14" x14ac:dyDescent="0.25">
      <c r="B75" s="24"/>
      <c r="C75" s="24"/>
      <c r="D75" s="24"/>
      <c r="E75" s="25"/>
      <c r="F75" s="29"/>
      <c r="G75" s="26"/>
      <c r="H75" s="26"/>
      <c r="I75" s="24"/>
      <c r="J75" s="24"/>
      <c r="K75" s="24"/>
      <c r="L75" s="24"/>
      <c r="M75" s="24"/>
      <c r="N75" s="25"/>
    </row>
    <row r="76" spans="2:14" x14ac:dyDescent="0.25">
      <c r="B76" s="24"/>
      <c r="C76" s="24"/>
      <c r="D76" s="24"/>
      <c r="E76" s="25"/>
      <c r="F76" s="29"/>
      <c r="G76" s="26"/>
      <c r="H76" s="26"/>
      <c r="I76" s="24"/>
      <c r="J76" s="24"/>
      <c r="K76" s="24"/>
      <c r="L76" s="24"/>
      <c r="M76" s="24"/>
      <c r="N76" s="25"/>
    </row>
    <row r="77" spans="2:14" x14ac:dyDescent="0.25">
      <c r="B77" s="24"/>
      <c r="C77" s="24"/>
      <c r="D77" s="24"/>
      <c r="E77" s="25"/>
      <c r="F77" s="29"/>
      <c r="G77" s="26"/>
      <c r="H77" s="26"/>
      <c r="I77" s="24"/>
      <c r="J77" s="24"/>
      <c r="K77" s="24"/>
      <c r="L77" s="24"/>
      <c r="M77" s="24"/>
      <c r="N77" s="25"/>
    </row>
    <row r="78" spans="2:14" x14ac:dyDescent="0.25">
      <c r="B78" s="24"/>
      <c r="C78" s="24"/>
      <c r="D78" s="24"/>
      <c r="E78" s="25"/>
      <c r="F78" s="29"/>
      <c r="G78" s="26"/>
      <c r="H78" s="26"/>
      <c r="I78" s="24"/>
      <c r="J78" s="24"/>
      <c r="K78" s="24"/>
      <c r="L78" s="24"/>
      <c r="M78" s="24"/>
      <c r="N78" s="25"/>
    </row>
    <row r="79" spans="2:14" x14ac:dyDescent="0.25">
      <c r="B79" s="24"/>
      <c r="C79" s="24"/>
      <c r="D79" s="24"/>
      <c r="E79" s="25"/>
      <c r="F79" s="29"/>
      <c r="G79" s="26"/>
      <c r="H79" s="26"/>
      <c r="I79" s="24"/>
      <c r="J79" s="24"/>
      <c r="K79" s="24"/>
      <c r="L79" s="24"/>
      <c r="M79" s="24"/>
      <c r="N79" s="25"/>
    </row>
    <row r="80" spans="2:14" x14ac:dyDescent="0.25">
      <c r="B80" s="24"/>
      <c r="C80" s="24"/>
      <c r="D80" s="24"/>
      <c r="E80" s="25"/>
      <c r="F80" s="29"/>
      <c r="G80" s="26"/>
      <c r="H80" s="26"/>
      <c r="I80" s="24"/>
      <c r="J80" s="24"/>
      <c r="K80" s="24"/>
      <c r="L80" s="24"/>
      <c r="M80" s="24"/>
      <c r="N80" s="25"/>
    </row>
    <row r="81" spans="2:14" x14ac:dyDescent="0.25">
      <c r="B81" s="24"/>
      <c r="C81" s="24"/>
      <c r="D81" s="24"/>
      <c r="E81" s="25"/>
      <c r="F81" s="29"/>
      <c r="G81" s="26"/>
      <c r="H81" s="26"/>
      <c r="I81" s="24"/>
      <c r="J81" s="24"/>
      <c r="K81" s="24"/>
      <c r="L81" s="24"/>
      <c r="M81" s="24"/>
      <c r="N81" s="25"/>
    </row>
    <row r="82" spans="2:14" x14ac:dyDescent="0.25">
      <c r="B82" s="24"/>
      <c r="C82" s="24"/>
      <c r="D82" s="24"/>
      <c r="E82" s="25"/>
      <c r="F82" s="29"/>
      <c r="G82" s="26"/>
      <c r="H82" s="26"/>
      <c r="I82" s="24"/>
      <c r="J82" s="24"/>
      <c r="K82" s="24"/>
      <c r="L82" s="24"/>
      <c r="M82" s="24"/>
      <c r="N82" s="25"/>
    </row>
    <row r="83" spans="2:14" x14ac:dyDescent="0.25">
      <c r="B83" s="24"/>
      <c r="C83" s="24"/>
      <c r="D83" s="24"/>
      <c r="E83" s="25"/>
      <c r="F83" s="29"/>
      <c r="G83" s="26"/>
      <c r="H83" s="26"/>
      <c r="I83" s="24"/>
      <c r="J83" s="24"/>
      <c r="K83" s="24"/>
      <c r="L83" s="24"/>
      <c r="M83" s="24"/>
      <c r="N83" s="25"/>
    </row>
    <row r="84" spans="2:14" x14ac:dyDescent="0.25">
      <c r="B84" s="24"/>
      <c r="C84" s="24"/>
      <c r="D84" s="24"/>
      <c r="E84" s="25"/>
      <c r="F84" s="29"/>
      <c r="G84" s="26"/>
      <c r="H84" s="26"/>
      <c r="I84" s="24"/>
      <c r="J84" s="24"/>
      <c r="K84" s="24"/>
      <c r="L84" s="24"/>
      <c r="M84" s="24"/>
      <c r="N84" s="25"/>
    </row>
    <row r="85" spans="2:14" x14ac:dyDescent="0.25">
      <c r="B85" s="24"/>
      <c r="C85" s="24"/>
      <c r="D85" s="24"/>
      <c r="E85" s="25"/>
      <c r="F85" s="29"/>
      <c r="G85" s="26"/>
      <c r="H85" s="26"/>
      <c r="I85" s="24"/>
      <c r="J85" s="24"/>
      <c r="K85" s="24"/>
      <c r="L85" s="24"/>
      <c r="M85" s="24"/>
      <c r="N85" s="25"/>
    </row>
    <row r="86" spans="2:14" x14ac:dyDescent="0.25">
      <c r="B86" s="24"/>
      <c r="C86" s="24"/>
      <c r="D86" s="24"/>
      <c r="E86" s="25"/>
      <c r="F86" s="29"/>
      <c r="G86" s="26"/>
      <c r="H86" s="26"/>
      <c r="I86" s="24"/>
      <c r="J86" s="24"/>
      <c r="K86" s="24"/>
      <c r="L86" s="24"/>
      <c r="M86" s="24"/>
      <c r="N86" s="25"/>
    </row>
    <row r="87" spans="2:14" x14ac:dyDescent="0.25">
      <c r="B87" s="24"/>
      <c r="C87" s="24"/>
      <c r="D87" s="24"/>
      <c r="E87" s="25"/>
      <c r="F87" s="29"/>
      <c r="G87" s="26"/>
      <c r="H87" s="26"/>
      <c r="I87" s="24"/>
      <c r="J87" s="24"/>
      <c r="K87" s="24"/>
      <c r="L87" s="24"/>
      <c r="M87" s="24"/>
      <c r="N87" s="25"/>
    </row>
    <row r="88" spans="2:14" x14ac:dyDescent="0.25">
      <c r="B88" s="24"/>
      <c r="C88" s="24"/>
      <c r="D88" s="24"/>
      <c r="E88" s="25"/>
      <c r="F88" s="29"/>
      <c r="G88" s="26"/>
      <c r="H88" s="26"/>
      <c r="I88" s="24"/>
      <c r="J88" s="24"/>
      <c r="K88" s="24"/>
      <c r="L88" s="24"/>
      <c r="M88" s="24"/>
      <c r="N88" s="25"/>
    </row>
    <row r="89" spans="2:14" x14ac:dyDescent="0.25">
      <c r="B89" s="24"/>
      <c r="C89" s="24"/>
      <c r="D89" s="24"/>
      <c r="E89" s="25"/>
      <c r="F89" s="29"/>
      <c r="G89" s="26"/>
      <c r="H89" s="26"/>
      <c r="I89" s="24"/>
      <c r="J89" s="24"/>
      <c r="K89" s="24"/>
      <c r="L89" s="24"/>
      <c r="M89" s="24"/>
      <c r="N89" s="25"/>
    </row>
    <row r="90" spans="2:14" x14ac:dyDescent="0.25">
      <c r="B90" s="24"/>
      <c r="C90" s="24"/>
      <c r="D90" s="24"/>
      <c r="E90" s="25"/>
      <c r="F90" s="29"/>
      <c r="G90" s="26"/>
      <c r="H90" s="26"/>
      <c r="I90" s="24"/>
      <c r="J90" s="24"/>
      <c r="K90" s="24"/>
      <c r="L90" s="24"/>
      <c r="M90" s="24"/>
      <c r="N90" s="25"/>
    </row>
    <row r="91" spans="2:14" x14ac:dyDescent="0.25">
      <c r="B91" s="24"/>
      <c r="C91" s="24"/>
      <c r="D91" s="24"/>
      <c r="E91" s="25"/>
      <c r="F91" s="29"/>
      <c r="G91" s="26"/>
      <c r="H91" s="26"/>
      <c r="I91" s="24"/>
      <c r="J91" s="24"/>
      <c r="K91" s="24"/>
      <c r="L91" s="24"/>
      <c r="M91" s="24"/>
      <c r="N91" s="25"/>
    </row>
    <row r="92" spans="2:14" x14ac:dyDescent="0.25">
      <c r="B92" s="24"/>
      <c r="C92" s="24"/>
      <c r="D92" s="24"/>
      <c r="E92" s="25"/>
      <c r="F92" s="29"/>
      <c r="G92" s="26"/>
      <c r="H92" s="26"/>
      <c r="I92" s="24"/>
      <c r="J92" s="24"/>
      <c r="K92" s="24"/>
      <c r="L92" s="24"/>
      <c r="M92" s="24"/>
      <c r="N92" s="25"/>
    </row>
    <row r="93" spans="2:14" x14ac:dyDescent="0.25">
      <c r="B93" s="24"/>
      <c r="C93" s="24"/>
      <c r="D93" s="24"/>
      <c r="E93" s="25"/>
      <c r="F93" s="29"/>
      <c r="G93" s="26"/>
      <c r="H93" s="26"/>
      <c r="I93" s="24"/>
      <c r="J93" s="24"/>
      <c r="K93" s="24"/>
      <c r="L93" s="24"/>
      <c r="M93" s="24"/>
      <c r="N93" s="25"/>
    </row>
    <row r="94" spans="2:14" x14ac:dyDescent="0.25">
      <c r="B94" s="24"/>
      <c r="C94" s="24"/>
      <c r="D94" s="24"/>
      <c r="E94" s="25"/>
      <c r="F94" s="29"/>
      <c r="G94" s="26"/>
      <c r="H94" s="26"/>
      <c r="I94" s="24"/>
      <c r="J94" s="24"/>
      <c r="K94" s="24"/>
      <c r="L94" s="24"/>
      <c r="M94" s="24"/>
      <c r="N94" s="25"/>
    </row>
    <row r="95" spans="2:14" x14ac:dyDescent="0.25">
      <c r="B95" s="24"/>
      <c r="C95" s="24"/>
      <c r="D95" s="24"/>
      <c r="E95" s="25"/>
      <c r="F95" s="29"/>
      <c r="G95" s="26"/>
      <c r="H95" s="26"/>
      <c r="I95" s="24"/>
      <c r="J95" s="24"/>
      <c r="K95" s="24"/>
      <c r="L95" s="24"/>
      <c r="M95" s="24"/>
      <c r="N95" s="25"/>
    </row>
    <row r="96" spans="2:14" x14ac:dyDescent="0.25">
      <c r="B96" s="24"/>
      <c r="C96" s="24"/>
      <c r="D96" s="24"/>
      <c r="E96" s="25"/>
      <c r="F96" s="29"/>
      <c r="G96" s="26"/>
      <c r="H96" s="26"/>
      <c r="I96" s="24"/>
      <c r="J96" s="24"/>
      <c r="K96" s="24"/>
      <c r="L96" s="24"/>
      <c r="M96" s="24"/>
      <c r="N96" s="25"/>
    </row>
    <row r="97" spans="2:14" x14ac:dyDescent="0.25">
      <c r="B97" s="24"/>
      <c r="C97" s="24"/>
      <c r="D97" s="24"/>
      <c r="E97" s="25"/>
      <c r="F97" s="29"/>
      <c r="G97" s="26"/>
      <c r="H97" s="26"/>
      <c r="I97" s="24"/>
      <c r="J97" s="24"/>
      <c r="K97" s="24"/>
      <c r="L97" s="24"/>
      <c r="M97" s="24"/>
      <c r="N97" s="25"/>
    </row>
    <row r="98" spans="2:14" x14ac:dyDescent="0.25">
      <c r="B98" s="24"/>
      <c r="C98" s="24"/>
      <c r="D98" s="24"/>
      <c r="E98" s="25"/>
      <c r="F98" s="29"/>
      <c r="G98" s="26"/>
      <c r="H98" s="26"/>
      <c r="I98" s="24"/>
      <c r="J98" s="24"/>
      <c r="K98" s="24"/>
      <c r="L98" s="24"/>
      <c r="M98" s="24"/>
      <c r="N98" s="25"/>
    </row>
    <row r="99" spans="2:14" x14ac:dyDescent="0.25">
      <c r="B99" s="24"/>
      <c r="C99" s="24"/>
      <c r="D99" s="24"/>
      <c r="E99" s="25"/>
      <c r="F99" s="29"/>
      <c r="G99" s="26"/>
      <c r="H99" s="26"/>
      <c r="I99" s="24"/>
      <c r="J99" s="24"/>
      <c r="K99" s="24"/>
      <c r="L99" s="24"/>
      <c r="M99" s="24"/>
      <c r="N99" s="25"/>
    </row>
    <row r="100" spans="2:14" x14ac:dyDescent="0.25">
      <c r="B100" s="24"/>
      <c r="C100" s="24"/>
      <c r="D100" s="24"/>
      <c r="E100" s="25"/>
      <c r="F100" s="29"/>
      <c r="G100" s="26"/>
      <c r="H100" s="26"/>
      <c r="I100" s="24"/>
      <c r="J100" s="24"/>
      <c r="K100" s="24"/>
      <c r="L100" s="24"/>
      <c r="M100" s="24"/>
      <c r="N100" s="25"/>
    </row>
    <row r="101" spans="2:14" x14ac:dyDescent="0.25">
      <c r="B101" s="24"/>
      <c r="C101" s="24"/>
      <c r="D101" s="24"/>
      <c r="E101" s="25"/>
      <c r="F101" s="29"/>
      <c r="G101" s="26"/>
      <c r="H101" s="26"/>
      <c r="I101" s="24"/>
      <c r="J101" s="24"/>
      <c r="K101" s="24"/>
      <c r="L101" s="24"/>
      <c r="M101" s="24"/>
      <c r="N101" s="25"/>
    </row>
    <row r="102" spans="2:14" x14ac:dyDescent="0.25">
      <c r="B102" s="24"/>
      <c r="C102" s="24"/>
      <c r="D102" s="24"/>
      <c r="E102" s="25"/>
      <c r="F102" s="29"/>
      <c r="G102" s="26"/>
      <c r="H102" s="26"/>
      <c r="I102" s="24"/>
      <c r="J102" s="24"/>
      <c r="K102" s="24"/>
      <c r="L102" s="24"/>
      <c r="M102" s="24"/>
      <c r="N102" s="25"/>
    </row>
    <row r="103" spans="2:14" x14ac:dyDescent="0.25">
      <c r="B103" s="24"/>
      <c r="C103" s="24"/>
      <c r="D103" s="24"/>
      <c r="E103" s="25"/>
      <c r="F103" s="29"/>
      <c r="G103" s="26"/>
      <c r="H103" s="26"/>
      <c r="I103" s="24"/>
      <c r="J103" s="24"/>
      <c r="K103" s="24"/>
      <c r="L103" s="24"/>
      <c r="M103" s="24"/>
      <c r="N103" s="25"/>
    </row>
    <row r="104" spans="2:14" x14ac:dyDescent="0.25">
      <c r="B104" s="24"/>
      <c r="C104" s="24"/>
      <c r="D104" s="24"/>
      <c r="E104" s="25"/>
      <c r="F104" s="29"/>
      <c r="G104" s="26"/>
      <c r="H104" s="26"/>
      <c r="I104" s="24"/>
      <c r="J104" s="24"/>
      <c r="K104" s="24"/>
      <c r="L104" s="24"/>
      <c r="M104" s="24"/>
      <c r="N104" s="25"/>
    </row>
    <row r="105" spans="2:14" x14ac:dyDescent="0.25">
      <c r="B105" s="24"/>
      <c r="C105" s="24"/>
      <c r="D105" s="24"/>
      <c r="E105" s="25"/>
      <c r="F105" s="29"/>
      <c r="G105" s="26"/>
      <c r="H105" s="26"/>
      <c r="I105" s="24"/>
      <c r="J105" s="24"/>
      <c r="K105" s="24"/>
      <c r="L105" s="24"/>
      <c r="M105" s="24"/>
      <c r="N105" s="25"/>
    </row>
    <row r="106" spans="2:14" x14ac:dyDescent="0.25">
      <c r="B106" s="24"/>
      <c r="C106" s="24"/>
      <c r="D106" s="24"/>
      <c r="E106" s="25"/>
      <c r="F106" s="29"/>
      <c r="G106" s="26"/>
      <c r="H106" s="26"/>
      <c r="I106" s="24"/>
      <c r="J106" s="24"/>
      <c r="K106" s="24"/>
      <c r="L106" s="24"/>
      <c r="M106" s="24"/>
      <c r="N106" s="25"/>
    </row>
    <row r="107" spans="2:14" x14ac:dyDescent="0.25">
      <c r="B107" s="24"/>
      <c r="C107" s="24"/>
      <c r="D107" s="24"/>
      <c r="E107" s="25"/>
      <c r="F107" s="29"/>
      <c r="G107" s="26"/>
      <c r="H107" s="26"/>
      <c r="I107" s="24"/>
      <c r="J107" s="24"/>
      <c r="K107" s="24"/>
      <c r="L107" s="24"/>
      <c r="M107" s="24"/>
      <c r="N107" s="25"/>
    </row>
    <row r="108" spans="2:14" x14ac:dyDescent="0.25">
      <c r="B108" s="24"/>
      <c r="C108" s="24"/>
      <c r="D108" s="24"/>
      <c r="E108" s="25"/>
      <c r="F108" s="29"/>
      <c r="G108" s="26"/>
      <c r="H108" s="26"/>
      <c r="I108" s="24"/>
      <c r="J108" s="24"/>
      <c r="K108" s="24"/>
      <c r="L108" s="24"/>
      <c r="M108" s="24"/>
      <c r="N108" s="25"/>
    </row>
    <row r="109" spans="2:14" x14ac:dyDescent="0.25">
      <c r="B109" s="24"/>
      <c r="C109" s="24"/>
      <c r="D109" s="24"/>
      <c r="E109" s="25"/>
      <c r="F109" s="29"/>
      <c r="G109" s="26"/>
      <c r="H109" s="26"/>
      <c r="I109" s="24"/>
      <c r="J109" s="24"/>
      <c r="K109" s="24"/>
      <c r="L109" s="24"/>
      <c r="M109" s="24"/>
      <c r="N109" s="25"/>
    </row>
    <row r="110" spans="2:14" x14ac:dyDescent="0.25">
      <c r="B110" s="24"/>
      <c r="C110" s="24"/>
      <c r="D110" s="24"/>
      <c r="E110" s="25"/>
      <c r="F110" s="29"/>
      <c r="G110" s="26"/>
      <c r="H110" s="26"/>
      <c r="I110" s="24"/>
      <c r="J110" s="24"/>
      <c r="K110" s="24"/>
      <c r="L110" s="24"/>
      <c r="M110" s="24"/>
      <c r="N110" s="25"/>
    </row>
    <row r="111" spans="2:14" x14ac:dyDescent="0.25">
      <c r="B111" s="24"/>
      <c r="C111" s="24"/>
      <c r="D111" s="24"/>
      <c r="E111" s="25"/>
      <c r="F111" s="29"/>
      <c r="G111" s="26"/>
      <c r="H111" s="26"/>
      <c r="I111" s="24"/>
      <c r="J111" s="24"/>
      <c r="K111" s="24"/>
      <c r="L111" s="24"/>
      <c r="M111" s="24"/>
      <c r="N111" s="25"/>
    </row>
    <row r="112" spans="2:14" x14ac:dyDescent="0.25">
      <c r="B112" s="24"/>
      <c r="C112" s="24"/>
      <c r="D112" s="24"/>
      <c r="E112" s="25"/>
      <c r="F112" s="29"/>
      <c r="G112" s="26"/>
      <c r="H112" s="26"/>
      <c r="I112" s="24"/>
      <c r="J112" s="24"/>
      <c r="K112" s="24"/>
      <c r="L112" s="24"/>
      <c r="M112" s="24"/>
      <c r="N112" s="25"/>
    </row>
    <row r="113" spans="2:14" x14ac:dyDescent="0.25">
      <c r="B113" s="24"/>
      <c r="C113" s="24"/>
      <c r="D113" s="24"/>
      <c r="E113" s="25"/>
      <c r="F113" s="29"/>
      <c r="G113" s="26"/>
      <c r="H113" s="26"/>
      <c r="I113" s="24"/>
      <c r="J113" s="24"/>
      <c r="K113" s="24"/>
      <c r="L113" s="24"/>
      <c r="M113" s="24"/>
      <c r="N113" s="25"/>
    </row>
    <row r="114" spans="2:14" x14ac:dyDescent="0.25">
      <c r="B114" s="24"/>
      <c r="C114" s="24"/>
      <c r="D114" s="24"/>
      <c r="E114" s="25"/>
      <c r="F114" s="29"/>
      <c r="G114" s="26"/>
      <c r="H114" s="26"/>
      <c r="I114" s="24"/>
      <c r="J114" s="24"/>
      <c r="K114" s="24"/>
      <c r="L114" s="24"/>
      <c r="M114" s="24"/>
      <c r="N114" s="25"/>
    </row>
    <row r="115" spans="2:14" x14ac:dyDescent="0.25">
      <c r="B115" s="24"/>
      <c r="C115" s="24"/>
      <c r="D115" s="24"/>
      <c r="E115" s="25"/>
      <c r="F115" s="29"/>
      <c r="G115" s="26"/>
      <c r="H115" s="26"/>
      <c r="I115" s="24"/>
      <c r="J115" s="24"/>
      <c r="K115" s="24"/>
      <c r="L115" s="24"/>
      <c r="M115" s="24"/>
      <c r="N115" s="25"/>
    </row>
    <row r="116" spans="2:14" x14ac:dyDescent="0.25">
      <c r="B116" s="24"/>
      <c r="C116" s="24"/>
      <c r="D116" s="24"/>
      <c r="E116" s="25"/>
      <c r="F116" s="29"/>
      <c r="G116" s="26"/>
      <c r="H116" s="26"/>
      <c r="I116" s="24"/>
      <c r="J116" s="24"/>
      <c r="K116" s="24"/>
      <c r="L116" s="24"/>
      <c r="M116" s="24"/>
      <c r="N116" s="25"/>
    </row>
    <row r="117" spans="2:14" x14ac:dyDescent="0.25">
      <c r="B117" s="24"/>
      <c r="C117" s="24"/>
      <c r="D117" s="24"/>
      <c r="E117" s="25"/>
      <c r="F117" s="29"/>
      <c r="G117" s="26"/>
      <c r="H117" s="26"/>
      <c r="I117" s="24"/>
      <c r="J117" s="24"/>
      <c r="K117" s="24"/>
      <c r="L117" s="24"/>
      <c r="M117" s="24"/>
      <c r="N117" s="25"/>
    </row>
    <row r="118" spans="2:14" x14ac:dyDescent="0.25">
      <c r="B118" s="24"/>
      <c r="C118" s="24"/>
      <c r="D118" s="24"/>
      <c r="E118" s="25"/>
      <c r="F118" s="29"/>
      <c r="G118" s="26"/>
      <c r="H118" s="26"/>
      <c r="I118" s="24"/>
      <c r="J118" s="24"/>
      <c r="K118" s="24"/>
      <c r="L118" s="24"/>
      <c r="M118" s="24"/>
      <c r="N118" s="25"/>
    </row>
    <row r="119" spans="2:14" x14ac:dyDescent="0.25">
      <c r="B119" s="24"/>
      <c r="C119" s="24"/>
      <c r="D119" s="24"/>
      <c r="E119" s="25"/>
      <c r="F119" s="29"/>
      <c r="G119" s="26"/>
      <c r="H119" s="26"/>
      <c r="I119" s="24"/>
      <c r="J119" s="24"/>
      <c r="K119" s="24"/>
      <c r="L119" s="24"/>
      <c r="M119" s="24"/>
      <c r="N119" s="25"/>
    </row>
    <row r="120" spans="2:14" x14ac:dyDescent="0.25">
      <c r="B120" s="24"/>
      <c r="C120" s="24"/>
      <c r="D120" s="24"/>
      <c r="E120" s="25"/>
      <c r="F120" s="29"/>
      <c r="G120" s="26"/>
      <c r="H120" s="26"/>
      <c r="I120" s="24"/>
      <c r="J120" s="24"/>
      <c r="K120" s="24"/>
      <c r="L120" s="24"/>
      <c r="M120" s="24"/>
      <c r="N120" s="25"/>
    </row>
    <row r="121" spans="2:14" x14ac:dyDescent="0.25">
      <c r="B121" s="24"/>
      <c r="C121" s="24"/>
      <c r="D121" s="24"/>
      <c r="E121" s="25"/>
      <c r="F121" s="29"/>
      <c r="G121" s="26"/>
      <c r="H121" s="26"/>
      <c r="I121" s="24"/>
      <c r="J121" s="24"/>
      <c r="K121" s="24"/>
      <c r="L121" s="24"/>
      <c r="M121" s="24"/>
      <c r="N121" s="25"/>
    </row>
    <row r="122" spans="2:14" x14ac:dyDescent="0.25">
      <c r="B122" s="24"/>
      <c r="C122" s="24"/>
      <c r="D122" s="24"/>
      <c r="E122" s="25"/>
      <c r="F122" s="29"/>
      <c r="G122" s="26"/>
      <c r="H122" s="26"/>
      <c r="I122" s="24"/>
      <c r="J122" s="24"/>
      <c r="K122" s="24"/>
      <c r="L122" s="24"/>
      <c r="M122" s="24"/>
      <c r="N122" s="25"/>
    </row>
    <row r="123" spans="2:14" x14ac:dyDescent="0.25">
      <c r="B123" s="24"/>
      <c r="C123" s="24"/>
      <c r="D123" s="24"/>
      <c r="E123" s="25"/>
      <c r="F123" s="29"/>
      <c r="G123" s="26"/>
      <c r="H123" s="26"/>
      <c r="I123" s="24"/>
      <c r="J123" s="24"/>
      <c r="K123" s="24"/>
      <c r="L123" s="24"/>
      <c r="M123" s="24"/>
      <c r="N123" s="25"/>
    </row>
    <row r="124" spans="2:14" x14ac:dyDescent="0.25">
      <c r="B124" s="24"/>
      <c r="C124" s="24"/>
      <c r="D124" s="24"/>
      <c r="E124" s="25"/>
      <c r="F124" s="29"/>
      <c r="G124" s="26"/>
      <c r="H124" s="26"/>
      <c r="I124" s="24"/>
      <c r="J124" s="24"/>
      <c r="K124" s="24"/>
      <c r="L124" s="24"/>
      <c r="M124" s="24"/>
      <c r="N124" s="25"/>
    </row>
    <row r="125" spans="2:14" x14ac:dyDescent="0.25">
      <c r="B125" s="24"/>
      <c r="C125" s="24"/>
      <c r="D125" s="24"/>
      <c r="E125" s="25"/>
      <c r="F125" s="29"/>
      <c r="G125" s="26"/>
      <c r="H125" s="26"/>
      <c r="I125" s="24"/>
      <c r="J125" s="24"/>
      <c r="K125" s="24"/>
      <c r="L125" s="24"/>
      <c r="M125" s="24"/>
      <c r="N125" s="25"/>
    </row>
    <row r="126" spans="2:14" x14ac:dyDescent="0.25">
      <c r="B126" s="24"/>
      <c r="C126" s="24"/>
      <c r="D126" s="24"/>
      <c r="E126" s="25"/>
      <c r="F126" s="29"/>
      <c r="G126" s="26"/>
      <c r="H126" s="26"/>
      <c r="I126" s="24"/>
      <c r="J126" s="24"/>
      <c r="K126" s="24"/>
      <c r="L126" s="24"/>
      <c r="M126" s="24"/>
      <c r="N126" s="25"/>
    </row>
    <row r="127" spans="2:14" x14ac:dyDescent="0.25">
      <c r="B127" s="24"/>
      <c r="C127" s="24"/>
      <c r="D127" s="24"/>
      <c r="E127" s="25"/>
      <c r="F127" s="29"/>
      <c r="G127" s="26"/>
      <c r="H127" s="26"/>
      <c r="I127" s="24"/>
      <c r="J127" s="24"/>
      <c r="K127" s="24"/>
      <c r="L127" s="24"/>
      <c r="M127" s="24"/>
      <c r="N127" s="25"/>
    </row>
    <row r="128" spans="2:14" x14ac:dyDescent="0.25">
      <c r="B128" s="24"/>
      <c r="C128" s="24"/>
      <c r="D128" s="24"/>
      <c r="E128" s="25"/>
      <c r="F128" s="29"/>
      <c r="G128" s="26"/>
      <c r="H128" s="26"/>
      <c r="I128" s="24"/>
      <c r="J128" s="24"/>
      <c r="K128" s="24"/>
      <c r="L128" s="24"/>
      <c r="M128" s="24"/>
      <c r="N128" s="25"/>
    </row>
    <row r="129" spans="2:14" x14ac:dyDescent="0.25">
      <c r="B129" s="24"/>
      <c r="C129" s="24"/>
      <c r="D129" s="24"/>
      <c r="E129" s="25"/>
      <c r="F129" s="29"/>
      <c r="G129" s="26"/>
      <c r="H129" s="26"/>
      <c r="I129" s="24"/>
      <c r="J129" s="24"/>
      <c r="K129" s="24"/>
      <c r="L129" s="24"/>
      <c r="M129" s="24"/>
      <c r="N129" s="25"/>
    </row>
    <row r="130" spans="2:14" x14ac:dyDescent="0.25">
      <c r="B130" s="24"/>
      <c r="C130" s="24"/>
      <c r="D130" s="24"/>
      <c r="E130" s="25"/>
      <c r="F130" s="29"/>
      <c r="G130" s="26"/>
      <c r="H130" s="26"/>
      <c r="I130" s="24"/>
      <c r="J130" s="24"/>
      <c r="K130" s="24"/>
      <c r="L130" s="24"/>
      <c r="M130" s="24"/>
      <c r="N130" s="25"/>
    </row>
    <row r="131" spans="2:14" x14ac:dyDescent="0.25">
      <c r="B131" s="24"/>
      <c r="C131" s="24"/>
      <c r="D131" s="24"/>
      <c r="E131" s="25"/>
      <c r="F131" s="29"/>
      <c r="G131" s="26"/>
      <c r="H131" s="26"/>
      <c r="I131" s="24"/>
      <c r="J131" s="24"/>
      <c r="K131" s="24"/>
      <c r="L131" s="24"/>
      <c r="M131" s="24"/>
      <c r="N131" s="25"/>
    </row>
    <row r="132" spans="2:14" x14ac:dyDescent="0.25">
      <c r="B132" s="24"/>
      <c r="C132" s="24"/>
      <c r="D132" s="24"/>
      <c r="E132" s="25"/>
      <c r="F132" s="29"/>
      <c r="G132" s="26"/>
      <c r="H132" s="26"/>
      <c r="I132" s="24"/>
      <c r="J132" s="24"/>
      <c r="K132" s="24"/>
      <c r="L132" s="24"/>
      <c r="M132" s="24"/>
      <c r="N132" s="25"/>
    </row>
    <row r="133" spans="2:14" x14ac:dyDescent="0.25">
      <c r="B133" s="24"/>
      <c r="C133" s="24"/>
      <c r="D133" s="24"/>
      <c r="E133" s="25"/>
      <c r="F133" s="29"/>
      <c r="G133" s="26"/>
      <c r="H133" s="26"/>
      <c r="I133" s="24"/>
      <c r="J133" s="24"/>
      <c r="K133" s="24"/>
      <c r="L133" s="24"/>
      <c r="M133" s="24"/>
      <c r="N133" s="25"/>
    </row>
    <row r="134" spans="2:14" x14ac:dyDescent="0.25">
      <c r="B134" s="24"/>
      <c r="C134" s="24"/>
      <c r="D134" s="24"/>
      <c r="E134" s="25"/>
      <c r="F134" s="29"/>
      <c r="G134" s="26"/>
      <c r="H134" s="26"/>
      <c r="I134" s="24"/>
      <c r="J134" s="24"/>
      <c r="K134" s="24"/>
      <c r="L134" s="24"/>
      <c r="M134" s="24"/>
      <c r="N134" s="25"/>
    </row>
    <row r="135" spans="2:14" x14ac:dyDescent="0.25">
      <c r="B135" s="24"/>
      <c r="C135" s="24"/>
      <c r="D135" s="24"/>
      <c r="E135" s="25"/>
      <c r="F135" s="29"/>
      <c r="G135" s="26"/>
      <c r="H135" s="26"/>
      <c r="I135" s="24"/>
      <c r="J135" s="24"/>
      <c r="K135" s="24"/>
      <c r="L135" s="24"/>
      <c r="M135" s="24"/>
      <c r="N135" s="25"/>
    </row>
    <row r="136" spans="2:14" x14ac:dyDescent="0.25">
      <c r="B136" s="24"/>
      <c r="C136" s="24"/>
      <c r="D136" s="24"/>
      <c r="E136" s="25"/>
      <c r="F136" s="29"/>
      <c r="G136" s="26"/>
      <c r="H136" s="26"/>
      <c r="I136" s="24"/>
      <c r="J136" s="24"/>
      <c r="K136" s="24"/>
      <c r="L136" s="24"/>
      <c r="M136" s="24"/>
      <c r="N136" s="25"/>
    </row>
    <row r="137" spans="2:14" x14ac:dyDescent="0.25">
      <c r="B137" s="24"/>
      <c r="C137" s="24"/>
      <c r="D137" s="24"/>
      <c r="E137" s="25"/>
      <c r="F137" s="29"/>
      <c r="G137" s="26"/>
      <c r="H137" s="26"/>
      <c r="I137" s="24"/>
      <c r="J137" s="24"/>
      <c r="K137" s="24"/>
      <c r="L137" s="24"/>
      <c r="M137" s="24"/>
      <c r="N137" s="25"/>
    </row>
    <row r="138" spans="2:14" x14ac:dyDescent="0.25">
      <c r="B138" s="24"/>
      <c r="C138" s="24"/>
      <c r="D138" s="24"/>
      <c r="E138" s="25"/>
      <c r="F138" s="29"/>
      <c r="G138" s="26"/>
      <c r="H138" s="26"/>
      <c r="I138" s="24"/>
      <c r="J138" s="24"/>
      <c r="K138" s="24"/>
      <c r="L138" s="24"/>
      <c r="M138" s="24"/>
      <c r="N138" s="25"/>
    </row>
    <row r="139" spans="2:14" x14ac:dyDescent="0.25">
      <c r="B139" s="24"/>
      <c r="C139" s="24"/>
      <c r="D139" s="24"/>
      <c r="E139" s="25"/>
      <c r="F139" s="29"/>
      <c r="G139" s="26"/>
      <c r="H139" s="26"/>
      <c r="I139" s="24"/>
      <c r="J139" s="24"/>
      <c r="K139" s="24"/>
      <c r="L139" s="24"/>
      <c r="M139" s="24"/>
      <c r="N139" s="25"/>
    </row>
    <row r="140" spans="2:14" x14ac:dyDescent="0.25">
      <c r="B140" s="24"/>
      <c r="C140" s="24"/>
      <c r="D140" s="24"/>
      <c r="E140" s="25"/>
      <c r="F140" s="29"/>
      <c r="G140" s="26"/>
      <c r="H140" s="26"/>
      <c r="I140" s="24"/>
      <c r="J140" s="24"/>
      <c r="K140" s="24"/>
      <c r="L140" s="24"/>
      <c r="M140" s="24"/>
      <c r="N140" s="25"/>
    </row>
    <row r="141" spans="2:14" x14ac:dyDescent="0.25">
      <c r="B141" s="24"/>
      <c r="C141" s="24"/>
      <c r="D141" s="24"/>
      <c r="E141" s="25"/>
      <c r="F141" s="29"/>
      <c r="G141" s="26"/>
      <c r="H141" s="26"/>
      <c r="I141" s="24"/>
      <c r="J141" s="24"/>
      <c r="K141" s="24"/>
      <c r="L141" s="24"/>
      <c r="M141" s="24"/>
      <c r="N141" s="25"/>
    </row>
    <row r="142" spans="2:14" x14ac:dyDescent="0.25">
      <c r="B142" s="24"/>
      <c r="C142" s="24"/>
      <c r="D142" s="24"/>
      <c r="E142" s="25"/>
      <c r="F142" s="29"/>
      <c r="G142" s="26"/>
      <c r="H142" s="26"/>
      <c r="I142" s="24"/>
      <c r="J142" s="24"/>
      <c r="K142" s="24"/>
      <c r="L142" s="24"/>
      <c r="M142" s="24"/>
      <c r="N142" s="25"/>
    </row>
    <row r="143" spans="2:14" x14ac:dyDescent="0.25">
      <c r="B143" s="24"/>
      <c r="C143" s="24"/>
      <c r="D143" s="24"/>
      <c r="E143" s="25"/>
      <c r="F143" s="29"/>
      <c r="G143" s="26"/>
      <c r="H143" s="26"/>
      <c r="I143" s="24"/>
      <c r="J143" s="24"/>
      <c r="K143" s="24"/>
      <c r="L143" s="24"/>
      <c r="M143" s="24"/>
      <c r="N143" s="25"/>
    </row>
    <row r="144" spans="2:14" x14ac:dyDescent="0.25">
      <c r="B144" s="24"/>
      <c r="C144" s="24"/>
      <c r="D144" s="24"/>
      <c r="E144" s="25"/>
      <c r="F144" s="29"/>
      <c r="G144" s="26"/>
      <c r="H144" s="26"/>
      <c r="I144" s="24"/>
      <c r="J144" s="24"/>
      <c r="K144" s="24"/>
      <c r="L144" s="24"/>
      <c r="M144" s="24"/>
      <c r="N144" s="25"/>
    </row>
    <row r="145" spans="2:14" x14ac:dyDescent="0.25">
      <c r="B145" s="24"/>
      <c r="C145" s="24"/>
      <c r="D145" s="24"/>
      <c r="E145" s="25"/>
      <c r="F145" s="29"/>
      <c r="G145" s="26"/>
      <c r="H145" s="26"/>
      <c r="I145" s="24"/>
      <c r="J145" s="24"/>
      <c r="K145" s="24"/>
      <c r="L145" s="24"/>
      <c r="M145" s="24"/>
      <c r="N145" s="25"/>
    </row>
    <row r="146" spans="2:14" x14ac:dyDescent="0.25">
      <c r="B146" s="24"/>
      <c r="C146" s="24"/>
      <c r="D146" s="24"/>
      <c r="E146" s="25"/>
      <c r="F146" s="29"/>
      <c r="G146" s="26"/>
      <c r="H146" s="26"/>
      <c r="I146" s="24"/>
      <c r="J146" s="24"/>
      <c r="K146" s="24"/>
      <c r="L146" s="24"/>
      <c r="M146" s="24"/>
      <c r="N146" s="25"/>
    </row>
    <row r="147" spans="2:14" x14ac:dyDescent="0.25">
      <c r="B147" s="24"/>
      <c r="C147" s="24"/>
      <c r="D147" s="24"/>
      <c r="E147" s="25"/>
      <c r="F147" s="29"/>
      <c r="G147" s="26"/>
      <c r="H147" s="26"/>
      <c r="I147" s="24"/>
      <c r="J147" s="24"/>
      <c r="K147" s="24"/>
      <c r="L147" s="24"/>
      <c r="M147" s="24"/>
      <c r="N147" s="25"/>
    </row>
    <row r="148" spans="2:14" x14ac:dyDescent="0.25">
      <c r="B148" s="24"/>
      <c r="C148" s="24"/>
      <c r="D148" s="24"/>
      <c r="E148" s="25"/>
      <c r="F148" s="29"/>
      <c r="G148" s="26"/>
      <c r="H148" s="26"/>
      <c r="I148" s="24"/>
      <c r="J148" s="24"/>
      <c r="K148" s="24"/>
      <c r="L148" s="24"/>
      <c r="M148" s="24"/>
      <c r="N148" s="25"/>
    </row>
    <row r="149" spans="2:14" x14ac:dyDescent="0.25">
      <c r="B149" s="24"/>
      <c r="C149" s="24"/>
      <c r="D149" s="24"/>
      <c r="E149" s="25"/>
      <c r="F149" s="29"/>
      <c r="G149" s="26"/>
      <c r="H149" s="26"/>
      <c r="I149" s="24"/>
      <c r="J149" s="24"/>
      <c r="K149" s="24"/>
      <c r="L149" s="24"/>
      <c r="M149" s="24"/>
      <c r="N149" s="25"/>
    </row>
    <row r="150" spans="2:14" x14ac:dyDescent="0.25">
      <c r="B150" s="24"/>
      <c r="C150" s="24"/>
      <c r="D150" s="24"/>
      <c r="E150" s="25"/>
      <c r="F150" s="29"/>
      <c r="G150" s="26"/>
      <c r="H150" s="26"/>
      <c r="I150" s="24"/>
      <c r="J150" s="24"/>
      <c r="K150" s="24"/>
      <c r="L150" s="24"/>
      <c r="M150" s="24"/>
      <c r="N150" s="25"/>
    </row>
    <row r="151" spans="2:14" x14ac:dyDescent="0.25">
      <c r="B151" s="24"/>
      <c r="C151" s="24"/>
      <c r="D151" s="24"/>
      <c r="E151" s="25"/>
      <c r="F151" s="29"/>
      <c r="G151" s="26"/>
      <c r="H151" s="26"/>
      <c r="I151" s="24"/>
      <c r="J151" s="24"/>
      <c r="K151" s="24"/>
      <c r="L151" s="24"/>
      <c r="M151" s="24"/>
      <c r="N151" s="25"/>
    </row>
    <row r="152" spans="2:14" x14ac:dyDescent="0.25">
      <c r="B152" s="24"/>
      <c r="C152" s="24"/>
      <c r="D152" s="24"/>
      <c r="E152" s="25"/>
      <c r="F152" s="29"/>
      <c r="G152" s="26"/>
      <c r="H152" s="26"/>
      <c r="I152" s="24"/>
      <c r="J152" s="24"/>
      <c r="K152" s="24"/>
      <c r="L152" s="24"/>
      <c r="M152" s="24"/>
      <c r="N152" s="25"/>
    </row>
    <row r="153" spans="2:14" x14ac:dyDescent="0.25">
      <c r="B153" s="24"/>
      <c r="C153" s="24"/>
      <c r="D153" s="24"/>
      <c r="E153" s="25"/>
      <c r="F153" s="29"/>
      <c r="G153" s="26"/>
      <c r="H153" s="26"/>
      <c r="I153" s="24"/>
      <c r="J153" s="24"/>
      <c r="K153" s="24"/>
      <c r="L153" s="24"/>
      <c r="M153" s="24"/>
      <c r="N153" s="25"/>
    </row>
    <row r="154" spans="2:14" x14ac:dyDescent="0.25">
      <c r="B154" s="24"/>
      <c r="C154" s="24"/>
      <c r="D154" s="24"/>
      <c r="E154" s="25"/>
      <c r="F154" s="29"/>
      <c r="G154" s="26"/>
      <c r="H154" s="26"/>
      <c r="I154" s="24"/>
      <c r="J154" s="24"/>
      <c r="K154" s="24"/>
      <c r="L154" s="24"/>
      <c r="M154" s="24"/>
      <c r="N154" s="25"/>
    </row>
    <row r="155" spans="2:14" x14ac:dyDescent="0.25">
      <c r="B155" s="24"/>
      <c r="C155" s="24"/>
      <c r="D155" s="24"/>
      <c r="E155" s="25"/>
      <c r="F155" s="29"/>
      <c r="G155" s="26"/>
      <c r="H155" s="26"/>
      <c r="I155" s="24"/>
      <c r="J155" s="24"/>
      <c r="K155" s="24"/>
      <c r="L155" s="24"/>
      <c r="M155" s="24"/>
      <c r="N155" s="25"/>
    </row>
    <row r="156" spans="2:14" x14ac:dyDescent="0.25">
      <c r="B156" s="24"/>
      <c r="C156" s="24"/>
      <c r="D156" s="24"/>
      <c r="E156" s="25"/>
      <c r="F156" s="29"/>
      <c r="G156" s="26"/>
      <c r="H156" s="26"/>
      <c r="I156" s="24"/>
      <c r="J156" s="24"/>
      <c r="K156" s="24"/>
      <c r="L156" s="24"/>
      <c r="M156" s="24"/>
      <c r="N156" s="25"/>
    </row>
    <row r="157" spans="2:14" x14ac:dyDescent="0.25">
      <c r="B157" s="24"/>
      <c r="C157" s="24"/>
      <c r="D157" s="24"/>
      <c r="E157" s="25"/>
      <c r="F157" s="29"/>
      <c r="G157" s="26"/>
      <c r="H157" s="26"/>
      <c r="I157" s="24"/>
      <c r="J157" s="24"/>
      <c r="K157" s="24"/>
      <c r="L157" s="24"/>
      <c r="M157" s="24"/>
      <c r="N157" s="25"/>
    </row>
    <row r="158" spans="2:14" x14ac:dyDescent="0.25">
      <c r="B158" s="24"/>
      <c r="C158" s="24"/>
      <c r="D158" s="24"/>
      <c r="E158" s="25"/>
      <c r="F158" s="29"/>
      <c r="G158" s="26"/>
      <c r="H158" s="26"/>
      <c r="I158" s="24"/>
      <c r="J158" s="24"/>
      <c r="K158" s="24"/>
      <c r="L158" s="24"/>
      <c r="M158" s="24"/>
      <c r="N158" s="25"/>
    </row>
    <row r="159" spans="2:14" x14ac:dyDescent="0.25">
      <c r="B159" s="24"/>
      <c r="C159" s="24"/>
      <c r="D159" s="24"/>
      <c r="E159" s="25"/>
      <c r="F159" s="29"/>
      <c r="G159" s="26"/>
      <c r="H159" s="26"/>
      <c r="I159" s="24"/>
      <c r="J159" s="24"/>
      <c r="K159" s="24"/>
      <c r="L159" s="24"/>
      <c r="M159" s="24"/>
      <c r="N159" s="25"/>
    </row>
    <row r="160" spans="2:14" x14ac:dyDescent="0.25">
      <c r="B160" s="24"/>
      <c r="C160" s="24"/>
      <c r="D160" s="24"/>
      <c r="E160" s="25"/>
      <c r="F160" s="29"/>
      <c r="G160" s="26"/>
      <c r="H160" s="26"/>
      <c r="I160" s="24"/>
      <c r="J160" s="24"/>
      <c r="K160" s="24"/>
      <c r="L160" s="24"/>
      <c r="M160" s="24"/>
      <c r="N160" s="25"/>
    </row>
    <row r="161" spans="2:14" x14ac:dyDescent="0.25">
      <c r="B161" s="24"/>
      <c r="C161" s="24"/>
      <c r="D161" s="24"/>
      <c r="E161" s="25"/>
      <c r="F161" s="29"/>
      <c r="G161" s="26"/>
      <c r="H161" s="26"/>
      <c r="I161" s="24"/>
      <c r="J161" s="24"/>
      <c r="K161" s="24"/>
      <c r="L161" s="24"/>
      <c r="M161" s="24"/>
      <c r="N161" s="25"/>
    </row>
    <row r="162" spans="2:14" x14ac:dyDescent="0.25">
      <c r="B162" s="24"/>
      <c r="C162" s="24"/>
      <c r="D162" s="24"/>
      <c r="E162" s="25"/>
      <c r="F162" s="29"/>
      <c r="G162" s="26"/>
      <c r="H162" s="26"/>
      <c r="I162" s="24"/>
      <c r="J162" s="24"/>
      <c r="K162" s="24"/>
      <c r="L162" s="24"/>
      <c r="M162" s="24"/>
      <c r="N162" s="25"/>
    </row>
    <row r="163" spans="2:14" x14ac:dyDescent="0.25">
      <c r="B163" s="24"/>
      <c r="C163" s="24"/>
      <c r="D163" s="24"/>
      <c r="E163" s="25"/>
      <c r="F163" s="29"/>
      <c r="G163" s="26"/>
      <c r="H163" s="26"/>
      <c r="I163" s="24"/>
      <c r="J163" s="24"/>
      <c r="K163" s="24"/>
      <c r="L163" s="24"/>
      <c r="M163" s="24"/>
      <c r="N163" s="25"/>
    </row>
    <row r="164" spans="2:14" x14ac:dyDescent="0.25">
      <c r="B164" s="24"/>
      <c r="C164" s="24"/>
      <c r="D164" s="24"/>
      <c r="E164" s="25"/>
      <c r="F164" s="29"/>
      <c r="G164" s="26"/>
      <c r="H164" s="26"/>
      <c r="I164" s="24"/>
      <c r="J164" s="24"/>
      <c r="K164" s="24"/>
      <c r="L164" s="24"/>
      <c r="M164" s="24"/>
      <c r="N164" s="25"/>
    </row>
    <row r="165" spans="2:14" x14ac:dyDescent="0.25">
      <c r="B165" s="24"/>
      <c r="C165" s="24"/>
      <c r="D165" s="24"/>
      <c r="E165" s="25"/>
      <c r="F165" s="29"/>
      <c r="G165" s="26"/>
      <c r="H165" s="26"/>
      <c r="I165" s="24"/>
      <c r="J165" s="24"/>
      <c r="K165" s="24"/>
      <c r="L165" s="24"/>
      <c r="M165" s="24"/>
      <c r="N165" s="25"/>
    </row>
    <row r="166" spans="2:14" x14ac:dyDescent="0.25">
      <c r="B166" s="24"/>
      <c r="C166" s="24"/>
      <c r="D166" s="24"/>
      <c r="E166" s="25"/>
      <c r="F166" s="29"/>
      <c r="G166" s="26"/>
      <c r="H166" s="26"/>
      <c r="I166" s="24"/>
      <c r="J166" s="24"/>
      <c r="K166" s="24"/>
      <c r="L166" s="24"/>
      <c r="M166" s="24"/>
      <c r="N166" s="25"/>
    </row>
    <row r="167" spans="2:14" x14ac:dyDescent="0.25">
      <c r="B167" s="24"/>
      <c r="C167" s="24"/>
      <c r="D167" s="24"/>
      <c r="E167" s="25"/>
      <c r="F167" s="29"/>
      <c r="G167" s="26"/>
      <c r="H167" s="26"/>
      <c r="I167" s="24"/>
      <c r="J167" s="24"/>
      <c r="K167" s="24"/>
      <c r="L167" s="24"/>
      <c r="M167" s="24"/>
      <c r="N167" s="25"/>
    </row>
    <row r="168" spans="2:14" x14ac:dyDescent="0.25">
      <c r="B168" s="24"/>
      <c r="C168" s="24"/>
      <c r="D168" s="24"/>
      <c r="E168" s="25"/>
      <c r="F168" s="29"/>
      <c r="G168" s="26"/>
      <c r="H168" s="26"/>
      <c r="I168" s="24"/>
      <c r="J168" s="24"/>
      <c r="K168" s="24"/>
      <c r="L168" s="24"/>
      <c r="M168" s="24"/>
      <c r="N168" s="25"/>
    </row>
    <row r="169" spans="2:14" x14ac:dyDescent="0.25">
      <c r="B169" s="24"/>
      <c r="C169" s="24"/>
      <c r="D169" s="24"/>
      <c r="E169" s="25"/>
      <c r="F169" s="29"/>
      <c r="G169" s="26"/>
      <c r="H169" s="26"/>
      <c r="I169" s="24"/>
      <c r="J169" s="24"/>
      <c r="K169" s="24"/>
      <c r="L169" s="24"/>
      <c r="M169" s="24"/>
      <c r="N169" s="25"/>
    </row>
    <row r="170" spans="2:14" x14ac:dyDescent="0.25">
      <c r="B170" s="24"/>
      <c r="C170" s="24"/>
      <c r="D170" s="24"/>
      <c r="E170" s="25"/>
      <c r="F170" s="29"/>
      <c r="G170" s="26"/>
      <c r="H170" s="26"/>
      <c r="I170" s="24"/>
      <c r="J170" s="24"/>
      <c r="K170" s="24"/>
      <c r="L170" s="24"/>
      <c r="M170" s="24"/>
      <c r="N170" s="25"/>
    </row>
    <row r="171" spans="2:14" x14ac:dyDescent="0.25">
      <c r="B171" s="24"/>
      <c r="C171" s="24"/>
      <c r="D171" s="24"/>
      <c r="E171" s="25"/>
      <c r="F171" s="29"/>
      <c r="G171" s="26"/>
      <c r="H171" s="26"/>
      <c r="I171" s="24"/>
      <c r="J171" s="24"/>
      <c r="K171" s="24"/>
      <c r="L171" s="24"/>
      <c r="M171" s="24"/>
      <c r="N171" s="25"/>
    </row>
    <row r="172" spans="2:14" x14ac:dyDescent="0.25">
      <c r="B172" s="24"/>
      <c r="C172" s="24"/>
      <c r="D172" s="24"/>
      <c r="E172" s="25"/>
      <c r="F172" s="29"/>
      <c r="G172" s="26"/>
      <c r="H172" s="26"/>
      <c r="I172" s="24"/>
      <c r="J172" s="24"/>
      <c r="K172" s="24"/>
      <c r="L172" s="24"/>
      <c r="M172" s="24"/>
      <c r="N172" s="25"/>
    </row>
    <row r="173" spans="2:14" x14ac:dyDescent="0.25">
      <c r="B173" s="24"/>
      <c r="C173" s="24"/>
      <c r="D173" s="24"/>
      <c r="E173" s="25"/>
      <c r="F173" s="29"/>
      <c r="G173" s="26"/>
      <c r="H173" s="26"/>
      <c r="I173" s="24"/>
      <c r="J173" s="24"/>
      <c r="K173" s="24"/>
      <c r="L173" s="24"/>
      <c r="M173" s="24"/>
      <c r="N173" s="25"/>
    </row>
    <row r="174" spans="2:14" x14ac:dyDescent="0.25">
      <c r="B174" s="24"/>
      <c r="C174" s="24"/>
      <c r="D174" s="24"/>
      <c r="E174" s="25"/>
      <c r="F174" s="29"/>
      <c r="G174" s="26"/>
      <c r="H174" s="26"/>
      <c r="I174" s="24"/>
      <c r="J174" s="24"/>
      <c r="K174" s="24"/>
      <c r="L174" s="24"/>
      <c r="M174" s="24"/>
      <c r="N174" s="25"/>
    </row>
    <row r="175" spans="2:14" x14ac:dyDescent="0.25">
      <c r="B175" s="24"/>
      <c r="C175" s="24"/>
      <c r="D175" s="24"/>
      <c r="E175" s="25"/>
      <c r="F175" s="29"/>
      <c r="G175" s="26"/>
      <c r="H175" s="26"/>
      <c r="I175" s="24"/>
      <c r="J175" s="24"/>
      <c r="K175" s="24"/>
      <c r="L175" s="24"/>
      <c r="M175" s="24"/>
      <c r="N175" s="25"/>
    </row>
    <row r="176" spans="2:14" x14ac:dyDescent="0.25">
      <c r="B176" s="24"/>
      <c r="C176" s="24"/>
      <c r="D176" s="24"/>
      <c r="E176" s="25"/>
      <c r="F176" s="29"/>
      <c r="G176" s="26"/>
      <c r="H176" s="26"/>
      <c r="I176" s="24"/>
      <c r="J176" s="24"/>
      <c r="K176" s="24"/>
      <c r="L176" s="24"/>
      <c r="M176" s="24"/>
      <c r="N176" s="25"/>
    </row>
    <row r="177" spans="2:14" x14ac:dyDescent="0.25">
      <c r="B177" s="24"/>
      <c r="C177" s="24"/>
      <c r="D177" s="24"/>
      <c r="E177" s="25"/>
      <c r="F177" s="29"/>
      <c r="G177" s="26"/>
      <c r="H177" s="26"/>
      <c r="I177" s="24"/>
      <c r="J177" s="24"/>
      <c r="K177" s="24"/>
      <c r="L177" s="24"/>
      <c r="M177" s="24"/>
      <c r="N177" s="25"/>
    </row>
    <row r="178" spans="2:14" x14ac:dyDescent="0.25">
      <c r="B178" s="24"/>
      <c r="C178" s="24"/>
      <c r="D178" s="24"/>
      <c r="E178" s="25"/>
      <c r="F178" s="29"/>
      <c r="G178" s="26"/>
      <c r="H178" s="26"/>
      <c r="I178" s="24"/>
      <c r="J178" s="24"/>
      <c r="K178" s="24"/>
      <c r="L178" s="24"/>
      <c r="M178" s="24"/>
      <c r="N178" s="25"/>
    </row>
    <row r="179" spans="2:14" x14ac:dyDescent="0.25">
      <c r="B179" s="24"/>
      <c r="C179" s="24"/>
      <c r="D179" s="24"/>
      <c r="E179" s="25"/>
      <c r="F179" s="29"/>
      <c r="G179" s="26"/>
      <c r="H179" s="26"/>
      <c r="I179" s="24"/>
      <c r="J179" s="24"/>
      <c r="K179" s="24"/>
      <c r="L179" s="24"/>
      <c r="M179" s="24"/>
      <c r="N179" s="25"/>
    </row>
    <row r="180" spans="2:14" x14ac:dyDescent="0.25">
      <c r="B180" s="24"/>
      <c r="C180" s="24"/>
      <c r="D180" s="24"/>
      <c r="E180" s="25"/>
      <c r="F180" s="29"/>
      <c r="G180" s="26"/>
      <c r="H180" s="26"/>
      <c r="I180" s="24"/>
      <c r="J180" s="24"/>
      <c r="K180" s="24"/>
      <c r="L180" s="24"/>
      <c r="M180" s="24"/>
      <c r="N180" s="25"/>
    </row>
    <row r="181" spans="2:14" x14ac:dyDescent="0.25">
      <c r="B181" s="24"/>
      <c r="C181" s="24"/>
      <c r="D181" s="24"/>
      <c r="E181" s="25"/>
      <c r="F181" s="29"/>
      <c r="G181" s="26"/>
      <c r="H181" s="26"/>
      <c r="I181" s="24"/>
      <c r="J181" s="24"/>
      <c r="K181" s="24"/>
      <c r="L181" s="24"/>
      <c r="M181" s="24"/>
      <c r="N181" s="25"/>
    </row>
    <row r="182" spans="2:14" x14ac:dyDescent="0.25">
      <c r="B182" s="24"/>
      <c r="C182" s="24"/>
      <c r="D182" s="24"/>
      <c r="E182" s="25"/>
      <c r="F182" s="29"/>
      <c r="G182" s="26"/>
      <c r="H182" s="26"/>
      <c r="I182" s="24"/>
      <c r="J182" s="24"/>
      <c r="K182" s="24"/>
      <c r="L182" s="24"/>
      <c r="M182" s="24"/>
      <c r="N182" s="25"/>
    </row>
    <row r="183" spans="2:14" x14ac:dyDescent="0.25">
      <c r="B183" s="24"/>
      <c r="C183" s="24"/>
      <c r="D183" s="24"/>
      <c r="E183" s="25"/>
      <c r="F183" s="29"/>
      <c r="G183" s="26"/>
      <c r="H183" s="26"/>
      <c r="I183" s="24"/>
      <c r="J183" s="24"/>
      <c r="K183" s="24"/>
      <c r="L183" s="24"/>
      <c r="M183" s="24"/>
      <c r="N183" s="25"/>
    </row>
    <row r="184" spans="2:14" x14ac:dyDescent="0.25">
      <c r="B184" s="24"/>
      <c r="C184" s="24"/>
      <c r="D184" s="24"/>
      <c r="E184" s="25"/>
      <c r="F184" s="29"/>
      <c r="G184" s="26"/>
      <c r="H184" s="26"/>
      <c r="I184" s="24"/>
      <c r="J184" s="24"/>
      <c r="K184" s="24"/>
      <c r="L184" s="24"/>
      <c r="M184" s="24"/>
      <c r="N184" s="25"/>
    </row>
    <row r="185" spans="2:14" x14ac:dyDescent="0.25">
      <c r="B185" s="24"/>
      <c r="C185" s="24"/>
      <c r="D185" s="24"/>
      <c r="E185" s="25"/>
      <c r="F185" s="29"/>
      <c r="G185" s="26"/>
      <c r="H185" s="26"/>
      <c r="I185" s="24"/>
      <c r="J185" s="24"/>
      <c r="K185" s="24"/>
      <c r="L185" s="24"/>
      <c r="M185" s="24"/>
      <c r="N185" s="25"/>
    </row>
    <row r="186" spans="2:14" x14ac:dyDescent="0.25">
      <c r="B186" s="24"/>
      <c r="C186" s="24"/>
      <c r="D186" s="24"/>
      <c r="E186" s="25"/>
      <c r="F186" s="29"/>
      <c r="G186" s="26"/>
      <c r="H186" s="26"/>
      <c r="I186" s="24"/>
      <c r="J186" s="24"/>
      <c r="K186" s="24"/>
      <c r="L186" s="24"/>
      <c r="M186" s="24"/>
      <c r="N186" s="25"/>
    </row>
    <row r="187" spans="2:14" x14ac:dyDescent="0.25">
      <c r="B187" s="24"/>
      <c r="C187" s="24"/>
      <c r="D187" s="24"/>
      <c r="E187" s="25"/>
      <c r="F187" s="29"/>
      <c r="G187" s="26"/>
      <c r="H187" s="26"/>
      <c r="I187" s="24"/>
      <c r="J187" s="24"/>
      <c r="K187" s="24"/>
      <c r="L187" s="24"/>
      <c r="M187" s="24"/>
      <c r="N187" s="25"/>
    </row>
    <row r="188" spans="2:14" x14ac:dyDescent="0.25">
      <c r="B188" s="24"/>
      <c r="C188" s="24"/>
      <c r="D188" s="24"/>
      <c r="E188" s="25"/>
      <c r="F188" s="29"/>
      <c r="G188" s="26"/>
      <c r="H188" s="26"/>
      <c r="I188" s="24"/>
      <c r="J188" s="24"/>
      <c r="K188" s="24"/>
      <c r="L188" s="24"/>
      <c r="M188" s="24"/>
      <c r="N188" s="25"/>
    </row>
    <row r="189" spans="2:14" x14ac:dyDescent="0.25">
      <c r="B189" s="24"/>
      <c r="C189" s="24"/>
      <c r="D189" s="24"/>
      <c r="E189" s="25"/>
      <c r="F189" s="29"/>
      <c r="G189" s="26"/>
      <c r="H189" s="26"/>
      <c r="I189" s="24"/>
      <c r="J189" s="24"/>
      <c r="K189" s="24"/>
      <c r="L189" s="24"/>
      <c r="M189" s="24"/>
      <c r="N189" s="25"/>
    </row>
    <row r="190" spans="2:14" x14ac:dyDescent="0.25">
      <c r="B190" s="24"/>
      <c r="C190" s="24"/>
      <c r="D190" s="24"/>
      <c r="E190" s="25"/>
      <c r="F190" s="29"/>
      <c r="G190" s="26"/>
      <c r="H190" s="26"/>
      <c r="I190" s="24"/>
      <c r="J190" s="24"/>
      <c r="K190" s="24"/>
      <c r="L190" s="24"/>
      <c r="M190" s="24"/>
      <c r="N190" s="25"/>
    </row>
    <row r="191" spans="2:14" x14ac:dyDescent="0.25">
      <c r="B191" s="24"/>
      <c r="C191" s="24"/>
      <c r="D191" s="24"/>
      <c r="E191" s="25"/>
      <c r="F191" s="29"/>
      <c r="G191" s="26"/>
      <c r="H191" s="26"/>
      <c r="I191" s="24"/>
      <c r="J191" s="24"/>
      <c r="K191" s="24"/>
      <c r="L191" s="24"/>
      <c r="M191" s="24"/>
      <c r="N191" s="25"/>
    </row>
    <row r="192" spans="2:14" x14ac:dyDescent="0.25">
      <c r="B192" s="24"/>
      <c r="C192" s="24"/>
      <c r="D192" s="24"/>
      <c r="E192" s="25"/>
      <c r="F192" s="29"/>
      <c r="G192" s="26"/>
      <c r="H192" s="26"/>
      <c r="I192" s="24"/>
      <c r="J192" s="24"/>
      <c r="K192" s="24"/>
      <c r="L192" s="24"/>
      <c r="M192" s="24"/>
      <c r="N192" s="25"/>
    </row>
    <row r="193" spans="2:14" x14ac:dyDescent="0.25">
      <c r="B193" s="24"/>
      <c r="C193" s="24"/>
      <c r="D193" s="24"/>
      <c r="E193" s="25"/>
      <c r="F193" s="29"/>
      <c r="G193" s="26"/>
      <c r="H193" s="26"/>
      <c r="I193" s="24"/>
      <c r="J193" s="24"/>
      <c r="K193" s="24"/>
      <c r="L193" s="24"/>
      <c r="M193" s="24"/>
      <c r="N193" s="25"/>
    </row>
    <row r="194" spans="2:14" x14ac:dyDescent="0.25">
      <c r="B194" s="24"/>
      <c r="C194" s="24"/>
      <c r="D194" s="24"/>
      <c r="E194" s="25"/>
      <c r="F194" s="29"/>
      <c r="G194" s="26"/>
      <c r="H194" s="26"/>
      <c r="I194" s="24"/>
      <c r="J194" s="24"/>
      <c r="K194" s="24"/>
      <c r="L194" s="24"/>
      <c r="M194" s="24"/>
      <c r="N194" s="25"/>
    </row>
    <row r="195" spans="2:14" x14ac:dyDescent="0.25">
      <c r="B195" s="24"/>
      <c r="C195" s="24"/>
      <c r="D195" s="24"/>
      <c r="E195" s="25"/>
      <c r="F195" s="29"/>
      <c r="G195" s="26"/>
      <c r="H195" s="26"/>
      <c r="I195" s="24"/>
      <c r="J195" s="24"/>
      <c r="K195" s="24"/>
      <c r="L195" s="24"/>
      <c r="M195" s="24"/>
      <c r="N195" s="25"/>
    </row>
    <row r="196" spans="2:14" x14ac:dyDescent="0.25">
      <c r="B196" s="24"/>
      <c r="C196" s="24"/>
      <c r="D196" s="24"/>
      <c r="E196" s="25"/>
      <c r="F196" s="29"/>
      <c r="G196" s="26"/>
      <c r="H196" s="26"/>
      <c r="I196" s="24"/>
      <c r="J196" s="24"/>
      <c r="K196" s="24"/>
      <c r="L196" s="24"/>
      <c r="M196" s="24"/>
      <c r="N196" s="25"/>
    </row>
    <row r="197" spans="2:14" x14ac:dyDescent="0.25">
      <c r="B197" s="24"/>
      <c r="C197" s="24"/>
      <c r="D197" s="24"/>
      <c r="E197" s="25"/>
      <c r="F197" s="29"/>
      <c r="G197" s="26"/>
      <c r="H197" s="26"/>
      <c r="I197" s="24"/>
      <c r="J197" s="24"/>
      <c r="K197" s="24"/>
      <c r="L197" s="24"/>
      <c r="M197" s="24"/>
      <c r="N197" s="25"/>
    </row>
    <row r="198" spans="2:14" x14ac:dyDescent="0.25">
      <c r="B198" s="24"/>
      <c r="C198" s="24"/>
      <c r="D198" s="24"/>
      <c r="E198" s="25"/>
      <c r="F198" s="29"/>
      <c r="G198" s="26"/>
      <c r="H198" s="26"/>
      <c r="I198" s="24"/>
      <c r="J198" s="24"/>
      <c r="K198" s="24"/>
      <c r="L198" s="24"/>
      <c r="M198" s="24"/>
      <c r="N198" s="25"/>
    </row>
    <row r="199" spans="2:14" x14ac:dyDescent="0.25">
      <c r="B199" s="24"/>
      <c r="C199" s="24"/>
      <c r="D199" s="24"/>
      <c r="E199" s="25"/>
      <c r="F199" s="29"/>
      <c r="G199" s="26"/>
      <c r="H199" s="26"/>
      <c r="I199" s="24"/>
      <c r="J199" s="24"/>
      <c r="K199" s="24"/>
      <c r="L199" s="24"/>
      <c r="M199" s="24"/>
      <c r="N199" s="25"/>
    </row>
    <row r="200" spans="2:14" x14ac:dyDescent="0.25">
      <c r="B200" s="24"/>
      <c r="C200" s="24"/>
      <c r="D200" s="24"/>
      <c r="E200" s="25"/>
      <c r="F200" s="29"/>
      <c r="G200" s="26"/>
      <c r="H200" s="26"/>
      <c r="I200" s="24"/>
      <c r="J200" s="24"/>
      <c r="K200" s="24"/>
      <c r="L200" s="24"/>
      <c r="M200" s="24"/>
      <c r="N200" s="25"/>
    </row>
    <row r="201" spans="2:14" x14ac:dyDescent="0.25">
      <c r="B201" s="24"/>
      <c r="C201" s="24"/>
      <c r="D201" s="24"/>
      <c r="E201" s="25"/>
      <c r="F201" s="29"/>
      <c r="G201" s="26"/>
      <c r="H201" s="26"/>
      <c r="I201" s="24"/>
      <c r="J201" s="24"/>
      <c r="K201" s="24"/>
      <c r="L201" s="24"/>
      <c r="M201" s="24"/>
      <c r="N201" s="25"/>
    </row>
    <row r="202" spans="2:14" x14ac:dyDescent="0.25">
      <c r="B202" s="24"/>
      <c r="C202" s="24"/>
      <c r="D202" s="24"/>
      <c r="E202" s="25"/>
      <c r="F202" s="29"/>
      <c r="G202" s="26"/>
      <c r="H202" s="26"/>
      <c r="I202" s="24"/>
      <c r="J202" s="24"/>
      <c r="K202" s="24"/>
      <c r="L202" s="24"/>
      <c r="M202" s="24"/>
      <c r="N202" s="25"/>
    </row>
    <row r="203" spans="2:14" x14ac:dyDescent="0.25">
      <c r="B203" s="24"/>
      <c r="C203" s="24"/>
      <c r="D203" s="24"/>
      <c r="E203" s="25"/>
      <c r="F203" s="29"/>
      <c r="G203" s="26"/>
      <c r="H203" s="26"/>
      <c r="I203" s="24"/>
      <c r="J203" s="24"/>
      <c r="K203" s="24"/>
      <c r="L203" s="24"/>
      <c r="M203" s="24"/>
      <c r="N203" s="25"/>
    </row>
    <row r="204" spans="2:14" x14ac:dyDescent="0.25">
      <c r="B204" s="24"/>
      <c r="C204" s="24"/>
      <c r="D204" s="24"/>
      <c r="E204" s="25"/>
      <c r="F204" s="29"/>
      <c r="G204" s="26"/>
      <c r="H204" s="26"/>
      <c r="I204" s="24"/>
      <c r="J204" s="24"/>
      <c r="K204" s="24"/>
      <c r="L204" s="24"/>
      <c r="M204" s="24"/>
      <c r="N204" s="25"/>
    </row>
    <row r="205" spans="2:14" x14ac:dyDescent="0.25">
      <c r="B205" s="24"/>
      <c r="C205" s="24"/>
      <c r="D205" s="24"/>
      <c r="E205" s="25"/>
      <c r="F205" s="29"/>
      <c r="G205" s="26"/>
      <c r="H205" s="26"/>
      <c r="I205" s="24"/>
      <c r="J205" s="24"/>
      <c r="K205" s="24"/>
      <c r="L205" s="24"/>
      <c r="M205" s="24"/>
      <c r="N205" s="25"/>
    </row>
    <row r="206" spans="2:14" x14ac:dyDescent="0.25">
      <c r="B206" s="24"/>
      <c r="C206" s="24"/>
      <c r="D206" s="24"/>
      <c r="E206" s="25"/>
      <c r="F206" s="29"/>
      <c r="G206" s="26"/>
      <c r="H206" s="26"/>
      <c r="I206" s="24"/>
      <c r="J206" s="24"/>
      <c r="K206" s="24"/>
      <c r="L206" s="24"/>
      <c r="M206" s="24"/>
      <c r="N206" s="25"/>
    </row>
    <row r="207" spans="2:14" x14ac:dyDescent="0.25">
      <c r="B207" s="24"/>
      <c r="C207" s="24"/>
      <c r="D207" s="24"/>
      <c r="E207" s="25"/>
      <c r="F207" s="29"/>
      <c r="G207" s="26"/>
      <c r="H207" s="26"/>
      <c r="I207" s="24"/>
      <c r="J207" s="24"/>
      <c r="K207" s="24"/>
      <c r="L207" s="24"/>
      <c r="M207" s="24"/>
      <c r="N207" s="25"/>
    </row>
    <row r="208" spans="2:14" x14ac:dyDescent="0.25">
      <c r="B208" s="24"/>
      <c r="C208" s="24"/>
      <c r="D208" s="24"/>
      <c r="E208" s="25"/>
      <c r="F208" s="29"/>
      <c r="G208" s="26"/>
      <c r="H208" s="26"/>
      <c r="I208" s="24"/>
      <c r="J208" s="24"/>
      <c r="K208" s="24"/>
      <c r="L208" s="24"/>
      <c r="M208" s="24"/>
      <c r="N208" s="25"/>
    </row>
    <row r="209" spans="2:14" x14ac:dyDescent="0.25">
      <c r="B209" s="24"/>
      <c r="C209" s="24"/>
      <c r="D209" s="24"/>
      <c r="E209" s="25"/>
      <c r="F209" s="29"/>
      <c r="G209" s="26"/>
      <c r="H209" s="26"/>
      <c r="I209" s="24"/>
      <c r="J209" s="24"/>
      <c r="K209" s="24"/>
      <c r="L209" s="24"/>
      <c r="M209" s="24"/>
      <c r="N209" s="25"/>
    </row>
    <row r="210" spans="2:14" x14ac:dyDescent="0.25">
      <c r="B210" s="24"/>
      <c r="C210" s="24"/>
      <c r="D210" s="24"/>
      <c r="E210" s="25"/>
      <c r="F210" s="29"/>
      <c r="G210" s="26"/>
      <c r="H210" s="26"/>
      <c r="I210" s="24"/>
      <c r="J210" s="24"/>
      <c r="K210" s="24"/>
      <c r="L210" s="24"/>
      <c r="M210" s="24"/>
      <c r="N210" s="25"/>
    </row>
    <row r="211" spans="2:14" x14ac:dyDescent="0.25">
      <c r="B211" s="24"/>
      <c r="C211" s="24"/>
      <c r="D211" s="24"/>
      <c r="E211" s="25"/>
      <c r="F211" s="29"/>
      <c r="G211" s="26"/>
      <c r="H211" s="26"/>
      <c r="I211" s="24"/>
      <c r="J211" s="24"/>
      <c r="K211" s="24"/>
      <c r="L211" s="24"/>
      <c r="M211" s="24"/>
      <c r="N211" s="25"/>
    </row>
    <row r="212" spans="2:14" x14ac:dyDescent="0.25">
      <c r="B212" s="24"/>
      <c r="C212" s="24"/>
      <c r="D212" s="24"/>
      <c r="E212" s="25"/>
      <c r="F212" s="29"/>
      <c r="G212" s="26"/>
      <c r="H212" s="26"/>
      <c r="I212" s="24"/>
      <c r="J212" s="24"/>
      <c r="K212" s="24"/>
      <c r="L212" s="24"/>
      <c r="M212" s="24"/>
      <c r="N212" s="25"/>
    </row>
    <row r="213" spans="2:14" x14ac:dyDescent="0.25">
      <c r="B213" s="24"/>
      <c r="C213" s="24"/>
      <c r="D213" s="24"/>
      <c r="E213" s="25"/>
      <c r="F213" s="29"/>
      <c r="G213" s="26"/>
      <c r="H213" s="26"/>
      <c r="I213" s="24"/>
      <c r="J213" s="24"/>
      <c r="K213" s="24"/>
      <c r="L213" s="24"/>
      <c r="M213" s="24"/>
      <c r="N213" s="25"/>
    </row>
    <row r="214" spans="2:14" x14ac:dyDescent="0.25">
      <c r="B214" s="24"/>
      <c r="C214" s="24"/>
      <c r="D214" s="24"/>
      <c r="E214" s="25"/>
      <c r="F214" s="29"/>
      <c r="G214" s="26"/>
      <c r="H214" s="26"/>
      <c r="I214" s="24"/>
      <c r="J214" s="24"/>
      <c r="K214" s="24"/>
      <c r="L214" s="24"/>
      <c r="M214" s="24"/>
      <c r="N214" s="25"/>
    </row>
    <row r="215" spans="2:14" x14ac:dyDescent="0.25">
      <c r="B215" s="24"/>
      <c r="C215" s="24"/>
      <c r="D215" s="24"/>
      <c r="E215" s="25"/>
      <c r="F215" s="29"/>
      <c r="G215" s="26"/>
      <c r="H215" s="26"/>
      <c r="I215" s="24"/>
      <c r="J215" s="24"/>
      <c r="K215" s="24"/>
      <c r="L215" s="24"/>
      <c r="M215" s="24"/>
      <c r="N215" s="25"/>
    </row>
    <row r="216" spans="2:14" x14ac:dyDescent="0.25">
      <c r="B216" s="24"/>
      <c r="C216" s="24"/>
      <c r="D216" s="24"/>
      <c r="E216" s="25"/>
      <c r="F216" s="29"/>
      <c r="G216" s="26"/>
      <c r="H216" s="26"/>
      <c r="I216" s="24"/>
      <c r="J216" s="24"/>
      <c r="K216" s="24"/>
      <c r="L216" s="24"/>
      <c r="M216" s="24"/>
      <c r="N216" s="25"/>
    </row>
    <row r="217" spans="2:14" x14ac:dyDescent="0.25">
      <c r="B217" s="24"/>
      <c r="C217" s="24"/>
      <c r="D217" s="24"/>
      <c r="E217" s="25"/>
      <c r="F217" s="29"/>
      <c r="G217" s="26"/>
      <c r="H217" s="26"/>
      <c r="I217" s="24"/>
      <c r="J217" s="24"/>
      <c r="K217" s="24"/>
      <c r="L217" s="24"/>
      <c r="M217" s="24"/>
      <c r="N217" s="25"/>
    </row>
    <row r="218" spans="2:14" x14ac:dyDescent="0.25">
      <c r="B218" s="24"/>
      <c r="C218" s="24"/>
      <c r="D218" s="24"/>
      <c r="E218" s="25"/>
      <c r="F218" s="29"/>
      <c r="G218" s="26"/>
      <c r="H218" s="26"/>
      <c r="I218" s="24"/>
      <c r="J218" s="24"/>
      <c r="K218" s="24"/>
      <c r="L218" s="24"/>
      <c r="M218" s="24"/>
      <c r="N218" s="25"/>
    </row>
    <row r="219" spans="2:14" x14ac:dyDescent="0.25">
      <c r="B219" s="24"/>
      <c r="C219" s="24"/>
      <c r="D219" s="24"/>
      <c r="E219" s="25"/>
      <c r="F219" s="29"/>
      <c r="G219" s="26"/>
      <c r="H219" s="26"/>
      <c r="I219" s="24"/>
      <c r="J219" s="24"/>
      <c r="K219" s="24"/>
      <c r="L219" s="24"/>
      <c r="M219" s="24"/>
      <c r="N219" s="25"/>
    </row>
    <row r="220" spans="2:14" x14ac:dyDescent="0.25">
      <c r="B220" s="24"/>
      <c r="C220" s="24"/>
      <c r="D220" s="24"/>
      <c r="E220" s="25"/>
      <c r="F220" s="29"/>
      <c r="G220" s="26"/>
      <c r="H220" s="26"/>
      <c r="I220" s="24"/>
      <c r="J220" s="24"/>
      <c r="K220" s="24"/>
      <c r="L220" s="24"/>
      <c r="M220" s="24"/>
      <c r="N220" s="25"/>
    </row>
    <row r="221" spans="2:14" x14ac:dyDescent="0.25">
      <c r="B221" s="24"/>
      <c r="C221" s="24"/>
      <c r="D221" s="24"/>
      <c r="E221" s="25"/>
      <c r="F221" s="29"/>
      <c r="G221" s="26"/>
      <c r="H221" s="26"/>
      <c r="I221" s="24"/>
      <c r="J221" s="24"/>
      <c r="K221" s="24"/>
      <c r="L221" s="24"/>
      <c r="M221" s="24"/>
      <c r="N221" s="25"/>
    </row>
    <row r="222" spans="2:14" x14ac:dyDescent="0.25">
      <c r="B222" s="24"/>
      <c r="C222" s="24"/>
      <c r="D222" s="24"/>
      <c r="E222" s="25"/>
      <c r="F222" s="29"/>
      <c r="G222" s="26"/>
      <c r="H222" s="26"/>
      <c r="I222" s="24"/>
      <c r="J222" s="24"/>
      <c r="K222" s="24"/>
      <c r="L222" s="24"/>
      <c r="M222" s="24"/>
      <c r="N222" s="25"/>
    </row>
    <row r="223" spans="2:14" x14ac:dyDescent="0.25">
      <c r="B223" s="24"/>
      <c r="C223" s="24"/>
      <c r="D223" s="24"/>
      <c r="E223" s="25"/>
      <c r="F223" s="29"/>
      <c r="G223" s="26"/>
      <c r="H223" s="26"/>
      <c r="I223" s="24"/>
      <c r="J223" s="24"/>
      <c r="K223" s="24"/>
      <c r="L223" s="24"/>
      <c r="M223" s="24"/>
      <c r="N223" s="25"/>
    </row>
    <row r="224" spans="2:14" x14ac:dyDescent="0.25">
      <c r="B224" s="24"/>
      <c r="C224" s="24"/>
      <c r="D224" s="24"/>
      <c r="E224" s="25"/>
      <c r="F224" s="29"/>
      <c r="G224" s="26"/>
      <c r="H224" s="26"/>
      <c r="I224" s="24"/>
      <c r="J224" s="24"/>
      <c r="K224" s="24"/>
      <c r="L224" s="24"/>
      <c r="M224" s="24"/>
      <c r="N224" s="25"/>
    </row>
    <row r="225" spans="2:14" x14ac:dyDescent="0.25">
      <c r="B225" s="24"/>
      <c r="C225" s="24"/>
      <c r="D225" s="24"/>
      <c r="E225" s="25"/>
      <c r="F225" s="29"/>
      <c r="G225" s="26"/>
      <c r="H225" s="26"/>
      <c r="I225" s="24"/>
      <c r="J225" s="24"/>
      <c r="K225" s="24"/>
      <c r="L225" s="24"/>
      <c r="M225" s="24"/>
      <c r="N225" s="25"/>
    </row>
    <row r="226" spans="2:14" x14ac:dyDescent="0.25">
      <c r="B226" s="24"/>
      <c r="C226" s="24"/>
      <c r="D226" s="24"/>
      <c r="E226" s="25"/>
      <c r="F226" s="29"/>
      <c r="G226" s="26"/>
      <c r="H226" s="26"/>
      <c r="I226" s="24"/>
      <c r="J226" s="24"/>
      <c r="K226" s="24"/>
      <c r="L226" s="24"/>
      <c r="M226" s="24"/>
      <c r="N226" s="25"/>
    </row>
    <row r="227" spans="2:14" x14ac:dyDescent="0.25">
      <c r="B227" s="24"/>
      <c r="C227" s="24"/>
      <c r="D227" s="24"/>
      <c r="E227" s="25"/>
      <c r="F227" s="29"/>
      <c r="G227" s="26"/>
      <c r="H227" s="26"/>
      <c r="I227" s="24"/>
      <c r="J227" s="24"/>
      <c r="K227" s="24"/>
      <c r="L227" s="24"/>
      <c r="M227" s="24"/>
      <c r="N227" s="25"/>
    </row>
    <row r="228" spans="2:14" x14ac:dyDescent="0.25">
      <c r="B228" s="24"/>
      <c r="C228" s="24"/>
      <c r="D228" s="24"/>
      <c r="E228" s="25"/>
      <c r="F228" s="29"/>
      <c r="G228" s="26"/>
      <c r="H228" s="26"/>
      <c r="I228" s="24"/>
      <c r="J228" s="24"/>
      <c r="K228" s="24"/>
      <c r="L228" s="24"/>
      <c r="M228" s="24"/>
      <c r="N228" s="25"/>
    </row>
    <row r="229" spans="2:14" x14ac:dyDescent="0.25">
      <c r="B229" s="24"/>
      <c r="C229" s="24"/>
      <c r="D229" s="24"/>
      <c r="E229" s="25"/>
      <c r="F229" s="29"/>
      <c r="G229" s="26"/>
      <c r="H229" s="26"/>
      <c r="I229" s="24"/>
      <c r="J229" s="24"/>
      <c r="K229" s="24"/>
      <c r="L229" s="24"/>
      <c r="M229" s="24"/>
      <c r="N229" s="25"/>
    </row>
    <row r="230" spans="2:14" x14ac:dyDescent="0.25">
      <c r="B230" s="24"/>
      <c r="C230" s="24"/>
      <c r="D230" s="24"/>
      <c r="E230" s="25"/>
      <c r="F230" s="29"/>
      <c r="G230" s="26"/>
      <c r="H230" s="26"/>
      <c r="I230" s="24"/>
      <c r="J230" s="24"/>
      <c r="K230" s="24"/>
      <c r="L230" s="24"/>
      <c r="M230" s="24"/>
      <c r="N230" s="25"/>
    </row>
    <row r="231" spans="2:14" x14ac:dyDescent="0.25">
      <c r="B231" s="24"/>
      <c r="C231" s="24"/>
      <c r="D231" s="24"/>
      <c r="E231" s="25"/>
      <c r="F231" s="29"/>
      <c r="G231" s="26"/>
      <c r="H231" s="26"/>
      <c r="I231" s="24"/>
      <c r="J231" s="24"/>
      <c r="K231" s="24"/>
      <c r="L231" s="24"/>
      <c r="M231" s="24"/>
      <c r="N231" s="25"/>
    </row>
    <row r="232" spans="2:14" x14ac:dyDescent="0.25">
      <c r="B232" s="24"/>
      <c r="C232" s="24"/>
      <c r="D232" s="24"/>
      <c r="E232" s="25"/>
      <c r="F232" s="29"/>
      <c r="G232" s="26"/>
      <c r="H232" s="26"/>
      <c r="I232" s="24"/>
      <c r="J232" s="24"/>
      <c r="K232" s="24"/>
      <c r="L232" s="24"/>
      <c r="M232" s="24"/>
      <c r="N232" s="25"/>
    </row>
    <row r="233" spans="2:14" x14ac:dyDescent="0.25">
      <c r="B233" s="24"/>
      <c r="C233" s="24"/>
      <c r="D233" s="24"/>
      <c r="E233" s="25"/>
      <c r="F233" s="29"/>
      <c r="G233" s="26"/>
      <c r="H233" s="26"/>
      <c r="I233" s="24"/>
      <c r="J233" s="24"/>
      <c r="K233" s="24"/>
      <c r="L233" s="24"/>
      <c r="M233" s="24"/>
      <c r="N233" s="25"/>
    </row>
    <row r="234" spans="2:14" x14ac:dyDescent="0.25">
      <c r="B234" s="24"/>
      <c r="C234" s="24"/>
      <c r="D234" s="24"/>
      <c r="E234" s="25"/>
      <c r="F234" s="29"/>
      <c r="G234" s="26"/>
      <c r="H234" s="26"/>
      <c r="I234" s="24"/>
      <c r="J234" s="24"/>
      <c r="K234" s="24"/>
      <c r="L234" s="24"/>
      <c r="M234" s="24"/>
      <c r="N234" s="25"/>
    </row>
    <row r="235" spans="2:14" x14ac:dyDescent="0.25">
      <c r="B235" s="24"/>
      <c r="C235" s="24"/>
      <c r="D235" s="24"/>
      <c r="E235" s="25"/>
      <c r="F235" s="29"/>
      <c r="G235" s="26"/>
      <c r="H235" s="26"/>
      <c r="I235" s="24"/>
      <c r="J235" s="24"/>
      <c r="K235" s="24"/>
      <c r="L235" s="24"/>
      <c r="M235" s="24"/>
      <c r="N235" s="25"/>
    </row>
    <row r="236" spans="2:14" x14ac:dyDescent="0.25">
      <c r="B236" s="24"/>
      <c r="C236" s="24"/>
      <c r="D236" s="24"/>
      <c r="E236" s="25"/>
      <c r="F236" s="29"/>
      <c r="G236" s="26"/>
      <c r="H236" s="26"/>
      <c r="I236" s="24"/>
      <c r="J236" s="24"/>
      <c r="K236" s="24"/>
      <c r="L236" s="24"/>
      <c r="M236" s="24"/>
      <c r="N236" s="25"/>
    </row>
    <row r="237" spans="2:14" x14ac:dyDescent="0.25">
      <c r="B237" s="24"/>
      <c r="C237" s="24"/>
      <c r="D237" s="24"/>
      <c r="E237" s="25"/>
      <c r="F237" s="29"/>
      <c r="G237" s="26"/>
      <c r="H237" s="26"/>
      <c r="I237" s="24"/>
      <c r="J237" s="24"/>
      <c r="K237" s="24"/>
      <c r="L237" s="24"/>
      <c r="M237" s="24"/>
      <c r="N237" s="25"/>
    </row>
    <row r="238" spans="2:14" x14ac:dyDescent="0.25">
      <c r="B238" s="24"/>
      <c r="C238" s="24"/>
      <c r="D238" s="24"/>
      <c r="E238" s="25"/>
      <c r="F238" s="29"/>
      <c r="G238" s="26"/>
      <c r="H238" s="26"/>
      <c r="I238" s="24"/>
      <c r="J238" s="24"/>
      <c r="K238" s="24"/>
      <c r="L238" s="24"/>
      <c r="M238" s="24"/>
      <c r="N238" s="25"/>
    </row>
    <row r="239" spans="2:14" x14ac:dyDescent="0.25">
      <c r="B239" s="24"/>
      <c r="C239" s="24"/>
      <c r="D239" s="24"/>
      <c r="E239" s="25"/>
      <c r="F239" s="29"/>
      <c r="G239" s="26"/>
      <c r="H239" s="26"/>
      <c r="I239" s="24"/>
      <c r="J239" s="24"/>
      <c r="K239" s="24"/>
      <c r="L239" s="24"/>
      <c r="M239" s="24"/>
      <c r="N239" s="25"/>
    </row>
    <row r="240" spans="2:14" x14ac:dyDescent="0.25">
      <c r="B240" s="24"/>
      <c r="C240" s="24"/>
      <c r="D240" s="24"/>
      <c r="E240" s="25"/>
      <c r="F240" s="29"/>
      <c r="G240" s="26"/>
      <c r="H240" s="26"/>
      <c r="I240" s="24"/>
      <c r="J240" s="24"/>
      <c r="K240" s="24"/>
      <c r="L240" s="24"/>
      <c r="M240" s="24"/>
      <c r="N240" s="25"/>
    </row>
    <row r="241" spans="2:14" x14ac:dyDescent="0.25">
      <c r="B241" s="24"/>
      <c r="C241" s="24"/>
      <c r="D241" s="24"/>
      <c r="E241" s="25"/>
      <c r="F241" s="29"/>
      <c r="G241" s="26"/>
      <c r="H241" s="26"/>
      <c r="I241" s="24"/>
      <c r="J241" s="24"/>
      <c r="K241" s="24"/>
      <c r="L241" s="24"/>
      <c r="M241" s="24"/>
      <c r="N241" s="25"/>
    </row>
    <row r="242" spans="2:14" x14ac:dyDescent="0.25">
      <c r="B242" s="24"/>
      <c r="C242" s="24"/>
      <c r="D242" s="24"/>
      <c r="E242" s="25"/>
      <c r="F242" s="29"/>
      <c r="G242" s="26"/>
      <c r="H242" s="26"/>
      <c r="I242" s="24"/>
      <c r="J242" s="24"/>
      <c r="K242" s="24"/>
      <c r="L242" s="24"/>
      <c r="M242" s="24"/>
      <c r="N242" s="25"/>
    </row>
    <row r="243" spans="2:14" x14ac:dyDescent="0.25">
      <c r="B243" s="24"/>
      <c r="C243" s="24"/>
      <c r="D243" s="24"/>
      <c r="E243" s="25"/>
      <c r="F243" s="29"/>
      <c r="G243" s="26"/>
      <c r="H243" s="26"/>
      <c r="I243" s="24"/>
      <c r="J243" s="24"/>
      <c r="K243" s="24"/>
      <c r="L243" s="24"/>
      <c r="M243" s="24"/>
      <c r="N243" s="25"/>
    </row>
    <row r="244" spans="2:14" x14ac:dyDescent="0.25">
      <c r="B244" s="24"/>
      <c r="C244" s="24"/>
      <c r="D244" s="24"/>
      <c r="E244" s="25"/>
      <c r="F244" s="29"/>
      <c r="G244" s="26"/>
      <c r="H244" s="26"/>
      <c r="I244" s="24"/>
      <c r="J244" s="24"/>
      <c r="K244" s="24"/>
      <c r="L244" s="24"/>
      <c r="M244" s="24"/>
      <c r="N244" s="25"/>
    </row>
    <row r="245" spans="2:14" x14ac:dyDescent="0.25">
      <c r="B245" s="24"/>
      <c r="C245" s="24"/>
      <c r="D245" s="24"/>
      <c r="E245" s="25"/>
      <c r="F245" s="29"/>
      <c r="G245" s="26"/>
      <c r="H245" s="26"/>
      <c r="I245" s="24"/>
      <c r="J245" s="24"/>
      <c r="K245" s="24"/>
      <c r="L245" s="24"/>
      <c r="M245" s="24"/>
      <c r="N245" s="25"/>
    </row>
    <row r="246" spans="2:14" x14ac:dyDescent="0.25">
      <c r="B246" s="24"/>
      <c r="C246" s="24"/>
      <c r="D246" s="24"/>
      <c r="E246" s="25"/>
      <c r="F246" s="29"/>
      <c r="G246" s="26"/>
      <c r="H246" s="26"/>
      <c r="I246" s="24"/>
      <c r="J246" s="24"/>
      <c r="K246" s="24"/>
      <c r="L246" s="24"/>
      <c r="M246" s="24"/>
      <c r="N246" s="25"/>
    </row>
    <row r="247" spans="2:14" x14ac:dyDescent="0.25">
      <c r="B247" s="24"/>
      <c r="C247" s="24"/>
      <c r="D247" s="24"/>
      <c r="E247" s="25"/>
      <c r="F247" s="29"/>
      <c r="G247" s="26"/>
      <c r="H247" s="26"/>
      <c r="I247" s="24"/>
      <c r="J247" s="24"/>
      <c r="K247" s="24"/>
      <c r="L247" s="24"/>
      <c r="M247" s="24"/>
      <c r="N247" s="25"/>
    </row>
    <row r="248" spans="2:14" x14ac:dyDescent="0.25">
      <c r="B248" s="24"/>
      <c r="C248" s="24"/>
      <c r="D248" s="24"/>
      <c r="E248" s="25"/>
      <c r="F248" s="29"/>
      <c r="G248" s="26"/>
      <c r="H248" s="26"/>
      <c r="I248" s="24"/>
      <c r="J248" s="24"/>
      <c r="K248" s="24"/>
      <c r="L248" s="24"/>
      <c r="M248" s="24"/>
      <c r="N248" s="25"/>
    </row>
    <row r="249" spans="2:14" x14ac:dyDescent="0.25">
      <c r="B249" s="24"/>
      <c r="C249" s="24"/>
      <c r="D249" s="24"/>
      <c r="E249" s="25"/>
      <c r="F249" s="29"/>
      <c r="G249" s="26"/>
      <c r="H249" s="26"/>
      <c r="I249" s="24"/>
      <c r="J249" s="24"/>
      <c r="K249" s="24"/>
      <c r="L249" s="24"/>
      <c r="M249" s="24"/>
      <c r="N249" s="25"/>
    </row>
    <row r="250" spans="2:14" x14ac:dyDescent="0.25">
      <c r="B250" s="24"/>
      <c r="C250" s="24"/>
      <c r="D250" s="24"/>
      <c r="E250" s="25"/>
      <c r="F250" s="29"/>
      <c r="G250" s="26"/>
      <c r="H250" s="26"/>
      <c r="I250" s="24"/>
      <c r="J250" s="24"/>
      <c r="K250" s="24"/>
      <c r="L250" s="24"/>
      <c r="M250" s="24"/>
      <c r="N250" s="25"/>
    </row>
    <row r="251" spans="2:14" x14ac:dyDescent="0.25">
      <c r="B251" s="24"/>
      <c r="C251" s="24"/>
      <c r="D251" s="28"/>
      <c r="E251" s="25"/>
      <c r="F251" s="29"/>
      <c r="G251" s="26"/>
      <c r="H251" s="26"/>
      <c r="I251" s="24"/>
      <c r="J251" s="24"/>
      <c r="K251" s="24"/>
      <c r="L251" s="24"/>
      <c r="M251" s="24"/>
      <c r="N251" s="25"/>
    </row>
    <row r="252" spans="2:14" x14ac:dyDescent="0.25">
      <c r="B252" s="24"/>
      <c r="C252" s="24"/>
      <c r="D252" s="24"/>
      <c r="E252" s="25"/>
      <c r="F252" s="29"/>
      <c r="G252" s="26"/>
      <c r="H252" s="26"/>
      <c r="I252" s="24"/>
      <c r="J252" s="24"/>
      <c r="K252" s="24"/>
      <c r="L252" s="24"/>
      <c r="M252" s="24"/>
      <c r="N252" s="25"/>
    </row>
    <row r="253" spans="2:14" x14ac:dyDescent="0.25">
      <c r="B253" s="24"/>
      <c r="C253" s="24"/>
      <c r="D253" s="24"/>
      <c r="E253" s="25"/>
      <c r="F253" s="29"/>
      <c r="G253" s="26"/>
      <c r="H253" s="26"/>
      <c r="I253" s="24"/>
      <c r="J253" s="24"/>
      <c r="K253" s="24"/>
      <c r="L253" s="24"/>
      <c r="M253" s="24"/>
      <c r="N253" s="25"/>
    </row>
    <row r="254" spans="2:14" x14ac:dyDescent="0.25">
      <c r="B254" s="24"/>
      <c r="C254" s="24"/>
      <c r="D254" s="24"/>
      <c r="E254" s="25"/>
      <c r="F254" s="29"/>
      <c r="G254" s="26"/>
      <c r="H254" s="26"/>
      <c r="I254" s="24"/>
      <c r="J254" s="24"/>
      <c r="K254" s="24"/>
      <c r="L254" s="24"/>
      <c r="M254" s="24"/>
      <c r="N254" s="25"/>
    </row>
    <row r="255" spans="2:14" x14ac:dyDescent="0.25">
      <c r="B255" s="24"/>
      <c r="C255" s="24"/>
      <c r="D255" s="24"/>
      <c r="E255" s="25"/>
      <c r="F255" s="29"/>
      <c r="G255" s="26"/>
      <c r="H255" s="26"/>
      <c r="I255" s="24"/>
      <c r="J255" s="24"/>
      <c r="K255" s="24"/>
      <c r="L255" s="24"/>
      <c r="M255" s="24"/>
      <c r="N255" s="25"/>
    </row>
    <row r="256" spans="2:14" x14ac:dyDescent="0.25">
      <c r="B256" s="24"/>
      <c r="C256" s="24"/>
      <c r="D256" s="24"/>
      <c r="E256" s="25"/>
      <c r="F256" s="29"/>
      <c r="G256" s="26"/>
      <c r="H256" s="26"/>
      <c r="I256" s="24"/>
      <c r="J256" s="24"/>
      <c r="K256" s="24"/>
      <c r="L256" s="24"/>
      <c r="M256" s="24"/>
      <c r="N256" s="25"/>
    </row>
    <row r="257" spans="2:14" x14ac:dyDescent="0.25">
      <c r="B257" s="24"/>
      <c r="C257" s="24"/>
      <c r="D257" s="24"/>
      <c r="E257" s="25"/>
      <c r="F257" s="29"/>
      <c r="G257" s="26"/>
      <c r="H257" s="26"/>
      <c r="I257" s="24"/>
      <c r="J257" s="24"/>
      <c r="K257" s="24"/>
      <c r="L257" s="24"/>
      <c r="M257" s="24"/>
      <c r="N257" s="25"/>
    </row>
    <row r="258" spans="2:14" x14ac:dyDescent="0.25">
      <c r="B258" s="24"/>
      <c r="C258" s="24"/>
      <c r="D258" s="24"/>
      <c r="E258" s="25"/>
      <c r="F258" s="29"/>
      <c r="G258" s="26"/>
      <c r="H258" s="26"/>
      <c r="I258" s="24"/>
      <c r="J258" s="24"/>
      <c r="K258" s="24"/>
      <c r="L258" s="24"/>
      <c r="M258" s="24"/>
      <c r="N258" s="25"/>
    </row>
    <row r="259" spans="2:14" x14ac:dyDescent="0.25">
      <c r="B259" s="24"/>
      <c r="C259" s="24"/>
      <c r="D259" s="24"/>
      <c r="E259" s="25"/>
      <c r="F259" s="29"/>
      <c r="G259" s="26"/>
      <c r="H259" s="26"/>
      <c r="I259" s="24"/>
      <c r="J259" s="24"/>
      <c r="K259" s="24"/>
      <c r="L259" s="24"/>
      <c r="M259" s="24"/>
      <c r="N259" s="25"/>
    </row>
    <row r="260" spans="2:14" x14ac:dyDescent="0.25">
      <c r="B260" s="24"/>
      <c r="C260" s="24"/>
      <c r="D260" s="24"/>
      <c r="E260" s="25"/>
      <c r="F260" s="29"/>
      <c r="G260" s="26"/>
      <c r="H260" s="26"/>
      <c r="I260" s="24"/>
      <c r="J260" s="24"/>
      <c r="K260" s="24"/>
      <c r="L260" s="24"/>
      <c r="M260" s="24"/>
      <c r="N260" s="25"/>
    </row>
    <row r="261" spans="2:14" x14ac:dyDescent="0.25">
      <c r="B261" s="24"/>
      <c r="C261" s="24"/>
      <c r="D261" s="24"/>
      <c r="E261" s="25"/>
      <c r="F261" s="29"/>
      <c r="G261" s="26"/>
      <c r="H261" s="26"/>
      <c r="I261" s="24"/>
      <c r="J261" s="24"/>
      <c r="K261" s="24"/>
      <c r="L261" s="24"/>
      <c r="M261" s="24"/>
      <c r="N261" s="25"/>
    </row>
    <row r="262" spans="2:14" x14ac:dyDescent="0.25">
      <c r="B262" s="24"/>
      <c r="C262" s="24"/>
      <c r="D262" s="24"/>
      <c r="E262" s="25"/>
      <c r="F262" s="29"/>
      <c r="G262" s="26"/>
      <c r="H262" s="26"/>
      <c r="I262" s="24"/>
      <c r="J262" s="24"/>
      <c r="K262" s="24"/>
      <c r="L262" s="24"/>
      <c r="M262" s="24"/>
      <c r="N262" s="25"/>
    </row>
    <row r="263" spans="2:14" x14ac:dyDescent="0.25">
      <c r="B263" s="24"/>
      <c r="C263" s="24"/>
      <c r="D263" s="24"/>
      <c r="E263" s="25"/>
      <c r="F263" s="29"/>
      <c r="G263" s="26"/>
      <c r="H263" s="26"/>
      <c r="I263" s="24"/>
      <c r="J263" s="24"/>
      <c r="K263" s="24"/>
      <c r="L263" s="24"/>
      <c r="M263" s="24"/>
      <c r="N263" s="25"/>
    </row>
    <row r="264" spans="2:14" x14ac:dyDescent="0.25">
      <c r="B264" s="24"/>
      <c r="C264" s="24"/>
      <c r="D264" s="24"/>
      <c r="E264" s="25"/>
      <c r="F264" s="29"/>
      <c r="G264" s="26"/>
      <c r="H264" s="26"/>
      <c r="I264" s="24"/>
      <c r="J264" s="24"/>
      <c r="K264" s="24"/>
      <c r="L264" s="24"/>
      <c r="M264" s="24"/>
      <c r="N264" s="25"/>
    </row>
    <row r="265" spans="2:14" x14ac:dyDescent="0.25">
      <c r="B265" s="24"/>
      <c r="C265" s="24"/>
      <c r="D265" s="24"/>
      <c r="E265" s="25"/>
      <c r="F265" s="29"/>
      <c r="G265" s="26"/>
      <c r="H265" s="26"/>
      <c r="I265" s="24"/>
      <c r="J265" s="24"/>
      <c r="K265" s="24"/>
      <c r="L265" s="24"/>
      <c r="M265" s="24"/>
      <c r="N265" s="25"/>
    </row>
    <row r="266" spans="2:14" x14ac:dyDescent="0.25">
      <c r="B266" s="24"/>
      <c r="C266" s="24"/>
      <c r="D266" s="24"/>
      <c r="E266" s="25"/>
      <c r="F266" s="29"/>
      <c r="G266" s="26"/>
      <c r="H266" s="26"/>
      <c r="I266" s="24"/>
      <c r="J266" s="24"/>
      <c r="K266" s="24"/>
      <c r="L266" s="24"/>
      <c r="M266" s="24"/>
      <c r="N266" s="25"/>
    </row>
    <row r="267" spans="2:14" x14ac:dyDescent="0.25">
      <c r="B267" s="24"/>
      <c r="C267" s="24"/>
      <c r="D267" s="24"/>
      <c r="E267" s="25"/>
      <c r="F267" s="29"/>
      <c r="G267" s="26"/>
      <c r="H267" s="26"/>
      <c r="I267" s="24"/>
      <c r="J267" s="24"/>
      <c r="K267" s="24"/>
      <c r="L267" s="24"/>
      <c r="M267" s="24"/>
      <c r="N267" s="25"/>
    </row>
    <row r="268" spans="2:14" x14ac:dyDescent="0.25">
      <c r="B268" s="24"/>
      <c r="C268" s="24"/>
      <c r="D268" s="24"/>
      <c r="E268" s="25"/>
      <c r="F268" s="29"/>
      <c r="G268" s="26"/>
      <c r="H268" s="26"/>
      <c r="I268" s="24"/>
      <c r="J268" s="24"/>
      <c r="K268" s="24"/>
      <c r="L268" s="24"/>
      <c r="M268" s="24"/>
      <c r="N268" s="25"/>
    </row>
    <row r="269" spans="2:14" x14ac:dyDescent="0.25">
      <c r="B269" s="24"/>
      <c r="C269" s="24"/>
      <c r="D269" s="24"/>
      <c r="E269" s="25"/>
      <c r="F269" s="29"/>
      <c r="G269" s="26"/>
      <c r="H269" s="26"/>
      <c r="I269" s="24"/>
      <c r="J269" s="24"/>
      <c r="K269" s="24"/>
      <c r="L269" s="24"/>
      <c r="M269" s="24"/>
      <c r="N269" s="25"/>
    </row>
    <row r="270" spans="2:14" x14ac:dyDescent="0.25">
      <c r="B270" s="24"/>
      <c r="C270" s="24"/>
      <c r="D270" s="24"/>
      <c r="E270" s="25"/>
      <c r="F270" s="29"/>
      <c r="G270" s="26"/>
      <c r="H270" s="26"/>
      <c r="I270" s="24"/>
      <c r="J270" s="24"/>
      <c r="K270" s="24"/>
      <c r="L270" s="24"/>
      <c r="M270" s="24"/>
      <c r="N270" s="25"/>
    </row>
    <row r="271" spans="2:14" x14ac:dyDescent="0.25">
      <c r="B271" s="24"/>
      <c r="C271" s="24"/>
      <c r="D271" s="24"/>
      <c r="E271" s="25"/>
      <c r="F271" s="29"/>
      <c r="G271" s="26"/>
      <c r="H271" s="26"/>
      <c r="I271" s="24"/>
      <c r="J271" s="24"/>
      <c r="K271" s="24"/>
      <c r="L271" s="24"/>
      <c r="M271" s="24"/>
      <c r="N271" s="25"/>
    </row>
    <row r="272" spans="2:14" x14ac:dyDescent="0.25">
      <c r="B272" s="24"/>
      <c r="C272" s="24"/>
      <c r="D272" s="24"/>
      <c r="E272" s="25"/>
      <c r="F272" s="29"/>
      <c r="G272" s="26"/>
      <c r="H272" s="26"/>
      <c r="I272" s="24"/>
      <c r="J272" s="24"/>
      <c r="K272" s="24"/>
      <c r="L272" s="24"/>
      <c r="M272" s="24"/>
      <c r="N272" s="25"/>
    </row>
    <row r="273" spans="2:14" x14ac:dyDescent="0.25">
      <c r="B273" s="24"/>
      <c r="C273" s="24"/>
      <c r="D273" s="24"/>
      <c r="E273" s="25"/>
      <c r="F273" s="29"/>
      <c r="G273" s="26"/>
      <c r="H273" s="26"/>
      <c r="I273" s="24"/>
      <c r="J273" s="24"/>
      <c r="K273" s="24"/>
      <c r="L273" s="24"/>
      <c r="M273" s="24"/>
      <c r="N273" s="25"/>
    </row>
    <row r="274" spans="2:14" x14ac:dyDescent="0.25">
      <c r="B274" s="24"/>
      <c r="C274" s="24"/>
      <c r="D274" s="24"/>
      <c r="E274" s="25"/>
      <c r="F274" s="29"/>
      <c r="G274" s="26"/>
      <c r="H274" s="26"/>
      <c r="I274" s="24"/>
      <c r="J274" s="24"/>
      <c r="K274" s="24"/>
      <c r="L274" s="24"/>
      <c r="M274" s="24"/>
      <c r="N274" s="25"/>
    </row>
    <row r="275" spans="2:14" x14ac:dyDescent="0.25">
      <c r="B275" s="24"/>
      <c r="C275" s="24"/>
      <c r="D275" s="24"/>
      <c r="E275" s="25"/>
      <c r="F275" s="29"/>
      <c r="G275" s="26"/>
      <c r="H275" s="26"/>
      <c r="I275" s="24"/>
      <c r="J275" s="24"/>
      <c r="K275" s="24"/>
      <c r="L275" s="24"/>
      <c r="M275" s="24"/>
      <c r="N275" s="25"/>
    </row>
    <row r="276" spans="2:14" x14ac:dyDescent="0.25">
      <c r="B276" s="24"/>
      <c r="C276" s="24"/>
      <c r="D276" s="24"/>
      <c r="E276" s="25"/>
      <c r="F276" s="29"/>
      <c r="G276" s="26"/>
      <c r="H276" s="26"/>
      <c r="I276" s="24"/>
      <c r="J276" s="24"/>
      <c r="K276" s="24"/>
      <c r="L276" s="24"/>
      <c r="M276" s="24"/>
      <c r="N276" s="25"/>
    </row>
    <row r="277" spans="2:14" x14ac:dyDescent="0.25">
      <c r="B277" s="24"/>
      <c r="C277" s="24"/>
      <c r="D277" s="24"/>
      <c r="E277" s="25"/>
      <c r="F277" s="29"/>
      <c r="G277" s="26"/>
      <c r="H277" s="26"/>
      <c r="I277" s="24"/>
      <c r="J277" s="24"/>
      <c r="K277" s="24"/>
      <c r="L277" s="24"/>
      <c r="M277" s="24"/>
      <c r="N277" s="25"/>
    </row>
    <row r="278" spans="2:14" x14ac:dyDescent="0.25">
      <c r="B278" s="24"/>
      <c r="C278" s="24"/>
      <c r="D278" s="24"/>
      <c r="E278" s="25"/>
      <c r="F278" s="29"/>
      <c r="G278" s="26"/>
      <c r="H278" s="26"/>
      <c r="I278" s="24"/>
      <c r="J278" s="24"/>
      <c r="K278" s="24"/>
      <c r="L278" s="24"/>
      <c r="M278" s="24"/>
      <c r="N278" s="25"/>
    </row>
    <row r="279" spans="2:14" x14ac:dyDescent="0.25">
      <c r="B279" s="24"/>
      <c r="C279" s="24"/>
      <c r="D279" s="24"/>
      <c r="E279" s="25"/>
      <c r="F279" s="29"/>
      <c r="G279" s="26"/>
      <c r="H279" s="26"/>
      <c r="I279" s="24"/>
      <c r="J279" s="24"/>
      <c r="K279" s="24"/>
      <c r="L279" s="24"/>
      <c r="M279" s="24"/>
      <c r="N279" s="25"/>
    </row>
    <row r="280" spans="2:14" x14ac:dyDescent="0.25">
      <c r="B280" s="24"/>
      <c r="C280" s="24"/>
      <c r="D280" s="24"/>
      <c r="E280" s="25"/>
      <c r="F280" s="29"/>
      <c r="G280" s="26"/>
      <c r="H280" s="26"/>
      <c r="I280" s="24"/>
      <c r="J280" s="24"/>
      <c r="K280" s="24"/>
      <c r="L280" s="24"/>
      <c r="M280" s="24"/>
      <c r="N280" s="25"/>
    </row>
    <row r="281" spans="2:14" x14ac:dyDescent="0.25">
      <c r="B281" s="24"/>
      <c r="C281" s="24"/>
      <c r="D281" s="24"/>
      <c r="E281" s="25"/>
      <c r="F281" s="29"/>
      <c r="G281" s="26"/>
      <c r="H281" s="26"/>
      <c r="I281" s="24"/>
      <c r="J281" s="24"/>
      <c r="K281" s="24"/>
      <c r="L281" s="24"/>
      <c r="M281" s="24"/>
      <c r="N281" s="25"/>
    </row>
    <row r="282" spans="2:14" x14ac:dyDescent="0.25">
      <c r="B282" s="24"/>
      <c r="C282" s="24"/>
      <c r="D282" s="24"/>
      <c r="E282" s="25"/>
      <c r="F282" s="29"/>
      <c r="G282" s="26"/>
      <c r="H282" s="26"/>
      <c r="I282" s="24"/>
      <c r="J282" s="24"/>
      <c r="K282" s="24"/>
      <c r="L282" s="24"/>
      <c r="M282" s="24"/>
      <c r="N282" s="25"/>
    </row>
    <row r="283" spans="2:14" x14ac:dyDescent="0.25">
      <c r="B283" s="24"/>
      <c r="C283" s="24"/>
      <c r="D283" s="24"/>
      <c r="E283" s="25"/>
      <c r="F283" s="29"/>
      <c r="G283" s="26"/>
      <c r="H283" s="26"/>
      <c r="I283" s="24"/>
      <c r="J283" s="24"/>
      <c r="K283" s="24"/>
      <c r="L283" s="24"/>
      <c r="M283" s="24"/>
      <c r="N283" s="25"/>
    </row>
    <row r="284" spans="2:14" x14ac:dyDescent="0.25">
      <c r="B284" s="24"/>
      <c r="C284" s="24"/>
      <c r="D284" s="24"/>
      <c r="E284" s="25"/>
      <c r="F284" s="29"/>
      <c r="G284" s="26"/>
      <c r="H284" s="26"/>
      <c r="I284" s="24"/>
      <c r="J284" s="24"/>
      <c r="K284" s="24"/>
      <c r="L284" s="24"/>
      <c r="M284" s="24"/>
      <c r="N284" s="25"/>
    </row>
    <row r="285" spans="2:14" x14ac:dyDescent="0.25">
      <c r="B285" s="24"/>
      <c r="C285" s="24"/>
      <c r="D285" s="24"/>
      <c r="E285" s="25"/>
      <c r="F285" s="29"/>
      <c r="G285" s="26"/>
      <c r="H285" s="26"/>
      <c r="I285" s="24"/>
      <c r="J285" s="24"/>
      <c r="K285" s="24"/>
      <c r="L285" s="24"/>
      <c r="M285" s="24"/>
      <c r="N285" s="25"/>
    </row>
    <row r="286" spans="2:14" x14ac:dyDescent="0.25">
      <c r="B286" s="24"/>
      <c r="C286" s="24"/>
      <c r="D286" s="24"/>
      <c r="E286" s="25"/>
      <c r="F286" s="29"/>
      <c r="G286" s="26"/>
      <c r="H286" s="26"/>
      <c r="I286" s="24"/>
      <c r="J286" s="24"/>
      <c r="K286" s="24"/>
      <c r="L286" s="24"/>
      <c r="M286" s="24"/>
      <c r="N286" s="25"/>
    </row>
    <row r="287" spans="2:14" x14ac:dyDescent="0.25">
      <c r="B287" s="24"/>
      <c r="C287" s="24"/>
      <c r="D287" s="24"/>
      <c r="E287" s="25"/>
      <c r="F287" s="29"/>
      <c r="G287" s="26"/>
      <c r="H287" s="26"/>
      <c r="I287" s="24"/>
      <c r="J287" s="24"/>
      <c r="K287" s="24"/>
      <c r="L287" s="24"/>
      <c r="M287" s="24"/>
      <c r="N287" s="25"/>
    </row>
    <row r="288" spans="2:14" x14ac:dyDescent="0.25">
      <c r="B288" s="24"/>
      <c r="C288" s="24"/>
      <c r="D288" s="24"/>
      <c r="E288" s="25"/>
      <c r="F288" s="29"/>
      <c r="G288" s="26"/>
      <c r="H288" s="26"/>
      <c r="I288" s="24"/>
      <c r="J288" s="24"/>
      <c r="K288" s="24"/>
      <c r="L288" s="24"/>
      <c r="M288" s="24"/>
      <c r="N288" s="25"/>
    </row>
    <row r="289" spans="2:14" x14ac:dyDescent="0.25">
      <c r="B289" s="24"/>
      <c r="C289" s="24"/>
      <c r="D289" s="24"/>
      <c r="E289" s="25"/>
      <c r="F289" s="29"/>
      <c r="G289" s="26"/>
      <c r="H289" s="26"/>
      <c r="I289" s="24"/>
      <c r="J289" s="24"/>
      <c r="K289" s="24"/>
      <c r="L289" s="24"/>
      <c r="M289" s="24"/>
      <c r="N289" s="25"/>
    </row>
    <row r="290" spans="2:14" x14ac:dyDescent="0.25">
      <c r="B290" s="24"/>
      <c r="C290" s="24"/>
      <c r="D290" s="24"/>
      <c r="E290" s="25"/>
      <c r="F290" s="29"/>
      <c r="G290" s="26"/>
      <c r="H290" s="26"/>
      <c r="I290" s="24"/>
      <c r="J290" s="24"/>
      <c r="K290" s="24"/>
      <c r="L290" s="24"/>
      <c r="M290" s="24"/>
      <c r="N290" s="25"/>
    </row>
    <row r="291" spans="2:14" x14ac:dyDescent="0.25">
      <c r="B291" s="24"/>
      <c r="C291" s="24"/>
      <c r="D291" s="24"/>
      <c r="E291" s="25"/>
      <c r="F291" s="29"/>
      <c r="G291" s="26"/>
      <c r="H291" s="26"/>
      <c r="I291" s="24"/>
      <c r="J291" s="24"/>
      <c r="K291" s="24"/>
      <c r="L291" s="24"/>
      <c r="M291" s="24"/>
      <c r="N291" s="25"/>
    </row>
    <row r="292" spans="2:14" x14ac:dyDescent="0.25">
      <c r="B292" s="24"/>
      <c r="C292" s="24"/>
      <c r="D292" s="24"/>
      <c r="E292" s="25"/>
      <c r="F292" s="29"/>
      <c r="G292" s="26"/>
      <c r="H292" s="26"/>
      <c r="I292" s="24"/>
      <c r="J292" s="24"/>
      <c r="K292" s="24"/>
      <c r="L292" s="24"/>
      <c r="M292" s="24"/>
      <c r="N292" s="25"/>
    </row>
    <row r="293" spans="2:14" x14ac:dyDescent="0.25">
      <c r="B293" s="24"/>
      <c r="C293" s="24"/>
      <c r="D293" s="24"/>
      <c r="E293" s="25"/>
      <c r="F293" s="29"/>
      <c r="G293" s="26"/>
      <c r="H293" s="26"/>
      <c r="I293" s="24"/>
      <c r="J293" s="24"/>
      <c r="K293" s="24"/>
      <c r="L293" s="24"/>
      <c r="M293" s="24"/>
      <c r="N293" s="25"/>
    </row>
    <row r="294" spans="2:14" x14ac:dyDescent="0.25">
      <c r="B294" s="24"/>
      <c r="C294" s="24"/>
      <c r="D294" s="24"/>
      <c r="E294" s="25"/>
      <c r="F294" s="29"/>
      <c r="G294" s="26"/>
      <c r="H294" s="26"/>
      <c r="I294" s="24"/>
      <c r="J294" s="24"/>
      <c r="K294" s="24"/>
      <c r="L294" s="24"/>
      <c r="M294" s="24"/>
      <c r="N294" s="25"/>
    </row>
    <row r="295" spans="2:14" x14ac:dyDescent="0.25">
      <c r="B295" s="24"/>
      <c r="C295" s="24"/>
      <c r="D295" s="24"/>
      <c r="E295" s="25"/>
      <c r="F295" s="29"/>
      <c r="G295" s="26"/>
      <c r="H295" s="26"/>
      <c r="I295" s="24"/>
      <c r="J295" s="24"/>
      <c r="K295" s="24"/>
      <c r="L295" s="24"/>
      <c r="M295" s="24"/>
      <c r="N295" s="25"/>
    </row>
    <row r="296" spans="2:14" x14ac:dyDescent="0.25">
      <c r="B296" s="24"/>
      <c r="C296" s="24"/>
      <c r="D296" s="24"/>
      <c r="E296" s="25"/>
      <c r="F296" s="29"/>
      <c r="G296" s="26"/>
      <c r="H296" s="26"/>
      <c r="I296" s="24"/>
      <c r="J296" s="24"/>
      <c r="K296" s="24"/>
      <c r="L296" s="24"/>
      <c r="M296" s="24"/>
      <c r="N296" s="25"/>
    </row>
    <row r="297" spans="2:14" x14ac:dyDescent="0.25">
      <c r="B297" s="24"/>
      <c r="C297" s="24"/>
      <c r="D297" s="24"/>
      <c r="E297" s="25"/>
      <c r="F297" s="29"/>
      <c r="G297" s="26"/>
      <c r="H297" s="26"/>
      <c r="I297" s="24"/>
      <c r="J297" s="24"/>
      <c r="K297" s="24"/>
      <c r="L297" s="24"/>
      <c r="M297" s="24"/>
      <c r="N297" s="25"/>
    </row>
    <row r="298" spans="2:14" x14ac:dyDescent="0.25">
      <c r="B298" s="24"/>
      <c r="C298" s="24"/>
      <c r="D298" s="24"/>
      <c r="E298" s="25"/>
      <c r="F298" s="29"/>
      <c r="G298" s="26"/>
      <c r="H298" s="26"/>
      <c r="I298" s="24"/>
      <c r="J298" s="24"/>
      <c r="K298" s="24"/>
      <c r="L298" s="24"/>
      <c r="M298" s="24"/>
      <c r="N298" s="25"/>
    </row>
    <row r="299" spans="2:14" x14ac:dyDescent="0.25">
      <c r="B299" s="24"/>
      <c r="C299" s="24"/>
      <c r="D299" s="24"/>
      <c r="E299" s="25"/>
      <c r="F299" s="29"/>
      <c r="G299" s="26"/>
      <c r="H299" s="26"/>
      <c r="I299" s="24"/>
      <c r="J299" s="24"/>
      <c r="K299" s="24"/>
      <c r="L299" s="24"/>
      <c r="M299" s="24"/>
      <c r="N299" s="25"/>
    </row>
    <row r="300" spans="2:14" x14ac:dyDescent="0.25">
      <c r="B300" s="24"/>
      <c r="C300" s="24"/>
      <c r="D300" s="24"/>
      <c r="E300" s="25"/>
      <c r="F300" s="29"/>
      <c r="G300" s="26"/>
      <c r="H300" s="26"/>
      <c r="I300" s="24"/>
      <c r="J300" s="24"/>
      <c r="K300" s="24"/>
      <c r="L300" s="24"/>
      <c r="M300" s="24"/>
      <c r="N300" s="25"/>
    </row>
    <row r="301" spans="2:14" x14ac:dyDescent="0.25">
      <c r="B301" s="24"/>
      <c r="C301" s="24"/>
      <c r="D301" s="24"/>
      <c r="E301" s="25"/>
      <c r="F301" s="29"/>
      <c r="G301" s="26"/>
      <c r="H301" s="26"/>
      <c r="I301" s="24"/>
      <c r="J301" s="24"/>
      <c r="K301" s="24"/>
      <c r="L301" s="24"/>
      <c r="M301" s="24"/>
      <c r="N301" s="25"/>
    </row>
    <row r="302" spans="2:14" x14ac:dyDescent="0.25">
      <c r="B302" s="24"/>
      <c r="C302" s="24"/>
      <c r="D302" s="24"/>
      <c r="E302" s="25"/>
      <c r="F302" s="29"/>
      <c r="G302" s="26"/>
      <c r="H302" s="26"/>
      <c r="I302" s="24"/>
      <c r="J302" s="24"/>
      <c r="K302" s="24"/>
      <c r="L302" s="24"/>
      <c r="M302" s="24"/>
      <c r="N302" s="25"/>
    </row>
    <row r="303" spans="2:14" x14ac:dyDescent="0.25">
      <c r="B303" s="24"/>
      <c r="C303" s="24"/>
      <c r="D303" s="24"/>
      <c r="E303" s="25"/>
      <c r="F303" s="29"/>
      <c r="G303" s="26"/>
      <c r="H303" s="26"/>
      <c r="I303" s="24"/>
      <c r="J303" s="24"/>
      <c r="K303" s="24"/>
      <c r="L303" s="24"/>
      <c r="M303" s="24"/>
      <c r="N303" s="25"/>
    </row>
    <row r="304" spans="2:14" x14ac:dyDescent="0.25">
      <c r="B304" s="24"/>
      <c r="C304" s="24"/>
      <c r="D304" s="24"/>
      <c r="E304" s="25"/>
      <c r="F304" s="29"/>
      <c r="G304" s="26"/>
      <c r="H304" s="26"/>
      <c r="I304" s="24"/>
      <c r="J304" s="24"/>
      <c r="K304" s="24"/>
      <c r="L304" s="24"/>
      <c r="M304" s="24"/>
      <c r="N304" s="25"/>
    </row>
    <row r="305" spans="2:14" x14ac:dyDescent="0.25">
      <c r="B305" s="24"/>
      <c r="C305" s="24"/>
      <c r="D305" s="24"/>
      <c r="E305" s="25"/>
      <c r="F305" s="29"/>
      <c r="G305" s="26"/>
      <c r="H305" s="26"/>
      <c r="I305" s="24"/>
      <c r="J305" s="24"/>
      <c r="K305" s="24"/>
      <c r="L305" s="24"/>
      <c r="M305" s="24"/>
      <c r="N305" s="25"/>
    </row>
    <row r="306" spans="2:14" x14ac:dyDescent="0.25">
      <c r="B306" s="24"/>
      <c r="C306" s="24"/>
      <c r="D306" s="24"/>
      <c r="E306" s="25"/>
      <c r="F306" s="29"/>
      <c r="G306" s="26"/>
      <c r="H306" s="26"/>
      <c r="I306" s="24"/>
      <c r="J306" s="24"/>
      <c r="K306" s="24"/>
      <c r="L306" s="24"/>
      <c r="M306" s="24"/>
      <c r="N306" s="25"/>
    </row>
    <row r="307" spans="2:14" x14ac:dyDescent="0.25">
      <c r="B307" s="24"/>
      <c r="C307" s="24"/>
      <c r="D307" s="24"/>
      <c r="E307" s="25"/>
      <c r="F307" s="29"/>
      <c r="G307" s="26"/>
      <c r="H307" s="26"/>
      <c r="I307" s="24"/>
      <c r="J307" s="24"/>
      <c r="K307" s="24"/>
      <c r="L307" s="24"/>
      <c r="M307" s="24"/>
      <c r="N307" s="25"/>
    </row>
    <row r="308" spans="2:14" x14ac:dyDescent="0.25">
      <c r="B308" s="24"/>
      <c r="C308" s="24"/>
      <c r="D308" s="24"/>
      <c r="E308" s="25"/>
      <c r="F308" s="29"/>
      <c r="G308" s="26"/>
      <c r="H308" s="26"/>
      <c r="I308" s="24"/>
      <c r="J308" s="24"/>
      <c r="K308" s="24"/>
      <c r="L308" s="24"/>
      <c r="M308" s="24"/>
      <c r="N308" s="25"/>
    </row>
    <row r="309" spans="2:14" x14ac:dyDescent="0.25">
      <c r="B309" s="24"/>
      <c r="C309" s="24"/>
      <c r="D309" s="24"/>
      <c r="E309" s="25"/>
      <c r="F309" s="29"/>
      <c r="G309" s="26"/>
      <c r="H309" s="26"/>
      <c r="I309" s="24"/>
      <c r="J309" s="24"/>
      <c r="K309" s="24"/>
      <c r="L309" s="24"/>
      <c r="M309" s="24"/>
      <c r="N309" s="25"/>
    </row>
    <row r="310" spans="2:14" x14ac:dyDescent="0.25">
      <c r="B310" s="24"/>
      <c r="C310" s="24"/>
      <c r="D310" s="24"/>
      <c r="E310" s="25"/>
      <c r="F310" s="29"/>
      <c r="G310" s="26"/>
      <c r="H310" s="26"/>
      <c r="I310" s="24"/>
      <c r="J310" s="24"/>
      <c r="K310" s="24"/>
      <c r="L310" s="24"/>
      <c r="M310" s="24"/>
      <c r="N310" s="25"/>
    </row>
    <row r="311" spans="2:14" x14ac:dyDescent="0.25">
      <c r="B311" s="24"/>
      <c r="C311" s="24"/>
      <c r="D311" s="24"/>
      <c r="E311" s="25"/>
      <c r="F311" s="29"/>
      <c r="G311" s="26"/>
      <c r="H311" s="26"/>
      <c r="I311" s="24"/>
      <c r="J311" s="24"/>
      <c r="K311" s="24"/>
      <c r="L311" s="24"/>
      <c r="M311" s="24"/>
      <c r="N311" s="25"/>
    </row>
    <row r="312" spans="2:14" x14ac:dyDescent="0.25">
      <c r="B312" s="24"/>
      <c r="C312" s="24"/>
      <c r="D312" s="24"/>
      <c r="E312" s="25"/>
      <c r="F312" s="29"/>
      <c r="G312" s="26"/>
      <c r="H312" s="26"/>
      <c r="I312" s="24"/>
      <c r="J312" s="24"/>
      <c r="K312" s="24"/>
      <c r="L312" s="24"/>
      <c r="M312" s="24"/>
      <c r="N312" s="25"/>
    </row>
    <row r="313" spans="2:14" x14ac:dyDescent="0.25">
      <c r="B313" s="24"/>
      <c r="C313" s="24"/>
      <c r="D313" s="24"/>
      <c r="E313" s="25"/>
      <c r="F313" s="29"/>
      <c r="G313" s="26"/>
      <c r="H313" s="26"/>
      <c r="I313" s="24"/>
      <c r="J313" s="24"/>
      <c r="K313" s="24"/>
      <c r="L313" s="24"/>
      <c r="M313" s="24"/>
      <c r="N313" s="25"/>
    </row>
    <row r="314" spans="2:14" x14ac:dyDescent="0.25">
      <c r="B314" s="24"/>
      <c r="C314" s="24"/>
      <c r="D314" s="24"/>
      <c r="E314" s="25"/>
      <c r="F314" s="29"/>
      <c r="G314" s="26"/>
      <c r="H314" s="26"/>
      <c r="I314" s="24"/>
      <c r="J314" s="24"/>
      <c r="K314" s="24"/>
      <c r="L314" s="24"/>
      <c r="M314" s="24"/>
      <c r="N314" s="25"/>
    </row>
    <row r="315" spans="2:14" x14ac:dyDescent="0.25">
      <c r="B315" s="24"/>
      <c r="C315" s="24"/>
      <c r="D315" s="24"/>
      <c r="E315" s="25"/>
      <c r="F315" s="29"/>
      <c r="G315" s="26"/>
      <c r="H315" s="26"/>
      <c r="I315" s="24"/>
      <c r="J315" s="24"/>
      <c r="K315" s="24"/>
      <c r="L315" s="24"/>
      <c r="M315" s="24"/>
      <c r="N315" s="25"/>
    </row>
    <row r="316" spans="2:14" x14ac:dyDescent="0.25">
      <c r="B316" s="24"/>
      <c r="C316" s="24"/>
      <c r="D316" s="24"/>
      <c r="E316" s="25"/>
      <c r="F316" s="29"/>
      <c r="G316" s="26"/>
      <c r="H316" s="26"/>
      <c r="I316" s="24"/>
      <c r="J316" s="24"/>
      <c r="K316" s="24"/>
      <c r="L316" s="24"/>
      <c r="M316" s="24"/>
      <c r="N316" s="25"/>
    </row>
    <row r="317" spans="2:14" x14ac:dyDescent="0.25">
      <c r="B317" s="24"/>
      <c r="C317" s="24"/>
      <c r="D317" s="24"/>
      <c r="E317" s="25"/>
      <c r="F317" s="29"/>
      <c r="G317" s="26"/>
      <c r="H317" s="26"/>
      <c r="I317" s="24"/>
      <c r="J317" s="24"/>
      <c r="K317" s="24"/>
      <c r="L317" s="24"/>
      <c r="M317" s="24"/>
      <c r="N317" s="25"/>
    </row>
    <row r="318" spans="2:14" x14ac:dyDescent="0.25">
      <c r="B318" s="24"/>
      <c r="C318" s="24"/>
      <c r="D318" s="24"/>
      <c r="E318" s="25"/>
      <c r="F318" s="29"/>
      <c r="G318" s="26"/>
      <c r="H318" s="26"/>
      <c r="I318" s="24"/>
      <c r="J318" s="24"/>
      <c r="K318" s="24"/>
      <c r="L318" s="24"/>
      <c r="M318" s="24"/>
      <c r="N318" s="25"/>
    </row>
    <row r="319" spans="2:14" x14ac:dyDescent="0.25">
      <c r="B319" s="24"/>
      <c r="C319" s="24"/>
      <c r="D319" s="24"/>
      <c r="E319" s="25"/>
      <c r="F319" s="29"/>
      <c r="G319" s="26"/>
      <c r="H319" s="26"/>
      <c r="I319" s="24"/>
      <c r="J319" s="24"/>
      <c r="K319" s="24"/>
      <c r="L319" s="24"/>
      <c r="M319" s="24"/>
      <c r="N319" s="25"/>
    </row>
    <row r="320" spans="2:14" x14ac:dyDescent="0.25">
      <c r="B320" s="24"/>
      <c r="C320" s="24"/>
      <c r="D320" s="24"/>
      <c r="E320" s="25"/>
      <c r="F320" s="29"/>
      <c r="G320" s="26"/>
      <c r="H320" s="26"/>
      <c r="I320" s="24"/>
      <c r="J320" s="24"/>
      <c r="K320" s="24"/>
      <c r="L320" s="24"/>
      <c r="M320" s="24"/>
      <c r="N320" s="25"/>
    </row>
    <row r="321" spans="2:14" x14ac:dyDescent="0.25">
      <c r="B321" s="24"/>
      <c r="C321" s="24"/>
      <c r="D321" s="24"/>
      <c r="E321" s="25"/>
      <c r="F321" s="29"/>
      <c r="G321" s="26"/>
      <c r="H321" s="26"/>
      <c r="I321" s="24"/>
      <c r="J321" s="24"/>
      <c r="K321" s="24"/>
      <c r="L321" s="24"/>
      <c r="M321" s="24"/>
      <c r="N321" s="25"/>
    </row>
    <row r="322" spans="2:14" x14ac:dyDescent="0.25">
      <c r="B322" s="24"/>
      <c r="C322" s="24"/>
      <c r="D322" s="24"/>
      <c r="E322" s="25"/>
      <c r="F322" s="29"/>
      <c r="G322" s="26"/>
      <c r="H322" s="26"/>
      <c r="I322" s="24"/>
      <c r="J322" s="24"/>
      <c r="K322" s="24"/>
      <c r="L322" s="24"/>
      <c r="M322" s="24"/>
      <c r="N322" s="25"/>
    </row>
    <row r="323" spans="2:14" x14ac:dyDescent="0.25">
      <c r="B323" s="24"/>
      <c r="C323" s="24"/>
      <c r="D323" s="24"/>
      <c r="E323" s="25"/>
      <c r="F323" s="29"/>
      <c r="G323" s="26"/>
      <c r="H323" s="26"/>
      <c r="I323" s="24"/>
      <c r="J323" s="24"/>
      <c r="K323" s="24"/>
      <c r="L323" s="24"/>
      <c r="M323" s="24"/>
      <c r="N323" s="25"/>
    </row>
    <row r="324" spans="2:14" x14ac:dyDescent="0.25">
      <c r="B324" s="24"/>
      <c r="C324" s="24"/>
      <c r="D324" s="24"/>
      <c r="E324" s="25"/>
      <c r="F324" s="29"/>
      <c r="G324" s="26"/>
      <c r="H324" s="26"/>
      <c r="I324" s="24"/>
      <c r="J324" s="24"/>
      <c r="K324" s="24"/>
      <c r="L324" s="24"/>
      <c r="M324" s="24"/>
      <c r="N324" s="25"/>
    </row>
    <row r="325" spans="2:14" x14ac:dyDescent="0.25">
      <c r="B325" s="24"/>
      <c r="C325" s="24"/>
      <c r="D325" s="24"/>
      <c r="E325" s="25"/>
      <c r="F325" s="29"/>
      <c r="G325" s="26"/>
      <c r="H325" s="26"/>
      <c r="I325" s="24"/>
      <c r="J325" s="24"/>
      <c r="K325" s="24"/>
      <c r="L325" s="24"/>
      <c r="M325" s="24"/>
      <c r="N325" s="25"/>
    </row>
    <row r="326" spans="2:14" x14ac:dyDescent="0.25">
      <c r="B326" s="24"/>
      <c r="C326" s="24"/>
      <c r="D326" s="24"/>
      <c r="E326" s="25"/>
      <c r="F326" s="29"/>
      <c r="G326" s="26"/>
      <c r="H326" s="26"/>
      <c r="I326" s="24"/>
      <c r="J326" s="24"/>
      <c r="K326" s="24"/>
      <c r="L326" s="24"/>
      <c r="M326" s="24"/>
      <c r="N326" s="25"/>
    </row>
    <row r="327" spans="2:14" x14ac:dyDescent="0.25">
      <c r="B327" s="24"/>
      <c r="C327" s="24"/>
      <c r="D327" s="24"/>
      <c r="E327" s="25"/>
      <c r="F327" s="29"/>
      <c r="G327" s="26"/>
      <c r="H327" s="26"/>
      <c r="I327" s="24"/>
      <c r="J327" s="24"/>
      <c r="K327" s="24"/>
      <c r="L327" s="24"/>
      <c r="M327" s="24"/>
      <c r="N327" s="25"/>
    </row>
    <row r="328" spans="2:14" x14ac:dyDescent="0.25">
      <c r="B328" s="24"/>
      <c r="C328" s="24"/>
      <c r="D328" s="24"/>
      <c r="E328" s="25"/>
      <c r="F328" s="29"/>
      <c r="G328" s="26"/>
      <c r="H328" s="26"/>
      <c r="I328" s="24"/>
      <c r="J328" s="24"/>
      <c r="K328" s="24"/>
      <c r="L328" s="24"/>
      <c r="M328" s="24"/>
      <c r="N328" s="25"/>
    </row>
    <row r="329" spans="2:14" x14ac:dyDescent="0.25">
      <c r="B329" s="24"/>
      <c r="C329" s="24"/>
      <c r="D329" s="24"/>
      <c r="E329" s="25"/>
      <c r="F329" s="29"/>
      <c r="G329" s="26"/>
      <c r="H329" s="26"/>
      <c r="I329" s="24"/>
      <c r="J329" s="24"/>
      <c r="K329" s="24"/>
      <c r="L329" s="24"/>
      <c r="M329" s="24"/>
      <c r="N329" s="25"/>
    </row>
    <row r="330" spans="2:14" x14ac:dyDescent="0.25">
      <c r="B330" s="24"/>
      <c r="C330" s="24"/>
      <c r="D330" s="24"/>
      <c r="E330" s="25"/>
      <c r="F330" s="29"/>
      <c r="G330" s="26"/>
      <c r="H330" s="26"/>
      <c r="I330" s="24"/>
      <c r="J330" s="24"/>
      <c r="K330" s="24"/>
      <c r="L330" s="24"/>
      <c r="M330" s="24"/>
      <c r="N330" s="25"/>
    </row>
    <row r="331" spans="2:14" x14ac:dyDescent="0.25">
      <c r="B331" s="24"/>
      <c r="C331" s="24"/>
      <c r="D331" s="24"/>
      <c r="E331" s="25"/>
      <c r="F331" s="29"/>
      <c r="G331" s="26"/>
      <c r="H331" s="26"/>
      <c r="I331" s="24"/>
      <c r="J331" s="24"/>
      <c r="K331" s="24"/>
      <c r="L331" s="24"/>
      <c r="M331" s="24"/>
      <c r="N331" s="25"/>
    </row>
    <row r="332" spans="2:14" x14ac:dyDescent="0.25">
      <c r="B332" s="24"/>
      <c r="C332" s="24"/>
      <c r="D332" s="24"/>
      <c r="E332" s="25"/>
      <c r="F332" s="29"/>
      <c r="G332" s="26"/>
      <c r="H332" s="26"/>
      <c r="I332" s="24"/>
      <c r="J332" s="24"/>
      <c r="K332" s="24"/>
      <c r="L332" s="24"/>
      <c r="M332" s="24"/>
      <c r="N332" s="25"/>
    </row>
    <row r="333" spans="2:14" x14ac:dyDescent="0.25">
      <c r="B333" s="24"/>
      <c r="C333" s="24"/>
      <c r="D333" s="24"/>
      <c r="E333" s="25"/>
      <c r="F333" s="29"/>
      <c r="G333" s="26"/>
      <c r="H333" s="26"/>
      <c r="I333" s="24"/>
      <c r="J333" s="24"/>
      <c r="K333" s="24"/>
      <c r="L333" s="24"/>
      <c r="M333" s="24"/>
      <c r="N333" s="25"/>
    </row>
    <row r="334" spans="2:14" x14ac:dyDescent="0.25">
      <c r="B334" s="24"/>
      <c r="C334" s="24"/>
      <c r="D334" s="24"/>
      <c r="E334" s="25"/>
      <c r="F334" s="29"/>
      <c r="G334" s="26"/>
      <c r="H334" s="26"/>
      <c r="I334" s="24"/>
      <c r="J334" s="24"/>
      <c r="K334" s="24"/>
      <c r="L334" s="24"/>
      <c r="M334" s="24"/>
      <c r="N334" s="25"/>
    </row>
    <row r="335" spans="2:14" x14ac:dyDescent="0.25">
      <c r="B335" s="24"/>
      <c r="C335" s="24"/>
      <c r="D335" s="24"/>
      <c r="E335" s="25"/>
      <c r="F335" s="29"/>
      <c r="G335" s="26"/>
      <c r="H335" s="26"/>
      <c r="I335" s="24"/>
      <c r="J335" s="24"/>
      <c r="K335" s="24"/>
      <c r="L335" s="24"/>
      <c r="M335" s="24"/>
      <c r="N335" s="25"/>
    </row>
    <row r="336" spans="2:14" x14ac:dyDescent="0.25">
      <c r="B336" s="24"/>
      <c r="C336" s="24"/>
      <c r="D336" s="24"/>
      <c r="E336" s="25"/>
      <c r="F336" s="29"/>
      <c r="G336" s="26"/>
      <c r="H336" s="26"/>
      <c r="I336" s="24"/>
      <c r="J336" s="24"/>
      <c r="K336" s="24"/>
      <c r="L336" s="24"/>
      <c r="M336" s="24"/>
      <c r="N336" s="25"/>
    </row>
    <row r="337" spans="2:14" x14ac:dyDescent="0.25">
      <c r="B337" s="24"/>
      <c r="C337" s="24"/>
      <c r="D337" s="24"/>
      <c r="E337" s="25"/>
      <c r="F337" s="29"/>
      <c r="G337" s="26"/>
      <c r="H337" s="26"/>
      <c r="I337" s="24"/>
      <c r="J337" s="24"/>
      <c r="K337" s="24"/>
      <c r="L337" s="24"/>
      <c r="M337" s="24"/>
      <c r="N337" s="25"/>
    </row>
    <row r="338" spans="2:14" x14ac:dyDescent="0.25">
      <c r="B338" s="24"/>
      <c r="C338" s="24"/>
      <c r="D338" s="24"/>
      <c r="E338" s="25"/>
      <c r="F338" s="29"/>
      <c r="G338" s="26"/>
      <c r="H338" s="26"/>
      <c r="I338" s="24"/>
      <c r="J338" s="24"/>
      <c r="K338" s="24"/>
      <c r="L338" s="24"/>
      <c r="M338" s="24"/>
      <c r="N338" s="25"/>
    </row>
    <row r="339" spans="2:14" x14ac:dyDescent="0.25">
      <c r="B339" s="24"/>
      <c r="C339" s="24"/>
      <c r="D339" s="24"/>
      <c r="E339" s="25"/>
      <c r="F339" s="29"/>
      <c r="G339" s="26"/>
      <c r="H339" s="26"/>
      <c r="I339" s="24"/>
      <c r="J339" s="24"/>
      <c r="K339" s="24"/>
      <c r="L339" s="24"/>
      <c r="M339" s="24"/>
      <c r="N339" s="25"/>
    </row>
    <row r="340" spans="2:14" x14ac:dyDescent="0.25">
      <c r="B340" s="24"/>
      <c r="C340" s="24"/>
      <c r="D340" s="24"/>
      <c r="E340" s="25"/>
      <c r="F340" s="29"/>
      <c r="G340" s="26"/>
      <c r="H340" s="26"/>
      <c r="I340" s="24"/>
      <c r="J340" s="24"/>
      <c r="K340" s="24"/>
      <c r="L340" s="24"/>
      <c r="M340" s="24"/>
      <c r="N340" s="25"/>
    </row>
    <row r="341" spans="2:14" x14ac:dyDescent="0.25">
      <c r="B341" s="24"/>
      <c r="C341" s="24"/>
      <c r="D341" s="24"/>
      <c r="E341" s="25"/>
      <c r="F341" s="29"/>
      <c r="G341" s="26"/>
      <c r="H341" s="26"/>
      <c r="I341" s="24"/>
      <c r="J341" s="24"/>
      <c r="K341" s="24"/>
      <c r="L341" s="24"/>
      <c r="M341" s="24"/>
      <c r="N341" s="25"/>
    </row>
    <row r="342" spans="2:14" x14ac:dyDescent="0.25">
      <c r="B342" s="24"/>
      <c r="C342" s="24"/>
      <c r="D342" s="24"/>
      <c r="E342" s="25"/>
      <c r="F342" s="29"/>
      <c r="G342" s="26"/>
      <c r="H342" s="26"/>
      <c r="I342" s="24"/>
      <c r="J342" s="24"/>
      <c r="K342" s="24"/>
      <c r="L342" s="24"/>
      <c r="M342" s="24"/>
      <c r="N342" s="25"/>
    </row>
    <row r="343" spans="2:14" x14ac:dyDescent="0.25">
      <c r="B343" s="24"/>
      <c r="C343" s="24"/>
      <c r="D343" s="24"/>
      <c r="E343" s="25"/>
      <c r="F343" s="29"/>
      <c r="G343" s="26"/>
      <c r="H343" s="26"/>
      <c r="I343" s="24"/>
      <c r="J343" s="24"/>
      <c r="K343" s="24"/>
      <c r="L343" s="24"/>
      <c r="M343" s="24"/>
      <c r="N343" s="25"/>
    </row>
    <row r="344" spans="2:14" x14ac:dyDescent="0.25">
      <c r="B344" s="24"/>
      <c r="C344" s="24"/>
      <c r="D344" s="24"/>
      <c r="E344" s="25"/>
      <c r="F344" s="29"/>
      <c r="G344" s="26"/>
      <c r="H344" s="26"/>
      <c r="I344" s="24"/>
      <c r="J344" s="24"/>
      <c r="K344" s="24"/>
      <c r="L344" s="24"/>
      <c r="M344" s="24"/>
      <c r="N344" s="25"/>
    </row>
    <row r="345" spans="2:14" x14ac:dyDescent="0.25">
      <c r="B345" s="24"/>
      <c r="C345" s="24"/>
      <c r="D345" s="24"/>
      <c r="E345" s="25"/>
      <c r="F345" s="29"/>
      <c r="G345" s="26"/>
      <c r="H345" s="26"/>
      <c r="I345" s="24"/>
      <c r="J345" s="24"/>
      <c r="K345" s="24"/>
      <c r="L345" s="24"/>
      <c r="M345" s="24"/>
      <c r="N345" s="25"/>
    </row>
    <row r="346" spans="2:14" x14ac:dyDescent="0.25">
      <c r="B346" s="24"/>
      <c r="C346" s="24"/>
      <c r="D346" s="24"/>
      <c r="E346" s="25"/>
      <c r="F346" s="29"/>
      <c r="G346" s="26"/>
      <c r="H346" s="26"/>
      <c r="I346" s="24"/>
      <c r="J346" s="24"/>
      <c r="K346" s="24"/>
      <c r="L346" s="24"/>
      <c r="M346" s="24"/>
      <c r="N346" s="25"/>
    </row>
    <row r="347" spans="2:14" x14ac:dyDescent="0.25">
      <c r="B347" s="24"/>
      <c r="C347" s="24"/>
      <c r="D347" s="24"/>
      <c r="E347" s="25"/>
      <c r="F347" s="29"/>
      <c r="G347" s="26"/>
      <c r="H347" s="26"/>
      <c r="I347" s="24"/>
      <c r="J347" s="24"/>
      <c r="K347" s="24"/>
      <c r="L347" s="24"/>
      <c r="M347" s="24"/>
      <c r="N347" s="25"/>
    </row>
    <row r="348" spans="2:14" x14ac:dyDescent="0.25">
      <c r="B348" s="24"/>
      <c r="C348" s="24"/>
      <c r="D348" s="24"/>
      <c r="E348" s="25"/>
      <c r="F348" s="29"/>
      <c r="G348" s="26"/>
      <c r="H348" s="26"/>
      <c r="I348" s="24"/>
      <c r="J348" s="24"/>
      <c r="K348" s="24"/>
      <c r="L348" s="24"/>
      <c r="M348" s="24"/>
      <c r="N348" s="25"/>
    </row>
    <row r="349" spans="2:14" x14ac:dyDescent="0.25">
      <c r="B349" s="24"/>
      <c r="C349" s="24"/>
      <c r="D349" s="24"/>
      <c r="E349" s="25"/>
      <c r="F349" s="29"/>
      <c r="G349" s="26"/>
      <c r="H349" s="26"/>
      <c r="I349" s="24"/>
      <c r="J349" s="24"/>
      <c r="K349" s="24"/>
      <c r="L349" s="24"/>
      <c r="M349" s="24"/>
      <c r="N349" s="25"/>
    </row>
    <row r="350" spans="2:14" x14ac:dyDescent="0.25">
      <c r="B350" s="24"/>
      <c r="C350" s="24"/>
      <c r="D350" s="24"/>
      <c r="E350" s="25"/>
      <c r="F350" s="29"/>
      <c r="G350" s="26"/>
      <c r="H350" s="26"/>
      <c r="I350" s="24"/>
      <c r="J350" s="24"/>
      <c r="K350" s="24"/>
      <c r="L350" s="24"/>
      <c r="M350" s="24"/>
      <c r="N350" s="25"/>
    </row>
    <row r="351" spans="2:14" x14ac:dyDescent="0.25">
      <c r="B351" s="24"/>
      <c r="C351" s="24"/>
      <c r="D351" s="24"/>
      <c r="E351" s="25"/>
      <c r="F351" s="29"/>
      <c r="G351" s="26"/>
      <c r="H351" s="26"/>
      <c r="I351" s="24"/>
      <c r="J351" s="24"/>
      <c r="K351" s="24"/>
      <c r="L351" s="24"/>
      <c r="M351" s="24"/>
      <c r="N351" s="25"/>
    </row>
    <row r="352" spans="2:14" x14ac:dyDescent="0.25">
      <c r="B352" s="24"/>
      <c r="C352" s="24"/>
      <c r="D352" s="24"/>
      <c r="E352" s="25"/>
      <c r="F352" s="29"/>
      <c r="G352" s="26"/>
      <c r="H352" s="26"/>
      <c r="I352" s="24"/>
      <c r="J352" s="24"/>
      <c r="K352" s="24"/>
      <c r="L352" s="24"/>
      <c r="M352" s="24"/>
      <c r="N352" s="25"/>
    </row>
    <row r="353" spans="2:14" x14ac:dyDescent="0.25">
      <c r="B353" s="24"/>
      <c r="C353" s="24"/>
      <c r="D353" s="24"/>
      <c r="E353" s="25"/>
      <c r="F353" s="29"/>
      <c r="G353" s="26"/>
      <c r="H353" s="26"/>
      <c r="I353" s="24"/>
      <c r="J353" s="24"/>
      <c r="K353" s="24"/>
      <c r="L353" s="24"/>
      <c r="M353" s="24"/>
      <c r="N353" s="25"/>
    </row>
    <row r="354" spans="2:14" x14ac:dyDescent="0.25">
      <c r="B354" s="24"/>
      <c r="C354" s="24"/>
      <c r="D354" s="24"/>
      <c r="E354" s="25"/>
      <c r="F354" s="29"/>
      <c r="G354" s="26"/>
      <c r="H354" s="26"/>
      <c r="I354" s="24"/>
      <c r="J354" s="24"/>
      <c r="K354" s="24"/>
      <c r="L354" s="24"/>
      <c r="M354" s="24"/>
      <c r="N354" s="25"/>
    </row>
    <row r="355" spans="2:14" x14ac:dyDescent="0.25">
      <c r="B355" s="24"/>
      <c r="C355" s="24"/>
      <c r="D355" s="24"/>
      <c r="E355" s="25"/>
      <c r="F355" s="29"/>
      <c r="G355" s="26"/>
      <c r="H355" s="26"/>
      <c r="I355" s="24"/>
      <c r="J355" s="24"/>
      <c r="K355" s="24"/>
      <c r="L355" s="24"/>
      <c r="M355" s="24"/>
      <c r="N355" s="25"/>
    </row>
    <row r="356" spans="2:14" x14ac:dyDescent="0.25">
      <c r="B356" s="24"/>
      <c r="C356" s="24"/>
      <c r="D356" s="24"/>
      <c r="E356" s="25"/>
      <c r="F356" s="29"/>
      <c r="G356" s="26"/>
      <c r="H356" s="26"/>
      <c r="I356" s="24"/>
      <c r="J356" s="24"/>
      <c r="K356" s="24"/>
      <c r="L356" s="24"/>
      <c r="M356" s="24"/>
      <c r="N356" s="25"/>
    </row>
    <row r="357" spans="2:14" x14ac:dyDescent="0.25">
      <c r="B357" s="24"/>
      <c r="C357" s="24"/>
      <c r="D357" s="24"/>
      <c r="E357" s="25"/>
      <c r="F357" s="29"/>
      <c r="G357" s="26"/>
      <c r="H357" s="26"/>
      <c r="I357" s="24"/>
      <c r="J357" s="24"/>
      <c r="K357" s="24"/>
      <c r="L357" s="24"/>
      <c r="M357" s="24"/>
      <c r="N357" s="25"/>
    </row>
    <row r="358" spans="2:14" x14ac:dyDescent="0.25">
      <c r="B358" s="24"/>
      <c r="C358" s="24"/>
      <c r="D358" s="24"/>
      <c r="E358" s="25"/>
      <c r="F358" s="29"/>
      <c r="G358" s="26"/>
      <c r="H358" s="26"/>
      <c r="I358" s="24"/>
      <c r="J358" s="24"/>
      <c r="K358" s="24"/>
      <c r="L358" s="24"/>
      <c r="M358" s="24"/>
      <c r="N358" s="25"/>
    </row>
    <row r="359" spans="2:14" x14ac:dyDescent="0.25">
      <c r="B359" s="24"/>
      <c r="C359" s="24"/>
      <c r="D359" s="24"/>
      <c r="E359" s="25"/>
      <c r="F359" s="29"/>
      <c r="G359" s="26"/>
      <c r="H359" s="26"/>
      <c r="I359" s="24"/>
      <c r="J359" s="24"/>
      <c r="K359" s="24"/>
      <c r="L359" s="24"/>
      <c r="M359" s="24"/>
      <c r="N359" s="25"/>
    </row>
    <row r="360" spans="2:14" x14ac:dyDescent="0.25">
      <c r="B360" s="24"/>
      <c r="C360" s="24"/>
      <c r="D360" s="24"/>
      <c r="E360" s="25"/>
      <c r="F360" s="29"/>
      <c r="G360" s="26"/>
      <c r="H360" s="26"/>
      <c r="I360" s="24"/>
      <c r="J360" s="24"/>
      <c r="K360" s="24"/>
      <c r="L360" s="24"/>
      <c r="M360" s="24"/>
      <c r="N360" s="25"/>
    </row>
    <row r="361" spans="2:14" x14ac:dyDescent="0.25">
      <c r="B361" s="24"/>
      <c r="C361" s="24"/>
      <c r="D361" s="24"/>
      <c r="E361" s="25"/>
      <c r="F361" s="29"/>
      <c r="G361" s="26"/>
      <c r="H361" s="26"/>
      <c r="I361" s="24"/>
      <c r="J361" s="24"/>
      <c r="K361" s="24"/>
      <c r="L361" s="24"/>
      <c r="M361" s="24"/>
      <c r="N361" s="25"/>
    </row>
    <row r="362" spans="2:14" x14ac:dyDescent="0.25">
      <c r="B362" s="24"/>
      <c r="C362" s="24"/>
      <c r="D362" s="24"/>
      <c r="E362" s="25"/>
      <c r="F362" s="29"/>
      <c r="G362" s="26"/>
      <c r="H362" s="26"/>
      <c r="I362" s="24"/>
      <c r="J362" s="24"/>
      <c r="K362" s="24"/>
      <c r="L362" s="24"/>
      <c r="M362" s="24"/>
      <c r="N362" s="25"/>
    </row>
    <row r="363" spans="2:14" x14ac:dyDescent="0.25">
      <c r="B363" s="24"/>
      <c r="C363" s="24"/>
      <c r="D363" s="24"/>
      <c r="E363" s="25"/>
      <c r="F363" s="29"/>
      <c r="G363" s="26"/>
      <c r="H363" s="26"/>
      <c r="I363" s="24"/>
      <c r="J363" s="24"/>
      <c r="K363" s="24"/>
      <c r="L363" s="24"/>
      <c r="M363" s="24"/>
      <c r="N363" s="25"/>
    </row>
    <row r="364" spans="2:14" x14ac:dyDescent="0.25">
      <c r="B364" s="24"/>
      <c r="C364" s="24"/>
      <c r="D364" s="24"/>
      <c r="E364" s="25"/>
      <c r="F364" s="29"/>
      <c r="G364" s="26"/>
      <c r="H364" s="26"/>
      <c r="I364" s="24"/>
      <c r="J364" s="24"/>
      <c r="K364" s="24"/>
      <c r="L364" s="24"/>
      <c r="M364" s="24"/>
      <c r="N364" s="25"/>
    </row>
    <row r="365" spans="2:14" x14ac:dyDescent="0.25">
      <c r="B365" s="24"/>
      <c r="C365" s="24"/>
      <c r="D365" s="24"/>
      <c r="E365" s="25"/>
      <c r="F365" s="29"/>
      <c r="G365" s="26"/>
      <c r="H365" s="26"/>
      <c r="I365" s="24"/>
      <c r="J365" s="24"/>
      <c r="K365" s="24"/>
      <c r="L365" s="24"/>
      <c r="M365" s="24"/>
      <c r="N365" s="25"/>
    </row>
    <row r="366" spans="2:14" x14ac:dyDescent="0.25">
      <c r="B366" s="24"/>
      <c r="C366" s="24"/>
      <c r="D366" s="24"/>
      <c r="E366" s="25"/>
      <c r="F366" s="29"/>
      <c r="G366" s="26"/>
      <c r="H366" s="26"/>
      <c r="I366" s="24"/>
      <c r="J366" s="24"/>
      <c r="K366" s="24"/>
      <c r="L366" s="24"/>
      <c r="M366" s="24"/>
      <c r="N366" s="25"/>
    </row>
    <row r="367" spans="2:14" x14ac:dyDescent="0.25">
      <c r="B367" s="24"/>
      <c r="C367" s="24"/>
      <c r="D367" s="24"/>
      <c r="E367" s="25"/>
      <c r="F367" s="29"/>
      <c r="G367" s="26"/>
      <c r="H367" s="26"/>
      <c r="I367" s="24"/>
      <c r="J367" s="24"/>
      <c r="K367" s="24"/>
      <c r="L367" s="24"/>
      <c r="M367" s="24"/>
      <c r="N367" s="25"/>
    </row>
    <row r="368" spans="2:14" x14ac:dyDescent="0.25">
      <c r="B368" s="24"/>
      <c r="C368" s="24"/>
      <c r="D368" s="24"/>
      <c r="E368" s="25"/>
      <c r="F368" s="29"/>
      <c r="G368" s="26"/>
      <c r="H368" s="26"/>
      <c r="I368" s="24"/>
      <c r="J368" s="24"/>
      <c r="K368" s="24"/>
      <c r="L368" s="24"/>
      <c r="M368" s="24"/>
      <c r="N368" s="25"/>
    </row>
    <row r="369" spans="2:14" x14ac:dyDescent="0.25">
      <c r="B369" s="24"/>
      <c r="C369" s="24"/>
      <c r="D369" s="24"/>
      <c r="E369" s="25"/>
      <c r="F369" s="29"/>
      <c r="G369" s="26"/>
      <c r="H369" s="26"/>
      <c r="I369" s="24"/>
      <c r="J369" s="24"/>
      <c r="K369" s="24"/>
      <c r="L369" s="24"/>
      <c r="M369" s="24"/>
      <c r="N369" s="25"/>
    </row>
    <row r="370" spans="2:14" x14ac:dyDescent="0.25">
      <c r="B370" s="24"/>
      <c r="C370" s="24"/>
      <c r="D370" s="24"/>
      <c r="E370" s="25"/>
      <c r="F370" s="29"/>
      <c r="G370" s="26"/>
      <c r="H370" s="26"/>
      <c r="I370" s="24"/>
      <c r="J370" s="24"/>
      <c r="K370" s="24"/>
      <c r="L370" s="24"/>
      <c r="M370" s="24"/>
      <c r="N370" s="25"/>
    </row>
    <row r="371" spans="2:14" x14ac:dyDescent="0.25">
      <c r="B371" s="24"/>
      <c r="C371" s="24"/>
      <c r="D371" s="24"/>
      <c r="E371" s="25"/>
      <c r="F371" s="29"/>
      <c r="G371" s="26"/>
      <c r="H371" s="26"/>
      <c r="I371" s="24"/>
      <c r="J371" s="24"/>
      <c r="K371" s="24"/>
      <c r="L371" s="24"/>
      <c r="M371" s="24"/>
      <c r="N371" s="25"/>
    </row>
    <row r="372" spans="2:14" x14ac:dyDescent="0.25">
      <c r="B372" s="24"/>
      <c r="C372" s="24"/>
      <c r="D372" s="24"/>
      <c r="E372" s="25"/>
      <c r="F372" s="29"/>
      <c r="G372" s="26"/>
      <c r="H372" s="26"/>
      <c r="I372" s="24"/>
      <c r="J372" s="24"/>
      <c r="K372" s="24"/>
      <c r="L372" s="24"/>
      <c r="M372" s="24"/>
      <c r="N372" s="25"/>
    </row>
    <row r="373" spans="2:14" x14ac:dyDescent="0.25">
      <c r="B373" s="24"/>
      <c r="C373" s="24"/>
      <c r="D373" s="24"/>
      <c r="E373" s="25"/>
      <c r="F373" s="29"/>
      <c r="G373" s="26"/>
      <c r="H373" s="26"/>
      <c r="I373" s="24"/>
      <c r="J373" s="24"/>
      <c r="K373" s="24"/>
      <c r="L373" s="24"/>
      <c r="M373" s="24"/>
      <c r="N373" s="25"/>
    </row>
    <row r="374" spans="2:14" x14ac:dyDescent="0.25">
      <c r="B374" s="24"/>
      <c r="C374" s="24"/>
      <c r="D374" s="24"/>
      <c r="E374" s="25"/>
      <c r="F374" s="29"/>
      <c r="G374" s="26"/>
      <c r="H374" s="26"/>
      <c r="I374" s="24"/>
      <c r="J374" s="24"/>
      <c r="K374" s="24"/>
      <c r="L374" s="24"/>
      <c r="M374" s="24"/>
      <c r="N374" s="25"/>
    </row>
    <row r="375" spans="2:14" x14ac:dyDescent="0.25">
      <c r="B375" s="24"/>
      <c r="C375" s="24"/>
      <c r="D375" s="24"/>
      <c r="E375" s="25"/>
      <c r="F375" s="29"/>
      <c r="G375" s="26"/>
      <c r="H375" s="26"/>
      <c r="I375" s="24"/>
      <c r="J375" s="24"/>
      <c r="K375" s="24"/>
      <c r="L375" s="24"/>
      <c r="M375" s="24"/>
      <c r="N375" s="25"/>
    </row>
    <row r="376" spans="2:14" x14ac:dyDescent="0.25">
      <c r="B376" s="24"/>
      <c r="C376" s="24"/>
      <c r="D376" s="24"/>
      <c r="E376" s="25"/>
      <c r="F376" s="29"/>
      <c r="G376" s="26"/>
      <c r="H376" s="26"/>
      <c r="I376" s="24"/>
      <c r="J376" s="24"/>
      <c r="K376" s="24"/>
      <c r="L376" s="24"/>
      <c r="M376" s="24"/>
      <c r="N376" s="25"/>
    </row>
    <row r="377" spans="2:14" x14ac:dyDescent="0.25">
      <c r="B377" s="24"/>
      <c r="C377" s="24"/>
      <c r="D377" s="24"/>
      <c r="E377" s="25"/>
      <c r="F377" s="29"/>
      <c r="G377" s="26"/>
      <c r="H377" s="26"/>
      <c r="I377" s="24"/>
      <c r="J377" s="24"/>
      <c r="K377" s="24"/>
      <c r="L377" s="24"/>
      <c r="M377" s="24"/>
      <c r="N377" s="25"/>
    </row>
    <row r="378" spans="2:14" x14ac:dyDescent="0.25">
      <c r="B378" s="24"/>
      <c r="C378" s="24"/>
      <c r="D378" s="24"/>
      <c r="E378" s="25"/>
      <c r="F378" s="29"/>
      <c r="G378" s="26"/>
      <c r="H378" s="26"/>
      <c r="I378" s="24"/>
      <c r="J378" s="24"/>
      <c r="K378" s="24"/>
      <c r="L378" s="24"/>
      <c r="M378" s="24"/>
      <c r="N378" s="25"/>
    </row>
    <row r="379" spans="2:14" x14ac:dyDescent="0.25">
      <c r="B379" s="24"/>
      <c r="C379" s="24"/>
      <c r="D379" s="24"/>
      <c r="E379" s="25"/>
      <c r="F379" s="29"/>
      <c r="G379" s="26"/>
      <c r="H379" s="26"/>
      <c r="I379" s="24"/>
      <c r="J379" s="24"/>
      <c r="K379" s="24"/>
      <c r="L379" s="24"/>
      <c r="M379" s="24"/>
      <c r="N379" s="25"/>
    </row>
    <row r="380" spans="2:14" x14ac:dyDescent="0.25">
      <c r="B380" s="24"/>
      <c r="C380" s="24"/>
      <c r="D380" s="24"/>
      <c r="E380" s="25"/>
      <c r="F380" s="29"/>
      <c r="G380" s="26"/>
      <c r="H380" s="26"/>
      <c r="I380" s="24"/>
      <c r="J380" s="24"/>
      <c r="K380" s="24"/>
      <c r="L380" s="24"/>
      <c r="M380" s="24"/>
      <c r="N380" s="25"/>
    </row>
    <row r="381" spans="2:14" x14ac:dyDescent="0.25">
      <c r="B381" s="24"/>
      <c r="C381" s="24"/>
      <c r="D381" s="24"/>
      <c r="E381" s="25"/>
      <c r="F381" s="29"/>
      <c r="G381" s="26"/>
      <c r="H381" s="26"/>
      <c r="I381" s="24"/>
      <c r="J381" s="24"/>
      <c r="K381" s="24"/>
      <c r="L381" s="24"/>
      <c r="M381" s="24"/>
      <c r="N381" s="25"/>
    </row>
    <row r="382" spans="2:14" x14ac:dyDescent="0.25">
      <c r="B382" s="24"/>
      <c r="C382" s="24"/>
      <c r="D382" s="24"/>
      <c r="E382" s="25"/>
      <c r="F382" s="29"/>
      <c r="G382" s="26"/>
      <c r="H382" s="26"/>
      <c r="I382" s="24"/>
      <c r="J382" s="24"/>
      <c r="K382" s="24"/>
      <c r="L382" s="24"/>
      <c r="M382" s="24"/>
      <c r="N382" s="25"/>
    </row>
    <row r="383" spans="2:14" x14ac:dyDescent="0.25">
      <c r="B383" s="24"/>
      <c r="C383" s="24"/>
      <c r="D383" s="24"/>
      <c r="E383" s="25"/>
      <c r="F383" s="29"/>
      <c r="G383" s="26"/>
      <c r="H383" s="26"/>
      <c r="I383" s="24"/>
      <c r="J383" s="24"/>
      <c r="K383" s="24"/>
      <c r="L383" s="24"/>
      <c r="M383" s="24"/>
      <c r="N383" s="25"/>
    </row>
    <row r="384" spans="2:14" x14ac:dyDescent="0.25">
      <c r="B384" s="24"/>
      <c r="C384" s="24"/>
      <c r="D384" s="24"/>
      <c r="E384" s="25"/>
      <c r="F384" s="29"/>
      <c r="G384" s="26"/>
      <c r="H384" s="26"/>
      <c r="I384" s="24"/>
      <c r="J384" s="24"/>
      <c r="K384" s="24"/>
      <c r="L384" s="24"/>
      <c r="M384" s="24"/>
      <c r="N384" s="25"/>
    </row>
    <row r="385" spans="2:14" x14ac:dyDescent="0.25">
      <c r="B385" s="24"/>
      <c r="C385" s="24"/>
      <c r="D385" s="24"/>
      <c r="E385" s="25"/>
      <c r="F385" s="29"/>
      <c r="G385" s="26"/>
      <c r="H385" s="26"/>
      <c r="I385" s="24"/>
      <c r="J385" s="24"/>
      <c r="K385" s="24"/>
      <c r="L385" s="24"/>
      <c r="M385" s="24"/>
      <c r="N385" s="25"/>
    </row>
    <row r="386" spans="2:14" x14ac:dyDescent="0.25">
      <c r="B386" s="24"/>
      <c r="C386" s="24"/>
      <c r="D386" s="24"/>
      <c r="E386" s="25"/>
      <c r="F386" s="29"/>
      <c r="G386" s="26"/>
      <c r="H386" s="26"/>
      <c r="I386" s="24"/>
      <c r="J386" s="24"/>
      <c r="K386" s="24"/>
      <c r="L386" s="24"/>
      <c r="M386" s="24"/>
      <c r="N386" s="25"/>
    </row>
    <row r="387" spans="2:14" x14ac:dyDescent="0.25">
      <c r="B387" s="24"/>
      <c r="C387" s="24"/>
      <c r="D387" s="24"/>
      <c r="E387" s="25"/>
      <c r="F387" s="29"/>
      <c r="G387" s="26"/>
      <c r="H387" s="26"/>
      <c r="I387" s="24"/>
      <c r="J387" s="24"/>
      <c r="K387" s="24"/>
      <c r="L387" s="24"/>
      <c r="M387" s="24"/>
      <c r="N387" s="25"/>
    </row>
    <row r="388" spans="2:14" x14ac:dyDescent="0.25">
      <c r="B388" s="24"/>
      <c r="C388" s="24"/>
      <c r="D388" s="24"/>
      <c r="E388" s="25"/>
      <c r="F388" s="29"/>
      <c r="G388" s="26"/>
      <c r="H388" s="26"/>
      <c r="I388" s="24"/>
      <c r="J388" s="24"/>
      <c r="K388" s="24"/>
      <c r="L388" s="24"/>
      <c r="M388" s="24"/>
      <c r="N388" s="25"/>
    </row>
    <row r="389" spans="2:14" x14ac:dyDescent="0.25">
      <c r="B389" s="24"/>
      <c r="C389" s="24"/>
      <c r="D389" s="24"/>
      <c r="E389" s="25"/>
      <c r="F389" s="29"/>
      <c r="G389" s="26"/>
      <c r="H389" s="26"/>
      <c r="I389" s="24"/>
      <c r="J389" s="24"/>
      <c r="K389" s="24"/>
      <c r="L389" s="24"/>
      <c r="M389" s="24"/>
      <c r="N389" s="25"/>
    </row>
    <row r="390" spans="2:14" x14ac:dyDescent="0.25">
      <c r="B390" s="24"/>
      <c r="C390" s="24"/>
      <c r="D390" s="24"/>
      <c r="E390" s="25"/>
      <c r="F390" s="29"/>
      <c r="G390" s="26"/>
      <c r="H390" s="26"/>
      <c r="I390" s="24"/>
      <c r="J390" s="24"/>
      <c r="K390" s="24"/>
      <c r="L390" s="24"/>
      <c r="M390" s="24"/>
      <c r="N390" s="25"/>
    </row>
    <row r="391" spans="2:14" x14ac:dyDescent="0.25">
      <c r="B391" s="24"/>
      <c r="C391" s="24"/>
      <c r="D391" s="24"/>
      <c r="E391" s="25"/>
      <c r="F391" s="29"/>
      <c r="G391" s="26"/>
      <c r="H391" s="26"/>
      <c r="I391" s="24"/>
      <c r="J391" s="24"/>
      <c r="K391" s="24"/>
      <c r="L391" s="24"/>
      <c r="M391" s="24"/>
      <c r="N391" s="25"/>
    </row>
    <row r="392" spans="2:14" x14ac:dyDescent="0.25">
      <c r="B392" s="24"/>
      <c r="C392" s="24"/>
      <c r="D392" s="24"/>
      <c r="E392" s="25"/>
      <c r="F392" s="29"/>
      <c r="G392" s="26"/>
      <c r="H392" s="26"/>
      <c r="I392" s="24"/>
      <c r="J392" s="24"/>
      <c r="K392" s="24"/>
      <c r="L392" s="24"/>
      <c r="M392" s="24"/>
      <c r="N392" s="25"/>
    </row>
    <row r="393" spans="2:14" x14ac:dyDescent="0.25">
      <c r="B393" s="24"/>
      <c r="C393" s="24"/>
      <c r="D393" s="24"/>
      <c r="E393" s="25"/>
      <c r="F393" s="29"/>
      <c r="G393" s="26"/>
      <c r="H393" s="26"/>
      <c r="I393" s="24"/>
      <c r="J393" s="24"/>
      <c r="K393" s="24"/>
      <c r="L393" s="24"/>
      <c r="M393" s="24"/>
      <c r="N393" s="25"/>
    </row>
    <row r="394" spans="2:14" x14ac:dyDescent="0.25">
      <c r="B394" s="24"/>
      <c r="C394" s="24"/>
      <c r="D394" s="24"/>
      <c r="E394" s="25"/>
      <c r="F394" s="29"/>
      <c r="G394" s="26"/>
      <c r="H394" s="26"/>
      <c r="I394" s="24"/>
      <c r="J394" s="24"/>
      <c r="K394" s="24"/>
      <c r="L394" s="24"/>
      <c r="M394" s="24"/>
      <c r="N394" s="25"/>
    </row>
    <row r="395" spans="2:14" x14ac:dyDescent="0.25">
      <c r="B395" s="24"/>
      <c r="C395" s="24"/>
      <c r="D395" s="24"/>
      <c r="E395" s="25"/>
      <c r="F395" s="29"/>
      <c r="G395" s="26"/>
      <c r="H395" s="26"/>
      <c r="I395" s="24"/>
      <c r="J395" s="24"/>
      <c r="K395" s="24"/>
      <c r="L395" s="24"/>
      <c r="M395" s="24"/>
      <c r="N395" s="25"/>
    </row>
    <row r="396" spans="2:14" x14ac:dyDescent="0.25">
      <c r="B396" s="24"/>
      <c r="C396" s="24"/>
      <c r="D396" s="24"/>
      <c r="E396" s="25"/>
      <c r="F396" s="29"/>
      <c r="G396" s="26"/>
      <c r="H396" s="26"/>
      <c r="I396" s="24"/>
      <c r="J396" s="24"/>
      <c r="K396" s="24"/>
      <c r="L396" s="24"/>
      <c r="M396" s="24"/>
      <c r="N396" s="25"/>
    </row>
    <row r="397" spans="2:14" x14ac:dyDescent="0.25">
      <c r="B397" s="24"/>
      <c r="C397" s="24"/>
      <c r="D397" s="24"/>
      <c r="E397" s="25"/>
      <c r="F397" s="29"/>
      <c r="G397" s="26"/>
      <c r="H397" s="26"/>
      <c r="I397" s="24"/>
      <c r="J397" s="24"/>
      <c r="K397" s="24"/>
      <c r="L397" s="24"/>
      <c r="M397" s="24"/>
      <c r="N397" s="25"/>
    </row>
    <row r="398" spans="2:14" x14ac:dyDescent="0.25">
      <c r="B398" s="24"/>
      <c r="C398" s="24"/>
      <c r="D398" s="24"/>
      <c r="E398" s="25"/>
      <c r="F398" s="29"/>
      <c r="G398" s="26"/>
      <c r="H398" s="26"/>
      <c r="I398" s="24"/>
      <c r="J398" s="24"/>
      <c r="K398" s="24"/>
      <c r="L398" s="24"/>
      <c r="M398" s="24"/>
      <c r="N398" s="25"/>
    </row>
    <row r="399" spans="2:14" x14ac:dyDescent="0.25">
      <c r="B399" s="24"/>
      <c r="C399" s="24"/>
      <c r="D399" s="24"/>
      <c r="E399" s="25"/>
      <c r="F399" s="29"/>
      <c r="G399" s="26"/>
      <c r="H399" s="26"/>
      <c r="I399" s="24"/>
      <c r="J399" s="24"/>
      <c r="K399" s="24"/>
      <c r="L399" s="24"/>
      <c r="M399" s="24"/>
      <c r="N399" s="25"/>
    </row>
    <row r="400" spans="2:14" x14ac:dyDescent="0.25">
      <c r="B400" s="24"/>
      <c r="C400" s="24"/>
      <c r="D400" s="24"/>
      <c r="E400" s="25"/>
      <c r="F400" s="29"/>
      <c r="G400" s="26"/>
      <c r="H400" s="26"/>
      <c r="I400" s="24"/>
      <c r="J400" s="24"/>
      <c r="K400" s="24"/>
      <c r="L400" s="24"/>
      <c r="M400" s="24"/>
      <c r="N400" s="25"/>
    </row>
    <row r="401" spans="2:14" x14ac:dyDescent="0.25">
      <c r="B401" s="24"/>
      <c r="C401" s="24"/>
      <c r="D401" s="24"/>
      <c r="E401" s="25"/>
      <c r="F401" s="29"/>
      <c r="G401" s="26"/>
      <c r="H401" s="26"/>
      <c r="I401" s="24"/>
      <c r="J401" s="24"/>
      <c r="K401" s="24"/>
      <c r="L401" s="24"/>
      <c r="M401" s="24"/>
      <c r="N401" s="25"/>
    </row>
    <row r="402" spans="2:14" x14ac:dyDescent="0.25">
      <c r="B402" s="24"/>
      <c r="C402" s="24"/>
      <c r="D402" s="24"/>
      <c r="E402" s="25"/>
      <c r="F402" s="29"/>
      <c r="G402" s="26"/>
      <c r="H402" s="26"/>
      <c r="I402" s="24"/>
      <c r="J402" s="24"/>
      <c r="K402" s="24"/>
      <c r="L402" s="24"/>
      <c r="M402" s="24"/>
      <c r="N402" s="25"/>
    </row>
    <row r="403" spans="2:14" x14ac:dyDescent="0.25">
      <c r="B403" s="24"/>
      <c r="C403" s="24"/>
      <c r="D403" s="24"/>
      <c r="E403" s="25"/>
      <c r="F403" s="29"/>
      <c r="G403" s="26"/>
      <c r="H403" s="26"/>
      <c r="I403" s="24"/>
      <c r="J403" s="24"/>
      <c r="K403" s="24"/>
      <c r="L403" s="24"/>
      <c r="M403" s="24"/>
      <c r="N403" s="25"/>
    </row>
    <row r="404" spans="2:14" x14ac:dyDescent="0.25">
      <c r="B404" s="24"/>
      <c r="C404" s="24"/>
      <c r="D404" s="24"/>
      <c r="E404" s="25"/>
      <c r="F404" s="29"/>
      <c r="G404" s="26"/>
      <c r="H404" s="26"/>
      <c r="I404" s="24"/>
      <c r="J404" s="24"/>
      <c r="K404" s="24"/>
      <c r="L404" s="24"/>
      <c r="M404" s="24"/>
      <c r="N404" s="25"/>
    </row>
    <row r="405" spans="2:14" x14ac:dyDescent="0.25">
      <c r="B405" s="24"/>
      <c r="C405" s="24"/>
      <c r="D405" s="24"/>
      <c r="E405" s="25"/>
      <c r="F405" s="29"/>
      <c r="G405" s="26"/>
      <c r="H405" s="26"/>
      <c r="I405" s="24"/>
      <c r="J405" s="24"/>
      <c r="K405" s="24"/>
      <c r="L405" s="24"/>
      <c r="M405" s="24"/>
      <c r="N405" s="25"/>
    </row>
    <row r="406" spans="2:14" x14ac:dyDescent="0.25">
      <c r="B406" s="24"/>
      <c r="C406" s="24"/>
      <c r="D406" s="24"/>
      <c r="E406" s="25"/>
      <c r="F406" s="29"/>
      <c r="G406" s="26"/>
      <c r="H406" s="26"/>
      <c r="I406" s="24"/>
      <c r="J406" s="24"/>
      <c r="K406" s="24"/>
      <c r="L406" s="24"/>
      <c r="M406" s="24"/>
      <c r="N406" s="25"/>
    </row>
    <row r="407" spans="2:14" x14ac:dyDescent="0.25">
      <c r="B407" s="24"/>
      <c r="C407" s="24"/>
      <c r="D407" s="24"/>
      <c r="E407" s="25"/>
      <c r="F407" s="29"/>
      <c r="G407" s="26"/>
      <c r="H407" s="26"/>
      <c r="I407" s="24"/>
      <c r="J407" s="24"/>
      <c r="K407" s="24"/>
      <c r="L407" s="24"/>
      <c r="M407" s="24"/>
      <c r="N407" s="25"/>
    </row>
    <row r="408" spans="2:14" x14ac:dyDescent="0.25">
      <c r="B408" s="24"/>
      <c r="C408" s="24"/>
      <c r="D408" s="24"/>
      <c r="E408" s="25"/>
      <c r="F408" s="29"/>
      <c r="G408" s="26"/>
      <c r="H408" s="26"/>
      <c r="I408" s="24"/>
      <c r="J408" s="24"/>
      <c r="K408" s="24"/>
      <c r="L408" s="24"/>
      <c r="M408" s="24"/>
      <c r="N408" s="25"/>
    </row>
    <row r="409" spans="2:14" x14ac:dyDescent="0.25">
      <c r="B409" s="24"/>
      <c r="C409" s="24"/>
      <c r="D409" s="24"/>
      <c r="E409" s="25"/>
      <c r="F409" s="29"/>
      <c r="G409" s="26"/>
      <c r="H409" s="26"/>
      <c r="I409" s="24"/>
      <c r="J409" s="24"/>
      <c r="K409" s="24"/>
      <c r="L409" s="24"/>
      <c r="M409" s="24"/>
      <c r="N409" s="25"/>
    </row>
    <row r="410" spans="2:14" x14ac:dyDescent="0.25">
      <c r="B410" s="24"/>
      <c r="C410" s="24"/>
      <c r="D410" s="24"/>
      <c r="E410" s="25"/>
      <c r="F410" s="29"/>
      <c r="G410" s="26"/>
      <c r="H410" s="26"/>
      <c r="I410" s="24"/>
      <c r="J410" s="24"/>
      <c r="K410" s="24"/>
      <c r="L410" s="24"/>
      <c r="M410" s="24"/>
      <c r="N410" s="25"/>
    </row>
    <row r="411" spans="2:14" x14ac:dyDescent="0.25">
      <c r="B411" s="24"/>
      <c r="C411" s="24"/>
      <c r="D411" s="24"/>
      <c r="E411" s="25"/>
      <c r="F411" s="29"/>
      <c r="G411" s="26"/>
      <c r="H411" s="26"/>
      <c r="I411" s="24"/>
      <c r="J411" s="24"/>
      <c r="K411" s="24"/>
      <c r="L411" s="24"/>
      <c r="M411" s="24"/>
      <c r="N411" s="25"/>
    </row>
    <row r="412" spans="2:14" x14ac:dyDescent="0.25">
      <c r="B412" s="24"/>
      <c r="C412" s="24"/>
      <c r="D412" s="24"/>
      <c r="E412" s="25"/>
      <c r="F412" s="29"/>
      <c r="G412" s="26"/>
      <c r="H412" s="26"/>
      <c r="I412" s="24"/>
      <c r="J412" s="24"/>
      <c r="K412" s="24"/>
      <c r="L412" s="24"/>
      <c r="M412" s="24"/>
      <c r="N412" s="25"/>
    </row>
    <row r="413" spans="2:14" x14ac:dyDescent="0.25">
      <c r="B413" s="24"/>
      <c r="C413" s="24"/>
      <c r="D413" s="24"/>
      <c r="E413" s="25"/>
      <c r="F413" s="29"/>
      <c r="G413" s="26"/>
      <c r="H413" s="26"/>
      <c r="I413" s="24"/>
      <c r="J413" s="24"/>
      <c r="K413" s="24"/>
      <c r="L413" s="24"/>
      <c r="M413" s="24"/>
      <c r="N413" s="25"/>
    </row>
    <row r="414" spans="2:14" x14ac:dyDescent="0.25">
      <c r="B414" s="24"/>
      <c r="C414" s="24"/>
      <c r="D414" s="24"/>
      <c r="E414" s="25"/>
      <c r="F414" s="29"/>
      <c r="G414" s="26"/>
      <c r="H414" s="26"/>
      <c r="I414" s="24"/>
      <c r="J414" s="24"/>
      <c r="K414" s="24"/>
      <c r="L414" s="24"/>
      <c r="M414" s="24"/>
      <c r="N414" s="25"/>
    </row>
    <row r="415" spans="2:14" x14ac:dyDescent="0.25">
      <c r="B415" s="24"/>
      <c r="C415" s="24"/>
      <c r="D415" s="24"/>
      <c r="E415" s="25"/>
      <c r="F415" s="29"/>
      <c r="G415" s="26"/>
      <c r="H415" s="26"/>
      <c r="I415" s="24"/>
      <c r="J415" s="24"/>
      <c r="K415" s="24"/>
      <c r="L415" s="24"/>
      <c r="M415" s="24"/>
      <c r="N415" s="25"/>
    </row>
    <row r="416" spans="2:14" x14ac:dyDescent="0.25">
      <c r="B416" s="24"/>
      <c r="C416" s="24"/>
      <c r="D416" s="24"/>
      <c r="E416" s="25"/>
      <c r="F416" s="29"/>
      <c r="G416" s="26"/>
      <c r="H416" s="26"/>
      <c r="I416" s="24"/>
      <c r="J416" s="24"/>
      <c r="K416" s="24"/>
      <c r="L416" s="24"/>
      <c r="M416" s="24"/>
      <c r="N416" s="25"/>
    </row>
    <row r="417" spans="2:14" x14ac:dyDescent="0.25">
      <c r="B417" s="24"/>
      <c r="C417" s="24"/>
      <c r="D417" s="24"/>
      <c r="E417" s="25"/>
      <c r="F417" s="29"/>
      <c r="G417" s="26"/>
      <c r="H417" s="26"/>
      <c r="I417" s="24"/>
      <c r="J417" s="24"/>
      <c r="K417" s="24"/>
      <c r="L417" s="24"/>
      <c r="M417" s="24"/>
      <c r="N417" s="25"/>
    </row>
    <row r="418" spans="2:14" x14ac:dyDescent="0.25">
      <c r="B418" s="24"/>
      <c r="C418" s="24"/>
      <c r="D418" s="24"/>
      <c r="E418" s="25"/>
      <c r="F418" s="29"/>
      <c r="G418" s="26"/>
      <c r="H418" s="26"/>
      <c r="I418" s="24"/>
      <c r="J418" s="24"/>
      <c r="K418" s="24"/>
      <c r="L418" s="24"/>
      <c r="M418" s="24"/>
      <c r="N418" s="25"/>
    </row>
    <row r="419" spans="2:14" x14ac:dyDescent="0.25">
      <c r="B419" s="24"/>
      <c r="C419" s="24"/>
      <c r="D419" s="24"/>
      <c r="E419" s="25"/>
      <c r="F419" s="29"/>
      <c r="G419" s="26"/>
      <c r="H419" s="26"/>
      <c r="I419" s="24"/>
      <c r="J419" s="24"/>
      <c r="K419" s="24"/>
      <c r="L419" s="24"/>
      <c r="M419" s="24"/>
      <c r="N419" s="25"/>
    </row>
    <row r="420" spans="2:14" x14ac:dyDescent="0.25">
      <c r="B420" s="24"/>
      <c r="C420" s="24"/>
      <c r="D420" s="24"/>
      <c r="E420" s="25"/>
      <c r="F420" s="29"/>
      <c r="G420" s="26"/>
      <c r="H420" s="26"/>
      <c r="I420" s="24"/>
      <c r="J420" s="24"/>
      <c r="K420" s="24"/>
      <c r="L420" s="24"/>
      <c r="M420" s="24"/>
      <c r="N420" s="25"/>
    </row>
    <row r="421" spans="2:14" x14ac:dyDescent="0.25">
      <c r="B421" s="24"/>
      <c r="C421" s="24"/>
      <c r="D421" s="24"/>
      <c r="E421" s="25"/>
      <c r="F421" s="29"/>
      <c r="G421" s="26"/>
      <c r="H421" s="26"/>
      <c r="I421" s="24"/>
      <c r="J421" s="24"/>
      <c r="K421" s="24"/>
      <c r="L421" s="24"/>
      <c r="M421" s="24"/>
      <c r="N421" s="25"/>
    </row>
    <row r="422" spans="2:14" x14ac:dyDescent="0.25">
      <c r="B422" s="24"/>
      <c r="C422" s="24"/>
      <c r="D422" s="24"/>
      <c r="E422" s="25"/>
      <c r="F422" s="29"/>
      <c r="G422" s="26"/>
      <c r="H422" s="26"/>
      <c r="I422" s="24"/>
      <c r="J422" s="24"/>
      <c r="K422" s="24"/>
      <c r="L422" s="24"/>
      <c r="M422" s="24"/>
      <c r="N422" s="25"/>
    </row>
    <row r="423" spans="2:14" x14ac:dyDescent="0.25">
      <c r="B423" s="24"/>
      <c r="C423" s="24"/>
      <c r="D423" s="24"/>
      <c r="E423" s="25"/>
      <c r="F423" s="29"/>
      <c r="G423" s="26"/>
      <c r="H423" s="26"/>
      <c r="I423" s="24"/>
      <c r="J423" s="24"/>
      <c r="K423" s="24"/>
      <c r="L423" s="24"/>
      <c r="M423" s="24"/>
      <c r="N423" s="25"/>
    </row>
    <row r="424" spans="2:14" x14ac:dyDescent="0.25">
      <c r="B424" s="24"/>
      <c r="C424" s="24"/>
      <c r="D424" s="24"/>
      <c r="E424" s="25"/>
      <c r="F424" s="29"/>
      <c r="G424" s="26"/>
      <c r="H424" s="26"/>
      <c r="I424" s="24"/>
      <c r="J424" s="24"/>
      <c r="K424" s="24"/>
      <c r="L424" s="24"/>
      <c r="M424" s="24"/>
      <c r="N424" s="25"/>
    </row>
    <row r="425" spans="2:14" x14ac:dyDescent="0.25">
      <c r="B425" s="24"/>
      <c r="C425" s="24"/>
      <c r="D425" s="24"/>
      <c r="E425" s="25"/>
      <c r="F425" s="29"/>
      <c r="G425" s="26"/>
      <c r="H425" s="26"/>
      <c r="I425" s="24"/>
      <c r="J425" s="24"/>
      <c r="K425" s="24"/>
      <c r="L425" s="24"/>
      <c r="M425" s="24"/>
      <c r="N425" s="25"/>
    </row>
    <row r="426" spans="2:14" x14ac:dyDescent="0.25">
      <c r="B426" s="24"/>
      <c r="C426" s="24"/>
      <c r="D426" s="24"/>
      <c r="E426" s="25"/>
      <c r="F426" s="29"/>
      <c r="G426" s="26"/>
      <c r="H426" s="26"/>
      <c r="I426" s="24"/>
      <c r="J426" s="24"/>
      <c r="K426" s="24"/>
      <c r="L426" s="24"/>
      <c r="M426" s="24"/>
      <c r="N426" s="25"/>
    </row>
    <row r="427" spans="2:14" x14ac:dyDescent="0.25">
      <c r="B427" s="24"/>
      <c r="C427" s="24"/>
      <c r="D427" s="24"/>
      <c r="E427" s="25"/>
      <c r="F427" s="29"/>
      <c r="G427" s="26"/>
      <c r="H427" s="26"/>
      <c r="I427" s="24"/>
      <c r="J427" s="24"/>
      <c r="K427" s="24"/>
      <c r="L427" s="24"/>
      <c r="M427" s="24"/>
      <c r="N427" s="25"/>
    </row>
    <row r="428" spans="2:14" x14ac:dyDescent="0.25">
      <c r="B428" s="24"/>
      <c r="C428" s="24"/>
      <c r="D428" s="24"/>
      <c r="E428" s="25"/>
      <c r="F428" s="29"/>
      <c r="G428" s="26"/>
      <c r="H428" s="26"/>
      <c r="I428" s="24"/>
      <c r="J428" s="24"/>
      <c r="K428" s="24"/>
      <c r="L428" s="24"/>
      <c r="M428" s="24"/>
      <c r="N428" s="25"/>
    </row>
    <row r="429" spans="2:14" x14ac:dyDescent="0.25">
      <c r="B429" s="24"/>
      <c r="C429" s="24"/>
      <c r="D429" s="24"/>
      <c r="E429" s="25"/>
      <c r="F429" s="29"/>
      <c r="G429" s="26"/>
      <c r="H429" s="26"/>
      <c r="I429" s="24"/>
      <c r="J429" s="24"/>
      <c r="K429" s="24"/>
      <c r="L429" s="24"/>
      <c r="M429" s="24"/>
      <c r="N429" s="25"/>
    </row>
    <row r="430" spans="2:14" x14ac:dyDescent="0.25">
      <c r="B430" s="24"/>
      <c r="C430" s="24"/>
      <c r="D430" s="24"/>
      <c r="E430" s="25"/>
      <c r="F430" s="29"/>
      <c r="G430" s="26"/>
      <c r="H430" s="26"/>
      <c r="I430" s="24"/>
      <c r="J430" s="24"/>
      <c r="K430" s="24"/>
      <c r="L430" s="24"/>
      <c r="M430" s="24"/>
      <c r="N430" s="25"/>
    </row>
    <row r="431" spans="2:14" x14ac:dyDescent="0.25">
      <c r="B431" s="24"/>
      <c r="C431" s="24"/>
      <c r="D431" s="24"/>
      <c r="E431" s="25"/>
      <c r="F431" s="29"/>
      <c r="G431" s="26"/>
      <c r="H431" s="26"/>
      <c r="I431" s="24"/>
      <c r="J431" s="24"/>
      <c r="K431" s="24"/>
      <c r="L431" s="24"/>
      <c r="M431" s="24"/>
      <c r="N431" s="25"/>
    </row>
    <row r="432" spans="2:14" x14ac:dyDescent="0.25">
      <c r="B432" s="24"/>
      <c r="C432" s="24"/>
      <c r="D432" s="24"/>
      <c r="E432" s="25"/>
      <c r="F432" s="29"/>
      <c r="G432" s="26"/>
      <c r="H432" s="26"/>
      <c r="I432" s="24"/>
      <c r="J432" s="24"/>
      <c r="K432" s="24"/>
      <c r="L432" s="24"/>
      <c r="M432" s="24"/>
      <c r="N432" s="25"/>
    </row>
    <row r="433" spans="2:14" x14ac:dyDescent="0.25">
      <c r="B433" s="24"/>
      <c r="C433" s="24"/>
      <c r="D433" s="24"/>
      <c r="E433" s="25"/>
      <c r="F433" s="29"/>
      <c r="G433" s="26"/>
      <c r="H433" s="26"/>
      <c r="I433" s="24"/>
      <c r="J433" s="24"/>
      <c r="K433" s="24"/>
      <c r="L433" s="24"/>
      <c r="M433" s="24"/>
      <c r="N433" s="25"/>
    </row>
    <row r="434" spans="2:14" x14ac:dyDescent="0.25">
      <c r="B434" s="24"/>
      <c r="C434" s="24"/>
      <c r="D434" s="24"/>
      <c r="E434" s="25"/>
      <c r="F434" s="29"/>
      <c r="G434" s="26"/>
      <c r="H434" s="26"/>
      <c r="I434" s="24"/>
      <c r="J434" s="24"/>
      <c r="K434" s="24"/>
      <c r="L434" s="24"/>
      <c r="M434" s="24"/>
      <c r="N434" s="25"/>
    </row>
    <row r="435" spans="2:14" x14ac:dyDescent="0.25">
      <c r="B435" s="24"/>
      <c r="C435" s="24"/>
      <c r="D435" s="24"/>
      <c r="E435" s="25"/>
      <c r="F435" s="29"/>
      <c r="G435" s="26"/>
      <c r="H435" s="26"/>
      <c r="I435" s="24"/>
      <c r="J435" s="24"/>
      <c r="K435" s="24"/>
      <c r="L435" s="24"/>
      <c r="M435" s="24"/>
      <c r="N435" s="25"/>
    </row>
    <row r="436" spans="2:14" x14ac:dyDescent="0.25">
      <c r="B436" s="24"/>
      <c r="C436" s="24"/>
      <c r="D436" s="24"/>
      <c r="E436" s="25"/>
      <c r="F436" s="29"/>
      <c r="G436" s="26"/>
      <c r="H436" s="26"/>
      <c r="I436" s="24"/>
      <c r="J436" s="24"/>
      <c r="K436" s="24"/>
      <c r="L436" s="24"/>
      <c r="M436" s="24"/>
      <c r="N436" s="25"/>
    </row>
    <row r="437" spans="2:14" x14ac:dyDescent="0.25">
      <c r="B437" s="24"/>
      <c r="C437" s="24"/>
      <c r="D437" s="24"/>
      <c r="E437" s="25"/>
      <c r="F437" s="29"/>
      <c r="G437" s="26"/>
      <c r="H437" s="26"/>
      <c r="I437" s="24"/>
      <c r="J437" s="24"/>
      <c r="K437" s="24"/>
      <c r="L437" s="24"/>
      <c r="M437" s="24"/>
      <c r="N437" s="25"/>
    </row>
    <row r="438" spans="2:14" x14ac:dyDescent="0.25">
      <c r="B438" s="24"/>
      <c r="C438" s="24"/>
      <c r="D438" s="24"/>
      <c r="E438" s="25"/>
      <c r="F438" s="29"/>
      <c r="G438" s="26"/>
      <c r="H438" s="26"/>
      <c r="I438" s="24"/>
      <c r="J438" s="24"/>
      <c r="K438" s="24"/>
      <c r="L438" s="24"/>
      <c r="M438" s="24"/>
      <c r="N438" s="25"/>
    </row>
    <row r="439" spans="2:14" x14ac:dyDescent="0.25">
      <c r="B439" s="24"/>
      <c r="C439" s="24"/>
      <c r="D439" s="24"/>
      <c r="E439" s="25"/>
      <c r="F439" s="29"/>
      <c r="G439" s="26"/>
      <c r="H439" s="26"/>
      <c r="I439" s="24"/>
      <c r="J439" s="24"/>
      <c r="K439" s="24"/>
      <c r="L439" s="24"/>
      <c r="M439" s="24"/>
      <c r="N439" s="25"/>
    </row>
    <row r="440" spans="2:14" x14ac:dyDescent="0.25">
      <c r="B440" s="24"/>
      <c r="C440" s="24"/>
      <c r="D440" s="24"/>
      <c r="E440" s="25"/>
      <c r="F440" s="29"/>
      <c r="G440" s="26"/>
      <c r="H440" s="26"/>
      <c r="I440" s="24"/>
      <c r="J440" s="24"/>
      <c r="K440" s="24"/>
      <c r="L440" s="24"/>
      <c r="M440" s="24"/>
      <c r="N440" s="25"/>
    </row>
    <row r="441" spans="2:14" x14ac:dyDescent="0.25">
      <c r="B441" s="24"/>
      <c r="C441" s="24"/>
      <c r="D441" s="24"/>
      <c r="E441" s="25"/>
      <c r="F441" s="29"/>
      <c r="G441" s="26"/>
      <c r="H441" s="26"/>
      <c r="I441" s="24"/>
      <c r="J441" s="24"/>
      <c r="K441" s="24"/>
      <c r="L441" s="24"/>
      <c r="M441" s="24"/>
      <c r="N441" s="25"/>
    </row>
    <row r="442" spans="2:14" x14ac:dyDescent="0.25">
      <c r="B442" s="24"/>
      <c r="C442" s="24"/>
      <c r="D442" s="24"/>
      <c r="E442" s="25"/>
      <c r="F442" s="29"/>
      <c r="G442" s="26"/>
      <c r="H442" s="26"/>
      <c r="I442" s="24"/>
      <c r="J442" s="24"/>
      <c r="K442" s="24"/>
      <c r="L442" s="24"/>
      <c r="M442" s="24"/>
      <c r="N442" s="25"/>
    </row>
    <row r="443" spans="2:14" x14ac:dyDescent="0.25">
      <c r="B443" s="24"/>
      <c r="C443" s="24"/>
      <c r="D443" s="24"/>
      <c r="E443" s="25"/>
      <c r="F443" s="29"/>
      <c r="G443" s="26"/>
      <c r="H443" s="26"/>
      <c r="I443" s="24"/>
      <c r="J443" s="24"/>
      <c r="K443" s="24"/>
      <c r="L443" s="24"/>
      <c r="M443" s="24"/>
      <c r="N443" s="25"/>
    </row>
    <row r="444" spans="2:14" x14ac:dyDescent="0.25">
      <c r="B444" s="24"/>
      <c r="C444" s="24"/>
      <c r="D444" s="24"/>
      <c r="E444" s="25"/>
      <c r="F444" s="29"/>
      <c r="G444" s="26"/>
      <c r="H444" s="26"/>
      <c r="I444" s="24"/>
      <c r="J444" s="24"/>
      <c r="K444" s="24"/>
      <c r="L444" s="24"/>
      <c r="M444" s="24"/>
      <c r="N444" s="25"/>
    </row>
    <row r="445" spans="2:14" x14ac:dyDescent="0.25">
      <c r="B445" s="24"/>
      <c r="C445" s="24"/>
      <c r="D445" s="24"/>
      <c r="E445" s="25"/>
      <c r="F445" s="29"/>
      <c r="G445" s="26"/>
      <c r="H445" s="26"/>
      <c r="I445" s="24"/>
      <c r="J445" s="24"/>
      <c r="K445" s="24"/>
      <c r="L445" s="24"/>
      <c r="M445" s="24"/>
      <c r="N445" s="25"/>
    </row>
    <row r="446" spans="2:14" x14ac:dyDescent="0.25">
      <c r="B446" s="24"/>
      <c r="C446" s="24"/>
      <c r="D446" s="24"/>
      <c r="E446" s="25"/>
      <c r="F446" s="29"/>
      <c r="G446" s="26"/>
      <c r="H446" s="26"/>
      <c r="I446" s="24"/>
      <c r="J446" s="24"/>
      <c r="K446" s="24"/>
      <c r="L446" s="24"/>
      <c r="M446" s="24"/>
      <c r="N446" s="25"/>
    </row>
    <row r="447" spans="2:14" x14ac:dyDescent="0.25">
      <c r="B447" s="24"/>
      <c r="C447" s="24"/>
      <c r="D447" s="24"/>
      <c r="E447" s="25"/>
      <c r="F447" s="29"/>
      <c r="G447" s="26"/>
      <c r="H447" s="26"/>
      <c r="I447" s="24"/>
      <c r="J447" s="24"/>
      <c r="K447" s="24"/>
      <c r="L447" s="24"/>
      <c r="M447" s="24"/>
      <c r="N447" s="25"/>
    </row>
    <row r="448" spans="2:14" x14ac:dyDescent="0.25">
      <c r="B448" s="24"/>
      <c r="C448" s="24"/>
      <c r="D448" s="24"/>
      <c r="E448" s="25"/>
      <c r="F448" s="29"/>
      <c r="G448" s="26"/>
      <c r="H448" s="26"/>
      <c r="I448" s="24"/>
      <c r="J448" s="24"/>
      <c r="K448" s="24"/>
      <c r="L448" s="24"/>
      <c r="M448" s="24"/>
      <c r="N448" s="25"/>
    </row>
    <row r="449" spans="2:14" x14ac:dyDescent="0.25">
      <c r="B449" s="24"/>
      <c r="C449" s="24"/>
      <c r="D449" s="24"/>
      <c r="E449" s="25"/>
      <c r="F449" s="29"/>
      <c r="G449" s="26"/>
      <c r="H449" s="26"/>
      <c r="I449" s="24"/>
      <c r="J449" s="24"/>
      <c r="K449" s="24"/>
      <c r="L449" s="24"/>
      <c r="M449" s="24"/>
      <c r="N449" s="25"/>
    </row>
    <row r="450" spans="2:14" x14ac:dyDescent="0.25">
      <c r="B450" s="24"/>
      <c r="C450" s="24"/>
      <c r="D450" s="24"/>
      <c r="E450" s="25"/>
      <c r="F450" s="29"/>
      <c r="G450" s="26"/>
      <c r="H450" s="26"/>
      <c r="I450" s="24"/>
      <c r="J450" s="24"/>
      <c r="K450" s="24"/>
      <c r="L450" s="24"/>
      <c r="M450" s="24"/>
      <c r="N450" s="25"/>
    </row>
    <row r="451" spans="2:14" x14ac:dyDescent="0.25">
      <c r="B451" s="24"/>
      <c r="C451" s="24"/>
      <c r="D451" s="24"/>
      <c r="E451" s="25"/>
      <c r="F451" s="29"/>
      <c r="G451" s="26"/>
      <c r="H451" s="26"/>
      <c r="I451" s="24"/>
      <c r="J451" s="24"/>
      <c r="K451" s="24"/>
      <c r="L451" s="24"/>
      <c r="M451" s="24"/>
      <c r="N451" s="25"/>
    </row>
    <row r="452" spans="2:14" x14ac:dyDescent="0.25">
      <c r="B452" s="24"/>
      <c r="C452" s="24"/>
      <c r="D452" s="24"/>
      <c r="E452" s="25"/>
      <c r="F452" s="29"/>
      <c r="G452" s="26"/>
      <c r="H452" s="26"/>
      <c r="I452" s="24"/>
      <c r="J452" s="24"/>
      <c r="K452" s="24"/>
      <c r="L452" s="24"/>
      <c r="M452" s="24"/>
      <c r="N452" s="25"/>
    </row>
    <row r="453" spans="2:14" x14ac:dyDescent="0.25">
      <c r="B453" s="24"/>
      <c r="C453" s="24"/>
      <c r="D453" s="24"/>
      <c r="E453" s="25"/>
      <c r="F453" s="29"/>
      <c r="G453" s="26"/>
      <c r="H453" s="26"/>
      <c r="I453" s="24"/>
      <c r="J453" s="24"/>
      <c r="K453" s="24"/>
      <c r="L453" s="24"/>
      <c r="M453" s="24"/>
      <c r="N453" s="25"/>
    </row>
    <row r="454" spans="2:14" x14ac:dyDescent="0.25">
      <c r="B454" s="24"/>
      <c r="C454" s="24"/>
      <c r="D454" s="24"/>
      <c r="E454" s="25"/>
      <c r="F454" s="29"/>
      <c r="G454" s="26"/>
      <c r="H454" s="26"/>
      <c r="I454" s="24"/>
      <c r="J454" s="24"/>
      <c r="K454" s="24"/>
      <c r="L454" s="24"/>
      <c r="M454" s="24"/>
      <c r="N454" s="25"/>
    </row>
    <row r="455" spans="2:14" x14ac:dyDescent="0.25">
      <c r="B455" s="24"/>
      <c r="C455" s="24"/>
      <c r="D455" s="24"/>
      <c r="E455" s="25"/>
      <c r="F455" s="29"/>
      <c r="G455" s="26"/>
      <c r="H455" s="26"/>
      <c r="I455" s="24"/>
      <c r="J455" s="24"/>
      <c r="K455" s="24"/>
      <c r="L455" s="24"/>
      <c r="M455" s="24"/>
      <c r="N455" s="25"/>
    </row>
    <row r="456" spans="2:14" x14ac:dyDescent="0.25">
      <c r="B456" s="24"/>
      <c r="C456" s="24"/>
      <c r="D456" s="24"/>
      <c r="E456" s="25"/>
      <c r="F456" s="29"/>
      <c r="G456" s="26"/>
      <c r="H456" s="26"/>
      <c r="I456" s="24"/>
      <c r="J456" s="24"/>
      <c r="K456" s="24"/>
      <c r="L456" s="24"/>
      <c r="M456" s="24"/>
      <c r="N456" s="25"/>
    </row>
    <row r="457" spans="2:14" x14ac:dyDescent="0.25">
      <c r="B457" s="24"/>
      <c r="C457" s="24"/>
      <c r="D457" s="24"/>
      <c r="E457" s="25"/>
      <c r="F457" s="29"/>
      <c r="G457" s="26"/>
      <c r="H457" s="26"/>
      <c r="I457" s="24"/>
      <c r="J457" s="24"/>
      <c r="K457" s="24"/>
      <c r="L457" s="24"/>
      <c r="M457" s="24"/>
      <c r="N457" s="25"/>
    </row>
    <row r="458" spans="2:14" x14ac:dyDescent="0.25">
      <c r="B458" s="24"/>
      <c r="C458" s="24"/>
      <c r="D458" s="24"/>
      <c r="E458" s="25"/>
      <c r="F458" s="29"/>
      <c r="G458" s="26"/>
      <c r="H458" s="26"/>
      <c r="I458" s="24"/>
      <c r="J458" s="24"/>
      <c r="K458" s="24"/>
      <c r="L458" s="24"/>
      <c r="M458" s="24"/>
      <c r="N458" s="25"/>
    </row>
    <row r="459" spans="2:14" x14ac:dyDescent="0.25">
      <c r="B459" s="24"/>
      <c r="C459" s="24"/>
      <c r="D459" s="24"/>
      <c r="E459" s="25"/>
      <c r="F459" s="29"/>
      <c r="G459" s="26"/>
      <c r="H459" s="26"/>
      <c r="I459" s="24"/>
      <c r="J459" s="24"/>
      <c r="K459" s="24"/>
      <c r="L459" s="24"/>
      <c r="M459" s="24"/>
      <c r="N459" s="25"/>
    </row>
    <row r="460" spans="2:14" x14ac:dyDescent="0.25">
      <c r="B460" s="24"/>
      <c r="C460" s="24"/>
      <c r="D460" s="24"/>
      <c r="E460" s="25"/>
      <c r="F460" s="29"/>
      <c r="G460" s="26"/>
      <c r="H460" s="26"/>
      <c r="I460" s="24"/>
      <c r="J460" s="24"/>
      <c r="K460" s="24"/>
      <c r="L460" s="24"/>
      <c r="M460" s="24"/>
      <c r="N460" s="25"/>
    </row>
    <row r="461" spans="2:14" x14ac:dyDescent="0.25">
      <c r="B461" s="24"/>
      <c r="C461" s="24"/>
      <c r="D461" s="24"/>
      <c r="E461" s="25"/>
      <c r="F461" s="29"/>
      <c r="G461" s="26"/>
      <c r="H461" s="26"/>
      <c r="I461" s="24"/>
      <c r="J461" s="24"/>
      <c r="K461" s="24"/>
      <c r="L461" s="24"/>
      <c r="M461" s="24"/>
      <c r="N461" s="25"/>
    </row>
    <row r="462" spans="2:14" x14ac:dyDescent="0.25">
      <c r="B462" s="24"/>
      <c r="C462" s="24"/>
      <c r="D462" s="24"/>
      <c r="E462" s="25"/>
      <c r="F462" s="29"/>
      <c r="G462" s="26"/>
      <c r="H462" s="26"/>
      <c r="I462" s="24"/>
      <c r="J462" s="24"/>
      <c r="K462" s="24"/>
      <c r="L462" s="24"/>
      <c r="M462" s="24"/>
      <c r="N462" s="25"/>
    </row>
    <row r="463" spans="2:14" x14ac:dyDescent="0.25">
      <c r="B463" s="24"/>
      <c r="C463" s="24"/>
      <c r="D463" s="24"/>
      <c r="E463" s="25"/>
      <c r="F463" s="29"/>
      <c r="G463" s="26"/>
      <c r="H463" s="26"/>
      <c r="I463" s="24"/>
      <c r="J463" s="24"/>
      <c r="K463" s="24"/>
      <c r="L463" s="24"/>
      <c r="M463" s="24"/>
      <c r="N463" s="25"/>
    </row>
    <row r="464" spans="2:14" x14ac:dyDescent="0.25">
      <c r="B464" s="24"/>
      <c r="C464" s="24"/>
      <c r="D464" s="24"/>
      <c r="E464" s="25"/>
      <c r="F464" s="29"/>
      <c r="G464" s="26"/>
      <c r="H464" s="26"/>
      <c r="I464" s="24"/>
      <c r="J464" s="24"/>
      <c r="K464" s="24"/>
      <c r="L464" s="24"/>
      <c r="M464" s="24"/>
      <c r="N464" s="25"/>
    </row>
    <row r="465" spans="2:14" x14ac:dyDescent="0.25">
      <c r="B465" s="24"/>
      <c r="C465" s="24"/>
      <c r="D465" s="24"/>
      <c r="E465" s="25"/>
      <c r="F465" s="29"/>
      <c r="G465" s="26"/>
      <c r="H465" s="26"/>
      <c r="I465" s="24"/>
      <c r="J465" s="24"/>
      <c r="K465" s="24"/>
      <c r="L465" s="24"/>
      <c r="M465" s="24"/>
      <c r="N465" s="25"/>
    </row>
    <row r="466" spans="2:14" x14ac:dyDescent="0.25">
      <c r="B466" s="24"/>
      <c r="C466" s="24"/>
      <c r="D466" s="24"/>
      <c r="E466" s="25"/>
      <c r="F466" s="29"/>
      <c r="G466" s="26"/>
      <c r="H466" s="26"/>
      <c r="I466" s="24"/>
      <c r="J466" s="24"/>
      <c r="K466" s="24"/>
      <c r="L466" s="24"/>
      <c r="M466" s="24"/>
      <c r="N466" s="25"/>
    </row>
    <row r="467" spans="2:14" x14ac:dyDescent="0.25">
      <c r="B467" s="24"/>
      <c r="C467" s="24"/>
      <c r="D467" s="24"/>
      <c r="E467" s="25"/>
      <c r="F467" s="29"/>
      <c r="G467" s="26"/>
      <c r="H467" s="26"/>
      <c r="I467" s="24"/>
      <c r="J467" s="24"/>
      <c r="K467" s="24"/>
      <c r="L467" s="24"/>
      <c r="M467" s="24"/>
      <c r="N467" s="25"/>
    </row>
    <row r="468" spans="2:14" x14ac:dyDescent="0.25">
      <c r="B468" s="24"/>
      <c r="C468" s="24"/>
      <c r="D468" s="24"/>
      <c r="E468" s="25"/>
      <c r="F468" s="29"/>
      <c r="G468" s="26"/>
      <c r="H468" s="26"/>
      <c r="I468" s="24"/>
      <c r="J468" s="24"/>
      <c r="K468" s="24"/>
      <c r="L468" s="24"/>
      <c r="M468" s="24"/>
      <c r="N468" s="25"/>
    </row>
    <row r="469" spans="2:14" x14ac:dyDescent="0.25">
      <c r="B469" s="24"/>
      <c r="C469" s="24"/>
      <c r="D469" s="24"/>
      <c r="E469" s="25"/>
      <c r="F469" s="29"/>
      <c r="G469" s="26"/>
      <c r="H469" s="26"/>
      <c r="I469" s="24"/>
      <c r="J469" s="24"/>
      <c r="K469" s="24"/>
      <c r="L469" s="24"/>
      <c r="M469" s="24"/>
      <c r="N469" s="25"/>
    </row>
    <row r="470" spans="2:14" x14ac:dyDescent="0.25">
      <c r="B470" s="24"/>
      <c r="C470" s="24"/>
      <c r="D470" s="24"/>
      <c r="E470" s="25"/>
      <c r="F470" s="29"/>
      <c r="G470" s="26"/>
      <c r="H470" s="26"/>
      <c r="I470" s="24"/>
      <c r="J470" s="24"/>
      <c r="K470" s="24"/>
      <c r="L470" s="24"/>
      <c r="M470" s="24"/>
      <c r="N470" s="25"/>
    </row>
    <row r="471" spans="2:14" x14ac:dyDescent="0.25">
      <c r="B471" s="24"/>
      <c r="C471" s="24"/>
      <c r="D471" s="24"/>
      <c r="E471" s="25"/>
      <c r="F471" s="29"/>
      <c r="G471" s="26"/>
      <c r="H471" s="26"/>
      <c r="I471" s="24"/>
      <c r="J471" s="24"/>
      <c r="K471" s="24"/>
      <c r="L471" s="24"/>
      <c r="M471" s="24"/>
      <c r="N471" s="25"/>
    </row>
    <row r="472" spans="2:14" x14ac:dyDescent="0.25">
      <c r="B472" s="24"/>
      <c r="C472" s="24"/>
      <c r="D472" s="24"/>
      <c r="E472" s="25"/>
      <c r="F472" s="29"/>
      <c r="G472" s="26"/>
      <c r="H472" s="26"/>
      <c r="I472" s="24"/>
      <c r="J472" s="24"/>
      <c r="K472" s="24"/>
      <c r="L472" s="24"/>
      <c r="M472" s="24"/>
      <c r="N472" s="25"/>
    </row>
    <row r="473" spans="2:14" x14ac:dyDescent="0.25">
      <c r="B473" s="24"/>
      <c r="C473" s="24"/>
      <c r="D473" s="24"/>
      <c r="E473" s="25"/>
      <c r="F473" s="29"/>
      <c r="G473" s="26"/>
      <c r="H473" s="26"/>
      <c r="I473" s="24"/>
      <c r="J473" s="24"/>
      <c r="K473" s="24"/>
      <c r="L473" s="24"/>
      <c r="M473" s="24"/>
      <c r="N473" s="25"/>
    </row>
    <row r="474" spans="2:14" x14ac:dyDescent="0.25">
      <c r="B474" s="24"/>
      <c r="C474" s="24"/>
      <c r="D474" s="24"/>
      <c r="E474" s="25"/>
      <c r="F474" s="29"/>
      <c r="G474" s="26"/>
      <c r="H474" s="26"/>
      <c r="I474" s="24"/>
      <c r="J474" s="24"/>
      <c r="K474" s="24"/>
      <c r="L474" s="24"/>
      <c r="M474" s="24"/>
      <c r="N474" s="25"/>
    </row>
    <row r="475" spans="2:14" x14ac:dyDescent="0.25">
      <c r="B475" s="24"/>
      <c r="C475" s="24"/>
      <c r="D475" s="24"/>
      <c r="E475" s="25"/>
      <c r="F475" s="29"/>
      <c r="G475" s="26"/>
      <c r="H475" s="26"/>
      <c r="I475" s="24"/>
      <c r="J475" s="24"/>
      <c r="K475" s="24"/>
      <c r="L475" s="24"/>
      <c r="M475" s="24"/>
      <c r="N475" s="25"/>
    </row>
    <row r="476" spans="2:14" x14ac:dyDescent="0.25">
      <c r="B476" s="24"/>
      <c r="C476" s="24"/>
      <c r="D476" s="24"/>
      <c r="E476" s="25"/>
      <c r="F476" s="29"/>
      <c r="G476" s="26"/>
      <c r="H476" s="26"/>
      <c r="I476" s="24"/>
      <c r="J476" s="24"/>
      <c r="K476" s="24"/>
      <c r="L476" s="24"/>
      <c r="M476" s="24"/>
      <c r="N476" s="25"/>
    </row>
    <row r="477" spans="2:14" x14ac:dyDescent="0.25">
      <c r="B477" s="24"/>
      <c r="C477" s="24"/>
      <c r="D477" s="24"/>
      <c r="E477" s="25"/>
      <c r="F477" s="29"/>
      <c r="G477" s="26"/>
      <c r="H477" s="26"/>
      <c r="I477" s="24"/>
      <c r="J477" s="24"/>
      <c r="K477" s="24"/>
      <c r="L477" s="24"/>
      <c r="M477" s="24"/>
      <c r="N477" s="25"/>
    </row>
    <row r="478" spans="2:14" x14ac:dyDescent="0.25">
      <c r="B478" s="24"/>
      <c r="C478" s="24"/>
      <c r="D478" s="24"/>
      <c r="E478" s="25"/>
      <c r="F478" s="29"/>
      <c r="G478" s="26"/>
      <c r="H478" s="26"/>
      <c r="I478" s="24"/>
      <c r="J478" s="24"/>
      <c r="K478" s="24"/>
      <c r="L478" s="24"/>
      <c r="M478" s="24"/>
      <c r="N478" s="25"/>
    </row>
    <row r="479" spans="2:14" x14ac:dyDescent="0.25">
      <c r="B479" s="24"/>
      <c r="C479" s="24"/>
      <c r="D479" s="24"/>
      <c r="E479" s="25"/>
      <c r="F479" s="29"/>
      <c r="G479" s="26"/>
      <c r="H479" s="26"/>
      <c r="I479" s="24"/>
      <c r="J479" s="24"/>
      <c r="K479" s="24"/>
      <c r="L479" s="24"/>
      <c r="M479" s="24"/>
      <c r="N479" s="25"/>
    </row>
    <row r="480" spans="2:14" x14ac:dyDescent="0.25">
      <c r="B480" s="24"/>
      <c r="C480" s="24"/>
      <c r="D480" s="24"/>
      <c r="E480" s="25"/>
      <c r="F480" s="29"/>
      <c r="G480" s="26"/>
      <c r="H480" s="26"/>
      <c r="I480" s="24"/>
      <c r="J480" s="24"/>
      <c r="K480" s="24"/>
      <c r="L480" s="24"/>
      <c r="M480" s="24"/>
      <c r="N480" s="25"/>
    </row>
    <row r="481" spans="2:14" x14ac:dyDescent="0.25">
      <c r="B481" s="24"/>
      <c r="C481" s="24"/>
      <c r="D481" s="24"/>
      <c r="E481" s="25"/>
      <c r="F481" s="29"/>
      <c r="G481" s="26"/>
      <c r="H481" s="26"/>
      <c r="I481" s="24"/>
      <c r="J481" s="24"/>
      <c r="K481" s="24"/>
      <c r="L481" s="24"/>
      <c r="M481" s="24"/>
      <c r="N481" s="25"/>
    </row>
    <row r="482" spans="2:14" x14ac:dyDescent="0.25">
      <c r="B482" s="24"/>
      <c r="C482" s="24"/>
      <c r="D482" s="24"/>
      <c r="E482" s="25"/>
      <c r="F482" s="29"/>
      <c r="G482" s="26"/>
      <c r="H482" s="26"/>
      <c r="I482" s="24"/>
      <c r="J482" s="24"/>
      <c r="K482" s="24"/>
      <c r="L482" s="24"/>
      <c r="M482" s="24"/>
      <c r="N482" s="25"/>
    </row>
    <row r="483" spans="2:14" x14ac:dyDescent="0.25">
      <c r="B483" s="24"/>
      <c r="C483" s="24"/>
      <c r="D483" s="24"/>
      <c r="E483" s="25"/>
      <c r="F483" s="29"/>
      <c r="G483" s="26"/>
      <c r="H483" s="26"/>
      <c r="I483" s="24"/>
      <c r="J483" s="24"/>
      <c r="K483" s="24"/>
      <c r="L483" s="24"/>
      <c r="M483" s="24"/>
      <c r="N483" s="25"/>
    </row>
    <row r="484" spans="2:14" x14ac:dyDescent="0.25">
      <c r="B484" s="24"/>
      <c r="C484" s="24"/>
      <c r="D484" s="24"/>
      <c r="E484" s="25"/>
      <c r="F484" s="29"/>
      <c r="G484" s="26"/>
      <c r="H484" s="26"/>
      <c r="I484" s="24"/>
      <c r="J484" s="24"/>
      <c r="K484" s="24"/>
      <c r="L484" s="24"/>
      <c r="M484" s="24"/>
      <c r="N484" s="25"/>
    </row>
    <row r="485" spans="2:14" x14ac:dyDescent="0.25">
      <c r="B485" s="24"/>
      <c r="C485" s="24"/>
      <c r="D485" s="24"/>
      <c r="E485" s="25"/>
      <c r="F485" s="29"/>
      <c r="G485" s="26"/>
      <c r="H485" s="26"/>
      <c r="I485" s="24"/>
      <c r="J485" s="24"/>
      <c r="K485" s="24"/>
      <c r="L485" s="24"/>
      <c r="M485" s="24"/>
      <c r="N485" s="25"/>
    </row>
    <row r="486" spans="2:14" x14ac:dyDescent="0.25">
      <c r="B486" s="24"/>
      <c r="C486" s="24"/>
      <c r="D486" s="24"/>
      <c r="E486" s="25"/>
      <c r="F486" s="29"/>
      <c r="G486" s="26"/>
      <c r="H486" s="26"/>
      <c r="I486" s="24"/>
      <c r="J486" s="24"/>
      <c r="K486" s="24"/>
      <c r="L486" s="24"/>
      <c r="M486" s="24"/>
      <c r="N486" s="25"/>
    </row>
    <row r="487" spans="2:14" x14ac:dyDescent="0.25">
      <c r="B487" s="24"/>
      <c r="C487" s="24"/>
      <c r="D487" s="24"/>
      <c r="E487" s="25"/>
      <c r="F487" s="29"/>
      <c r="G487" s="26"/>
      <c r="H487" s="26"/>
      <c r="I487" s="24"/>
      <c r="J487" s="24"/>
      <c r="K487" s="24"/>
      <c r="L487" s="24"/>
      <c r="M487" s="24"/>
      <c r="N487" s="25"/>
    </row>
    <row r="488" spans="2:14" x14ac:dyDescent="0.25">
      <c r="B488" s="24"/>
      <c r="C488" s="24"/>
      <c r="D488" s="24"/>
      <c r="E488" s="25"/>
      <c r="F488" s="29"/>
      <c r="G488" s="26"/>
      <c r="H488" s="26"/>
      <c r="I488" s="24"/>
      <c r="J488" s="24"/>
      <c r="K488" s="24"/>
      <c r="L488" s="24"/>
      <c r="M488" s="24"/>
      <c r="N488" s="25"/>
    </row>
    <row r="489" spans="2:14" x14ac:dyDescent="0.25">
      <c r="B489" s="24"/>
      <c r="C489" s="24"/>
      <c r="D489" s="24"/>
      <c r="E489" s="25"/>
      <c r="F489" s="29"/>
      <c r="G489" s="26"/>
      <c r="H489" s="26"/>
      <c r="I489" s="24"/>
      <c r="J489" s="24"/>
      <c r="K489" s="24"/>
      <c r="L489" s="24"/>
      <c r="M489" s="24"/>
      <c r="N489" s="25"/>
    </row>
    <row r="490" spans="2:14" x14ac:dyDescent="0.25">
      <c r="B490" s="24"/>
      <c r="C490" s="24"/>
      <c r="D490" s="24"/>
      <c r="E490" s="25"/>
      <c r="F490" s="29"/>
      <c r="G490" s="26"/>
      <c r="H490" s="26"/>
      <c r="I490" s="24"/>
      <c r="J490" s="24"/>
      <c r="K490" s="24"/>
      <c r="L490" s="24"/>
      <c r="M490" s="24"/>
      <c r="N490" s="25"/>
    </row>
    <row r="491" spans="2:14" x14ac:dyDescent="0.25">
      <c r="B491" s="24"/>
      <c r="C491" s="24"/>
      <c r="D491" s="24"/>
      <c r="E491" s="25"/>
      <c r="F491" s="29"/>
      <c r="G491" s="26"/>
      <c r="H491" s="26"/>
      <c r="I491" s="24"/>
      <c r="J491" s="24"/>
      <c r="K491" s="24"/>
      <c r="L491" s="24"/>
      <c r="M491" s="24"/>
      <c r="N491" s="25"/>
    </row>
    <row r="492" spans="2:14" x14ac:dyDescent="0.25">
      <c r="B492" s="24"/>
      <c r="C492" s="24"/>
      <c r="D492" s="24"/>
      <c r="E492" s="25"/>
      <c r="F492" s="29"/>
      <c r="G492" s="26"/>
      <c r="H492" s="26"/>
      <c r="I492" s="24"/>
      <c r="J492" s="24"/>
      <c r="K492" s="24"/>
      <c r="L492" s="24"/>
      <c r="M492" s="24"/>
      <c r="N492" s="25"/>
    </row>
    <row r="493" spans="2:14" x14ac:dyDescent="0.25">
      <c r="B493" s="24"/>
      <c r="C493" s="24"/>
      <c r="D493" s="24"/>
      <c r="E493" s="25"/>
      <c r="F493" s="29"/>
      <c r="G493" s="26"/>
      <c r="H493" s="26"/>
      <c r="I493" s="24"/>
      <c r="J493" s="24"/>
      <c r="K493" s="24"/>
      <c r="L493" s="24"/>
      <c r="M493" s="24"/>
      <c r="N493" s="25"/>
    </row>
    <row r="494" spans="2:14" x14ac:dyDescent="0.25">
      <c r="B494" s="24"/>
      <c r="C494" s="24"/>
      <c r="D494" s="24"/>
      <c r="E494" s="25"/>
      <c r="F494" s="29"/>
      <c r="G494" s="26"/>
      <c r="H494" s="26"/>
      <c r="I494" s="24"/>
      <c r="J494" s="24"/>
      <c r="K494" s="24"/>
      <c r="L494" s="24"/>
      <c r="M494" s="24"/>
      <c r="N494" s="25"/>
    </row>
    <row r="495" spans="2:14" x14ac:dyDescent="0.25">
      <c r="B495" s="24"/>
      <c r="C495" s="24"/>
      <c r="D495" s="24"/>
      <c r="E495" s="25"/>
      <c r="F495" s="29"/>
      <c r="G495" s="26"/>
      <c r="H495" s="26"/>
      <c r="I495" s="24"/>
      <c r="J495" s="24"/>
      <c r="K495" s="24"/>
      <c r="L495" s="24"/>
      <c r="M495" s="24"/>
      <c r="N495" s="25"/>
    </row>
    <row r="496" spans="2:14" x14ac:dyDescent="0.25">
      <c r="B496" s="24"/>
      <c r="C496" s="24"/>
      <c r="D496" s="24"/>
      <c r="E496" s="25"/>
      <c r="F496" s="29"/>
      <c r="G496" s="26"/>
      <c r="H496" s="26"/>
      <c r="I496" s="24"/>
      <c r="J496" s="24"/>
      <c r="K496" s="24"/>
      <c r="L496" s="24"/>
      <c r="M496" s="24"/>
      <c r="N496" s="25"/>
    </row>
    <row r="497" spans="2:14" x14ac:dyDescent="0.25">
      <c r="B497" s="24"/>
      <c r="C497" s="24"/>
      <c r="D497" s="24"/>
      <c r="E497" s="25"/>
      <c r="F497" s="29"/>
      <c r="G497" s="26"/>
      <c r="H497" s="26"/>
      <c r="I497" s="24"/>
      <c r="J497" s="24"/>
      <c r="K497" s="24"/>
      <c r="L497" s="24"/>
      <c r="M497" s="24"/>
      <c r="N497" s="25"/>
    </row>
    <row r="498" spans="2:14" x14ac:dyDescent="0.25">
      <c r="B498" s="24"/>
      <c r="C498" s="24"/>
      <c r="D498" s="24"/>
      <c r="E498" s="25"/>
      <c r="F498" s="29"/>
      <c r="G498" s="26"/>
      <c r="H498" s="26"/>
      <c r="I498" s="24"/>
      <c r="J498" s="24"/>
      <c r="K498" s="24"/>
      <c r="L498" s="24"/>
      <c r="M498" s="24"/>
      <c r="N498" s="25"/>
    </row>
    <row r="499" spans="2:14" x14ac:dyDescent="0.25">
      <c r="B499" s="24"/>
      <c r="C499" s="24"/>
      <c r="D499" s="24"/>
      <c r="E499" s="25"/>
      <c r="F499" s="29"/>
      <c r="G499" s="26"/>
      <c r="H499" s="26"/>
      <c r="I499" s="24"/>
      <c r="J499" s="24"/>
      <c r="K499" s="24"/>
      <c r="L499" s="24"/>
      <c r="M499" s="24"/>
      <c r="N499" s="25"/>
    </row>
    <row r="500" spans="2:14" x14ac:dyDescent="0.25">
      <c r="B500" s="24"/>
      <c r="C500" s="24"/>
      <c r="D500" s="24"/>
      <c r="E500" s="25"/>
      <c r="F500" s="29"/>
      <c r="G500" s="26"/>
      <c r="H500" s="26"/>
      <c r="I500" s="24"/>
      <c r="J500" s="24"/>
      <c r="K500" s="24"/>
      <c r="L500" s="24"/>
      <c r="M500" s="24"/>
      <c r="N500" s="25"/>
    </row>
    <row r="501" spans="2:14" x14ac:dyDescent="0.25">
      <c r="B501" s="24"/>
      <c r="C501" s="24"/>
      <c r="D501" s="24"/>
      <c r="E501" s="25"/>
      <c r="F501" s="29"/>
      <c r="G501" s="26"/>
      <c r="H501" s="26"/>
      <c r="I501" s="24"/>
      <c r="J501" s="24"/>
      <c r="K501" s="24"/>
      <c r="L501" s="24"/>
      <c r="M501" s="24"/>
      <c r="N501" s="25"/>
    </row>
    <row r="502" spans="2:14" x14ac:dyDescent="0.25">
      <c r="B502" s="24"/>
      <c r="C502" s="24"/>
      <c r="D502" s="24"/>
      <c r="E502" s="25"/>
      <c r="F502" s="29"/>
      <c r="G502" s="26"/>
      <c r="H502" s="26"/>
      <c r="I502" s="24"/>
      <c r="J502" s="24"/>
      <c r="K502" s="24"/>
      <c r="L502" s="24"/>
      <c r="M502" s="24"/>
      <c r="N502" s="25"/>
    </row>
    <row r="503" spans="2:14" x14ac:dyDescent="0.25">
      <c r="B503" s="24"/>
      <c r="C503" s="24"/>
      <c r="D503" s="24"/>
      <c r="E503" s="25"/>
      <c r="F503" s="29"/>
      <c r="G503" s="26"/>
      <c r="H503" s="26"/>
      <c r="I503" s="24"/>
      <c r="J503" s="24"/>
      <c r="K503" s="24"/>
      <c r="L503" s="24"/>
      <c r="M503" s="24"/>
      <c r="N503" s="25"/>
    </row>
    <row r="504" spans="2:14" x14ac:dyDescent="0.25">
      <c r="B504" s="24"/>
      <c r="C504" s="24"/>
      <c r="D504" s="24"/>
      <c r="E504" s="25"/>
      <c r="F504" s="29"/>
      <c r="G504" s="26"/>
      <c r="H504" s="26"/>
      <c r="I504" s="24"/>
      <c r="J504" s="24"/>
      <c r="K504" s="24"/>
      <c r="L504" s="24"/>
      <c r="M504" s="24"/>
      <c r="N504" s="25"/>
    </row>
    <row r="505" spans="2:14" x14ac:dyDescent="0.25">
      <c r="B505" s="24"/>
      <c r="C505" s="24"/>
      <c r="D505" s="24"/>
      <c r="E505" s="25"/>
      <c r="F505" s="29"/>
      <c r="G505" s="26"/>
      <c r="H505" s="26"/>
      <c r="I505" s="24"/>
      <c r="J505" s="24"/>
      <c r="K505" s="24"/>
      <c r="L505" s="24"/>
      <c r="M505" s="24"/>
      <c r="N505" s="25"/>
    </row>
    <row r="506" spans="2:14" x14ac:dyDescent="0.25">
      <c r="B506" s="24"/>
      <c r="C506" s="24"/>
      <c r="D506" s="24"/>
      <c r="E506" s="25"/>
      <c r="F506" s="29"/>
      <c r="G506" s="26"/>
      <c r="H506" s="26"/>
      <c r="I506" s="24"/>
      <c r="J506" s="24"/>
      <c r="K506" s="24"/>
      <c r="L506" s="24"/>
      <c r="M506" s="24"/>
      <c r="N506" s="25"/>
    </row>
    <row r="507" spans="2:14" x14ac:dyDescent="0.25">
      <c r="B507" s="24"/>
      <c r="C507" s="24"/>
      <c r="D507" s="24"/>
      <c r="E507" s="25"/>
      <c r="F507" s="29"/>
      <c r="G507" s="26"/>
      <c r="H507" s="26"/>
      <c r="I507" s="24"/>
      <c r="J507" s="24"/>
      <c r="K507" s="24"/>
      <c r="L507" s="24"/>
      <c r="M507" s="24"/>
      <c r="N507" s="25"/>
    </row>
    <row r="508" spans="2:14" x14ac:dyDescent="0.25">
      <c r="B508" s="24"/>
      <c r="C508" s="24"/>
      <c r="D508" s="24"/>
      <c r="E508" s="25"/>
      <c r="F508" s="29"/>
      <c r="G508" s="26"/>
      <c r="H508" s="26"/>
      <c r="I508" s="24"/>
      <c r="J508" s="24"/>
      <c r="K508" s="24"/>
      <c r="L508" s="24"/>
      <c r="M508" s="24"/>
      <c r="N508" s="25"/>
    </row>
    <row r="509" spans="2:14" x14ac:dyDescent="0.25">
      <c r="B509" s="24"/>
      <c r="C509" s="24"/>
      <c r="D509" s="24"/>
      <c r="E509" s="25"/>
      <c r="F509" s="29"/>
      <c r="G509" s="26"/>
      <c r="H509" s="26"/>
      <c r="I509" s="24"/>
      <c r="J509" s="24"/>
      <c r="K509" s="24"/>
      <c r="L509" s="24"/>
      <c r="M509" s="24"/>
      <c r="N509" s="25"/>
    </row>
    <row r="510" spans="2:14" x14ac:dyDescent="0.25">
      <c r="B510" s="24"/>
      <c r="C510" s="24"/>
      <c r="D510" s="24"/>
      <c r="E510" s="25"/>
      <c r="F510" s="29"/>
      <c r="G510" s="26"/>
      <c r="H510" s="26"/>
      <c r="I510" s="24"/>
      <c r="J510" s="24"/>
      <c r="K510" s="24"/>
      <c r="L510" s="24"/>
      <c r="M510" s="24"/>
      <c r="N510" s="25"/>
    </row>
    <row r="511" spans="2:14" x14ac:dyDescent="0.25">
      <c r="B511" s="24"/>
      <c r="C511" s="24"/>
      <c r="D511" s="24"/>
      <c r="E511" s="25"/>
      <c r="F511" s="29"/>
      <c r="G511" s="26"/>
      <c r="H511" s="26"/>
      <c r="I511" s="24"/>
      <c r="J511" s="24"/>
      <c r="K511" s="24"/>
      <c r="L511" s="24"/>
      <c r="M511" s="24"/>
      <c r="N511" s="25"/>
    </row>
    <row r="512" spans="2:14" x14ac:dyDescent="0.25">
      <c r="B512" s="24"/>
      <c r="C512" s="24"/>
      <c r="D512" s="24"/>
      <c r="E512" s="25"/>
      <c r="F512" s="29"/>
      <c r="G512" s="26"/>
      <c r="H512" s="26"/>
      <c r="I512" s="24"/>
      <c r="J512" s="24"/>
      <c r="K512" s="24"/>
      <c r="L512" s="24"/>
      <c r="M512" s="24"/>
      <c r="N512" s="25"/>
    </row>
    <row r="513" spans="2:14" x14ac:dyDescent="0.25">
      <c r="B513" s="24"/>
      <c r="C513" s="24"/>
      <c r="D513" s="24"/>
      <c r="E513" s="25"/>
      <c r="F513" s="29"/>
      <c r="G513" s="26"/>
      <c r="H513" s="26"/>
      <c r="I513" s="24"/>
      <c r="J513" s="24"/>
      <c r="K513" s="24"/>
      <c r="L513" s="24"/>
      <c r="M513" s="24"/>
      <c r="N513" s="25"/>
    </row>
    <row r="514" spans="2:14" x14ac:dyDescent="0.25">
      <c r="B514" s="24"/>
      <c r="C514" s="24"/>
      <c r="D514" s="24"/>
      <c r="E514" s="25"/>
      <c r="F514" s="29"/>
      <c r="G514" s="26"/>
      <c r="H514" s="26"/>
      <c r="I514" s="24"/>
      <c r="J514" s="24"/>
      <c r="K514" s="24"/>
      <c r="L514" s="24"/>
      <c r="M514" s="24"/>
      <c r="N514" s="25"/>
    </row>
    <row r="515" spans="2:14" x14ac:dyDescent="0.25">
      <c r="B515" s="24"/>
      <c r="C515" s="24"/>
      <c r="D515" s="24"/>
      <c r="E515" s="25"/>
      <c r="F515" s="29"/>
      <c r="G515" s="26"/>
      <c r="H515" s="26"/>
      <c r="I515" s="24"/>
      <c r="J515" s="24"/>
      <c r="K515" s="24"/>
      <c r="L515" s="24"/>
      <c r="M515" s="24"/>
      <c r="N515" s="25"/>
    </row>
    <row r="516" spans="2:14" x14ac:dyDescent="0.25">
      <c r="B516" s="24"/>
      <c r="C516" s="24"/>
      <c r="D516" s="24"/>
      <c r="E516" s="25"/>
      <c r="F516" s="29"/>
      <c r="G516" s="26"/>
      <c r="H516" s="26"/>
      <c r="I516" s="24"/>
      <c r="J516" s="24"/>
      <c r="K516" s="24"/>
      <c r="L516" s="24"/>
      <c r="M516" s="24"/>
      <c r="N516" s="25"/>
    </row>
    <row r="517" spans="2:14" x14ac:dyDescent="0.25">
      <c r="B517" s="24"/>
      <c r="C517" s="24"/>
      <c r="D517" s="24"/>
      <c r="E517" s="25"/>
      <c r="F517" s="29"/>
      <c r="G517" s="26"/>
      <c r="H517" s="26"/>
      <c r="I517" s="24"/>
      <c r="J517" s="24"/>
      <c r="K517" s="24"/>
      <c r="L517" s="24"/>
      <c r="M517" s="24"/>
      <c r="N517" s="25"/>
    </row>
    <row r="518" spans="2:14" x14ac:dyDescent="0.25">
      <c r="B518" s="24"/>
      <c r="C518" s="24"/>
      <c r="D518" s="24"/>
      <c r="E518" s="25"/>
      <c r="F518" s="29"/>
      <c r="G518" s="26"/>
      <c r="H518" s="26"/>
      <c r="I518" s="24"/>
      <c r="J518" s="24"/>
      <c r="K518" s="24"/>
      <c r="L518" s="24"/>
      <c r="M518" s="24"/>
      <c r="N518" s="25"/>
    </row>
    <row r="519" spans="2:14" x14ac:dyDescent="0.25">
      <c r="B519" s="24"/>
      <c r="C519" s="24"/>
      <c r="D519" s="24"/>
      <c r="E519" s="25"/>
      <c r="F519" s="29"/>
      <c r="G519" s="26"/>
      <c r="H519" s="26"/>
      <c r="I519" s="24"/>
      <c r="J519" s="24"/>
      <c r="K519" s="24"/>
      <c r="L519" s="24"/>
      <c r="M519" s="24"/>
      <c r="N519" s="25"/>
    </row>
    <row r="520" spans="2:14" x14ac:dyDescent="0.25">
      <c r="B520" s="24"/>
      <c r="C520" s="24"/>
      <c r="D520" s="24"/>
      <c r="E520" s="25"/>
      <c r="F520" s="29"/>
      <c r="G520" s="26"/>
      <c r="H520" s="26"/>
      <c r="I520" s="24"/>
      <c r="J520" s="24"/>
      <c r="K520" s="24"/>
      <c r="L520" s="24"/>
      <c r="M520" s="24"/>
      <c r="N520" s="25"/>
    </row>
    <row r="521" spans="2:14" x14ac:dyDescent="0.25">
      <c r="B521" s="24"/>
      <c r="C521" s="24"/>
      <c r="D521" s="24"/>
      <c r="E521" s="25"/>
      <c r="F521" s="29"/>
      <c r="G521" s="26"/>
      <c r="H521" s="26"/>
      <c r="I521" s="24"/>
      <c r="J521" s="24"/>
      <c r="K521" s="24"/>
      <c r="L521" s="24"/>
      <c r="M521" s="24"/>
      <c r="N521" s="25"/>
    </row>
    <row r="522" spans="2:14" x14ac:dyDescent="0.25">
      <c r="B522" s="24"/>
      <c r="C522" s="24"/>
      <c r="D522" s="24"/>
      <c r="E522" s="25"/>
      <c r="F522" s="29"/>
      <c r="G522" s="26"/>
      <c r="H522" s="26"/>
      <c r="I522" s="24"/>
      <c r="J522" s="24"/>
      <c r="K522" s="24"/>
      <c r="L522" s="24"/>
      <c r="M522" s="24"/>
      <c r="N522" s="25"/>
    </row>
    <row r="523" spans="2:14" x14ac:dyDescent="0.25">
      <c r="B523" s="24"/>
      <c r="C523" s="24"/>
      <c r="D523" s="24"/>
      <c r="E523" s="25"/>
      <c r="F523" s="29"/>
      <c r="G523" s="26"/>
      <c r="H523" s="26"/>
      <c r="I523" s="24"/>
      <c r="J523" s="24"/>
      <c r="K523" s="24"/>
      <c r="L523" s="24"/>
      <c r="M523" s="24"/>
      <c r="N523" s="25"/>
    </row>
    <row r="524" spans="2:14" x14ac:dyDescent="0.25">
      <c r="B524" s="24"/>
      <c r="C524" s="24"/>
      <c r="D524" s="24"/>
      <c r="E524" s="25"/>
      <c r="F524" s="29"/>
      <c r="G524" s="26"/>
      <c r="H524" s="26"/>
      <c r="I524" s="24"/>
      <c r="J524" s="24"/>
      <c r="K524" s="24"/>
      <c r="L524" s="24"/>
      <c r="M524" s="24"/>
      <c r="N524" s="25"/>
    </row>
    <row r="525" spans="2:14" x14ac:dyDescent="0.25">
      <c r="B525" s="24"/>
      <c r="C525" s="24"/>
      <c r="D525" s="24"/>
      <c r="E525" s="25"/>
      <c r="F525" s="29"/>
      <c r="G525" s="26"/>
      <c r="H525" s="26"/>
      <c r="I525" s="24"/>
      <c r="J525" s="24"/>
      <c r="K525" s="24"/>
      <c r="L525" s="24"/>
      <c r="M525" s="24"/>
      <c r="N525" s="25"/>
    </row>
    <row r="526" spans="2:14" x14ac:dyDescent="0.25">
      <c r="B526" s="24"/>
      <c r="C526" s="24"/>
      <c r="D526" s="24"/>
      <c r="E526" s="25"/>
      <c r="F526" s="29"/>
      <c r="G526" s="26"/>
      <c r="H526" s="26"/>
      <c r="I526" s="24"/>
      <c r="J526" s="24"/>
      <c r="K526" s="24"/>
      <c r="L526" s="24"/>
      <c r="M526" s="24"/>
      <c r="N526" s="25"/>
    </row>
    <row r="527" spans="2:14" x14ac:dyDescent="0.25">
      <c r="B527" s="24"/>
      <c r="C527" s="24"/>
      <c r="D527" s="24"/>
      <c r="E527" s="25"/>
      <c r="F527" s="29"/>
      <c r="G527" s="26"/>
      <c r="H527" s="26"/>
      <c r="I527" s="24"/>
      <c r="J527" s="24"/>
      <c r="K527" s="24"/>
      <c r="L527" s="24"/>
      <c r="M527" s="24"/>
      <c r="N527" s="25"/>
    </row>
    <row r="528" spans="2:14" x14ac:dyDescent="0.25">
      <c r="B528" s="24"/>
      <c r="C528" s="24"/>
      <c r="D528" s="24"/>
      <c r="E528" s="25"/>
      <c r="F528" s="29"/>
      <c r="G528" s="26"/>
      <c r="H528" s="26"/>
      <c r="I528" s="24"/>
      <c r="J528" s="24"/>
      <c r="K528" s="24"/>
      <c r="L528" s="24"/>
      <c r="M528" s="24"/>
      <c r="N528" s="25"/>
    </row>
    <row r="529" spans="2:14" x14ac:dyDescent="0.25">
      <c r="B529" s="24"/>
      <c r="C529" s="24"/>
      <c r="D529" s="24"/>
      <c r="E529" s="25"/>
      <c r="F529" s="29"/>
      <c r="G529" s="26"/>
      <c r="H529" s="26"/>
      <c r="I529" s="24"/>
      <c r="J529" s="24"/>
      <c r="K529" s="24"/>
      <c r="L529" s="24"/>
      <c r="M529" s="24"/>
      <c r="N529" s="25"/>
    </row>
    <row r="530" spans="2:14" x14ac:dyDescent="0.25">
      <c r="B530" s="24"/>
      <c r="C530" s="24"/>
      <c r="D530" s="24"/>
      <c r="E530" s="25"/>
      <c r="F530" s="29"/>
      <c r="G530" s="26"/>
      <c r="H530" s="26"/>
      <c r="I530" s="24"/>
      <c r="J530" s="24"/>
      <c r="K530" s="24"/>
      <c r="L530" s="24"/>
      <c r="M530" s="24"/>
      <c r="N530" s="25"/>
    </row>
    <row r="531" spans="2:14" x14ac:dyDescent="0.25">
      <c r="B531" s="24"/>
      <c r="C531" s="24"/>
      <c r="D531" s="24"/>
      <c r="E531" s="25"/>
      <c r="F531" s="29"/>
      <c r="G531" s="26"/>
      <c r="H531" s="26"/>
      <c r="I531" s="24"/>
      <c r="J531" s="24"/>
      <c r="K531" s="24"/>
      <c r="L531" s="24"/>
      <c r="M531" s="24"/>
      <c r="N531" s="25"/>
    </row>
    <row r="532" spans="2:14" x14ac:dyDescent="0.25">
      <c r="B532" s="24"/>
      <c r="C532" s="24"/>
      <c r="D532" s="24"/>
      <c r="E532" s="25"/>
      <c r="F532" s="29"/>
      <c r="G532" s="26"/>
      <c r="H532" s="26"/>
      <c r="I532" s="24"/>
      <c r="J532" s="24"/>
      <c r="K532" s="24"/>
      <c r="L532" s="24"/>
      <c r="M532" s="24"/>
      <c r="N532" s="25"/>
    </row>
    <row r="533" spans="2:14" x14ac:dyDescent="0.25">
      <c r="B533" s="24"/>
      <c r="C533" s="24"/>
      <c r="D533" s="24"/>
      <c r="E533" s="25"/>
      <c r="F533" s="29"/>
      <c r="G533" s="26"/>
      <c r="H533" s="26"/>
      <c r="I533" s="24"/>
      <c r="J533" s="24"/>
      <c r="K533" s="24"/>
      <c r="L533" s="24"/>
      <c r="M533" s="24"/>
      <c r="N533" s="25"/>
    </row>
    <row r="534" spans="2:14" x14ac:dyDescent="0.25">
      <c r="B534" s="24"/>
      <c r="C534" s="24"/>
      <c r="D534" s="24"/>
      <c r="E534" s="25"/>
      <c r="F534" s="29"/>
      <c r="G534" s="26"/>
      <c r="H534" s="26"/>
      <c r="I534" s="24"/>
      <c r="J534" s="24"/>
      <c r="K534" s="24"/>
      <c r="L534" s="24"/>
      <c r="M534" s="24"/>
      <c r="N534" s="25"/>
    </row>
    <row r="535" spans="2:14" x14ac:dyDescent="0.25">
      <c r="B535" s="24"/>
      <c r="C535" s="24"/>
      <c r="D535" s="24"/>
      <c r="E535" s="25"/>
      <c r="F535" s="29"/>
      <c r="G535" s="26"/>
      <c r="H535" s="26"/>
      <c r="I535" s="24"/>
      <c r="J535" s="24"/>
      <c r="K535" s="24"/>
      <c r="L535" s="24"/>
      <c r="M535" s="24"/>
      <c r="N535" s="25"/>
    </row>
    <row r="536" spans="2:14" x14ac:dyDescent="0.25">
      <c r="B536" s="24"/>
      <c r="C536" s="24"/>
      <c r="D536" s="24"/>
      <c r="E536" s="25"/>
      <c r="F536" s="29"/>
      <c r="G536" s="26"/>
      <c r="H536" s="26"/>
      <c r="I536" s="24"/>
      <c r="J536" s="24"/>
      <c r="K536" s="24"/>
      <c r="L536" s="24"/>
      <c r="M536" s="24"/>
      <c r="N536" s="25"/>
    </row>
    <row r="537" spans="2:14" x14ac:dyDescent="0.25">
      <c r="B537" s="24"/>
      <c r="C537" s="24"/>
      <c r="D537" s="24"/>
      <c r="E537" s="25"/>
      <c r="F537" s="29"/>
      <c r="G537" s="26"/>
      <c r="H537" s="26"/>
      <c r="I537" s="24"/>
      <c r="J537" s="24"/>
      <c r="K537" s="24"/>
      <c r="L537" s="24"/>
      <c r="M537" s="24"/>
      <c r="N537" s="25"/>
    </row>
    <row r="538" spans="2:14" x14ac:dyDescent="0.25">
      <c r="B538" s="24"/>
      <c r="C538" s="24"/>
      <c r="D538" s="24"/>
      <c r="E538" s="25"/>
      <c r="F538" s="29"/>
      <c r="G538" s="26"/>
      <c r="H538" s="26"/>
      <c r="I538" s="24"/>
      <c r="J538" s="24"/>
      <c r="K538" s="24"/>
      <c r="L538" s="24"/>
      <c r="M538" s="24"/>
      <c r="N538" s="25"/>
    </row>
    <row r="539" spans="2:14" x14ac:dyDescent="0.25">
      <c r="B539" s="24"/>
      <c r="C539" s="24"/>
      <c r="D539" s="24"/>
      <c r="E539" s="25"/>
      <c r="F539" s="29"/>
      <c r="G539" s="26"/>
      <c r="H539" s="26"/>
      <c r="I539" s="24"/>
      <c r="J539" s="24"/>
      <c r="K539" s="24"/>
      <c r="L539" s="24"/>
      <c r="M539" s="24"/>
      <c r="N539" s="25"/>
    </row>
    <row r="540" spans="2:14" x14ac:dyDescent="0.25">
      <c r="B540" s="24"/>
      <c r="C540" s="24"/>
      <c r="D540" s="24"/>
      <c r="E540" s="25"/>
      <c r="F540" s="29"/>
      <c r="G540" s="26"/>
      <c r="H540" s="26"/>
      <c r="I540" s="24"/>
      <c r="J540" s="24"/>
      <c r="K540" s="24"/>
      <c r="L540" s="24"/>
      <c r="M540" s="24"/>
      <c r="N540" s="25"/>
    </row>
    <row r="541" spans="2:14" x14ac:dyDescent="0.25">
      <c r="B541" s="24"/>
      <c r="C541" s="24"/>
      <c r="D541" s="24"/>
      <c r="E541" s="25"/>
      <c r="F541" s="29"/>
      <c r="G541" s="26"/>
      <c r="H541" s="26"/>
      <c r="I541" s="24"/>
      <c r="J541" s="24"/>
      <c r="K541" s="24"/>
      <c r="L541" s="24"/>
      <c r="M541" s="24"/>
      <c r="N541" s="25"/>
    </row>
    <row r="542" spans="2:14" x14ac:dyDescent="0.25">
      <c r="B542" s="24"/>
      <c r="C542" s="24"/>
      <c r="D542" s="24"/>
      <c r="E542" s="25"/>
      <c r="F542" s="29"/>
      <c r="G542" s="26"/>
      <c r="H542" s="26"/>
      <c r="I542" s="24"/>
      <c r="J542" s="24"/>
      <c r="K542" s="24"/>
      <c r="L542" s="24"/>
      <c r="M542" s="24"/>
      <c r="N542" s="25"/>
    </row>
    <row r="543" spans="2:14" x14ac:dyDescent="0.25">
      <c r="B543" s="24"/>
      <c r="C543" s="24"/>
      <c r="D543" s="24"/>
      <c r="E543" s="25"/>
      <c r="F543" s="29"/>
      <c r="G543" s="26"/>
      <c r="H543" s="26"/>
      <c r="I543" s="24"/>
      <c r="J543" s="24"/>
      <c r="K543" s="24"/>
      <c r="L543" s="24"/>
      <c r="M543" s="24"/>
      <c r="N543" s="25"/>
    </row>
    <row r="544" spans="2:14" x14ac:dyDescent="0.25">
      <c r="B544" s="24"/>
      <c r="C544" s="24"/>
      <c r="D544" s="24"/>
      <c r="E544" s="25"/>
      <c r="F544" s="29"/>
      <c r="G544" s="26"/>
      <c r="H544" s="26"/>
      <c r="I544" s="24"/>
      <c r="J544" s="24"/>
      <c r="K544" s="24"/>
      <c r="L544" s="24"/>
      <c r="M544" s="24"/>
      <c r="N544" s="25"/>
    </row>
    <row r="545" spans="2:14" x14ac:dyDescent="0.25">
      <c r="B545" s="24"/>
      <c r="C545" s="24"/>
      <c r="D545" s="24"/>
      <c r="E545" s="25"/>
      <c r="F545" s="29"/>
      <c r="G545" s="26"/>
      <c r="H545" s="26"/>
      <c r="I545" s="24"/>
      <c r="J545" s="24"/>
      <c r="K545" s="24"/>
      <c r="L545" s="24"/>
      <c r="M545" s="24"/>
      <c r="N545" s="25"/>
    </row>
    <row r="546" spans="2:14" x14ac:dyDescent="0.25">
      <c r="B546" s="24"/>
      <c r="C546" s="24"/>
      <c r="D546" s="24"/>
      <c r="E546" s="25"/>
      <c r="F546" s="29"/>
      <c r="G546" s="26"/>
      <c r="H546" s="26"/>
      <c r="I546" s="24"/>
      <c r="J546" s="24"/>
      <c r="K546" s="24"/>
      <c r="L546" s="24"/>
      <c r="M546" s="24"/>
      <c r="N546" s="25"/>
    </row>
    <row r="547" spans="2:14" x14ac:dyDescent="0.25">
      <c r="B547" s="24"/>
      <c r="C547" s="24"/>
      <c r="D547" s="24"/>
      <c r="E547" s="25"/>
      <c r="F547" s="29"/>
      <c r="G547" s="26"/>
      <c r="H547" s="26"/>
      <c r="I547" s="24"/>
      <c r="J547" s="24"/>
      <c r="K547" s="24"/>
      <c r="L547" s="24"/>
      <c r="M547" s="24"/>
      <c r="N547" s="25"/>
    </row>
    <row r="548" spans="2:14" x14ac:dyDescent="0.25">
      <c r="B548" s="24"/>
      <c r="C548" s="24"/>
      <c r="D548" s="24"/>
      <c r="E548" s="25"/>
      <c r="F548" s="29"/>
      <c r="G548" s="26"/>
      <c r="H548" s="26"/>
      <c r="I548" s="24"/>
      <c r="J548" s="24"/>
      <c r="K548" s="24"/>
      <c r="L548" s="24"/>
      <c r="M548" s="24"/>
      <c r="N548" s="25"/>
    </row>
    <row r="549" spans="2:14" x14ac:dyDescent="0.25">
      <c r="B549" s="24"/>
      <c r="C549" s="24"/>
      <c r="D549" s="24"/>
      <c r="E549" s="25"/>
      <c r="F549" s="29"/>
      <c r="G549" s="26"/>
      <c r="H549" s="26"/>
      <c r="I549" s="24"/>
      <c r="J549" s="24"/>
      <c r="K549" s="24"/>
      <c r="L549" s="24"/>
      <c r="M549" s="24"/>
      <c r="N549" s="25"/>
    </row>
    <row r="550" spans="2:14" x14ac:dyDescent="0.25">
      <c r="B550" s="24"/>
      <c r="C550" s="24"/>
      <c r="D550" s="24"/>
      <c r="E550" s="25"/>
      <c r="F550" s="29"/>
      <c r="G550" s="26"/>
      <c r="H550" s="26"/>
      <c r="I550" s="24"/>
      <c r="J550" s="24"/>
      <c r="K550" s="24"/>
      <c r="L550" s="24"/>
      <c r="M550" s="24"/>
      <c r="N550" s="25"/>
    </row>
    <row r="551" spans="2:14" x14ac:dyDescent="0.25">
      <c r="B551" s="24"/>
      <c r="C551" s="24"/>
      <c r="D551" s="24"/>
      <c r="E551" s="25"/>
      <c r="F551" s="29"/>
      <c r="G551" s="26"/>
      <c r="H551" s="26"/>
      <c r="I551" s="24"/>
      <c r="J551" s="24"/>
      <c r="K551" s="24"/>
      <c r="L551" s="24"/>
      <c r="M551" s="24"/>
      <c r="N551" s="25"/>
    </row>
    <row r="552" spans="2:14" x14ac:dyDescent="0.25">
      <c r="B552" s="24"/>
      <c r="C552" s="24"/>
      <c r="D552" s="24"/>
      <c r="E552" s="25"/>
      <c r="F552" s="29"/>
      <c r="G552" s="26"/>
      <c r="H552" s="26"/>
      <c r="I552" s="24"/>
      <c r="J552" s="24"/>
      <c r="K552" s="24"/>
      <c r="L552" s="24"/>
      <c r="M552" s="24"/>
      <c r="N552" s="25"/>
    </row>
    <row r="553" spans="2:14" x14ac:dyDescent="0.25">
      <c r="B553" s="24"/>
      <c r="C553" s="24"/>
      <c r="D553" s="24"/>
      <c r="E553" s="25"/>
      <c r="F553" s="29"/>
      <c r="G553" s="26"/>
      <c r="H553" s="26"/>
      <c r="I553" s="24"/>
      <c r="J553" s="24"/>
      <c r="K553" s="24"/>
      <c r="L553" s="24"/>
      <c r="M553" s="24"/>
      <c r="N553" s="25"/>
    </row>
    <row r="554" spans="2:14" x14ac:dyDescent="0.25">
      <c r="B554" s="24"/>
      <c r="C554" s="24"/>
      <c r="D554" s="24"/>
      <c r="E554" s="25"/>
      <c r="F554" s="29"/>
      <c r="G554" s="26"/>
      <c r="H554" s="26"/>
      <c r="I554" s="24"/>
      <c r="J554" s="24"/>
      <c r="K554" s="24"/>
      <c r="L554" s="24"/>
      <c r="M554" s="24"/>
      <c r="N554" s="25"/>
    </row>
    <row r="555" spans="2:14" x14ac:dyDescent="0.25">
      <c r="B555" s="24"/>
      <c r="C555" s="24"/>
      <c r="D555" s="24"/>
      <c r="E555" s="25"/>
      <c r="F555" s="29"/>
      <c r="G555" s="26"/>
      <c r="H555" s="26"/>
      <c r="I555" s="24"/>
      <c r="J555" s="24"/>
      <c r="K555" s="24"/>
      <c r="L555" s="24"/>
      <c r="M555" s="24"/>
      <c r="N555" s="25"/>
    </row>
    <row r="556" spans="2:14" x14ac:dyDescent="0.25">
      <c r="B556" s="24"/>
      <c r="C556" s="24"/>
      <c r="D556" s="24"/>
      <c r="E556" s="25"/>
      <c r="F556" s="29"/>
      <c r="G556" s="26"/>
      <c r="H556" s="26"/>
      <c r="I556" s="24"/>
      <c r="J556" s="24"/>
      <c r="K556" s="24"/>
      <c r="L556" s="24"/>
      <c r="M556" s="24"/>
      <c r="N556" s="25"/>
    </row>
    <row r="557" spans="2:14" x14ac:dyDescent="0.25">
      <c r="B557" s="24"/>
      <c r="C557" s="24"/>
      <c r="D557" s="24"/>
      <c r="E557" s="25"/>
      <c r="F557" s="29"/>
      <c r="G557" s="26"/>
      <c r="H557" s="26"/>
      <c r="I557" s="24"/>
      <c r="J557" s="24"/>
      <c r="K557" s="24"/>
      <c r="L557" s="24"/>
      <c r="M557" s="24"/>
      <c r="N557" s="25"/>
    </row>
    <row r="558" spans="2:14" x14ac:dyDescent="0.25">
      <c r="B558" s="24"/>
      <c r="C558" s="24"/>
      <c r="D558" s="24"/>
      <c r="E558" s="25"/>
      <c r="F558" s="29"/>
      <c r="G558" s="26"/>
      <c r="H558" s="26"/>
      <c r="I558" s="24"/>
      <c r="J558" s="24"/>
      <c r="K558" s="24"/>
      <c r="L558" s="24"/>
      <c r="M558" s="24"/>
      <c r="N558" s="25"/>
    </row>
    <row r="559" spans="2:14" x14ac:dyDescent="0.25">
      <c r="B559" s="24"/>
      <c r="C559" s="24"/>
      <c r="D559" s="24"/>
      <c r="E559" s="25"/>
      <c r="F559" s="29"/>
      <c r="G559" s="26"/>
      <c r="H559" s="26"/>
      <c r="I559" s="24"/>
      <c r="J559" s="24"/>
      <c r="K559" s="24"/>
      <c r="L559" s="24"/>
      <c r="M559" s="24"/>
      <c r="N559" s="25"/>
    </row>
    <row r="560" spans="2:14" x14ac:dyDescent="0.25">
      <c r="B560" s="24"/>
      <c r="C560" s="24"/>
      <c r="D560" s="24"/>
      <c r="E560" s="25"/>
      <c r="F560" s="29"/>
      <c r="G560" s="26"/>
      <c r="H560" s="26"/>
      <c r="I560" s="24"/>
      <c r="J560" s="24"/>
      <c r="K560" s="24"/>
      <c r="L560" s="24"/>
      <c r="M560" s="24"/>
      <c r="N560" s="25"/>
    </row>
    <row r="561" spans="2:14" x14ac:dyDescent="0.25">
      <c r="B561" s="24"/>
      <c r="C561" s="24"/>
      <c r="D561" s="24"/>
      <c r="E561" s="25"/>
      <c r="F561" s="29"/>
      <c r="G561" s="26"/>
      <c r="H561" s="26"/>
      <c r="I561" s="24"/>
      <c r="J561" s="24"/>
      <c r="K561" s="24"/>
      <c r="L561" s="24"/>
      <c r="M561" s="24"/>
      <c r="N561" s="25"/>
    </row>
    <row r="562" spans="2:14" x14ac:dyDescent="0.25">
      <c r="B562" s="24"/>
      <c r="C562" s="24"/>
      <c r="D562" s="24"/>
      <c r="E562" s="25"/>
      <c r="F562" s="29"/>
      <c r="G562" s="26"/>
      <c r="H562" s="26"/>
      <c r="I562" s="24"/>
      <c r="J562" s="24"/>
      <c r="K562" s="24"/>
      <c r="L562" s="24"/>
      <c r="M562" s="24"/>
      <c r="N562" s="25"/>
    </row>
    <row r="563" spans="2:14" x14ac:dyDescent="0.25">
      <c r="B563" s="24"/>
      <c r="C563" s="24"/>
      <c r="D563" s="24"/>
      <c r="E563" s="25"/>
      <c r="F563" s="29"/>
      <c r="G563" s="26"/>
      <c r="H563" s="26"/>
      <c r="I563" s="24"/>
      <c r="J563" s="24"/>
      <c r="K563" s="24"/>
      <c r="L563" s="24"/>
      <c r="M563" s="24"/>
      <c r="N563" s="25"/>
    </row>
    <row r="564" spans="2:14" x14ac:dyDescent="0.25">
      <c r="B564" s="24"/>
      <c r="C564" s="24"/>
      <c r="D564" s="24"/>
      <c r="E564" s="25"/>
      <c r="F564" s="29"/>
      <c r="G564" s="26"/>
      <c r="H564" s="26"/>
      <c r="I564" s="24"/>
      <c r="J564" s="24"/>
      <c r="K564" s="24"/>
      <c r="L564" s="24"/>
      <c r="M564" s="24"/>
      <c r="N564" s="25"/>
    </row>
    <row r="565" spans="2:14" x14ac:dyDescent="0.25">
      <c r="B565" s="24"/>
      <c r="C565" s="24"/>
      <c r="D565" s="24"/>
      <c r="E565" s="25"/>
      <c r="F565" s="29"/>
      <c r="G565" s="26"/>
      <c r="H565" s="26"/>
      <c r="I565" s="24"/>
      <c r="J565" s="24"/>
      <c r="K565" s="24"/>
      <c r="L565" s="24"/>
      <c r="M565" s="24"/>
      <c r="N565" s="25"/>
    </row>
    <row r="566" spans="2:14" x14ac:dyDescent="0.25">
      <c r="B566" s="24"/>
      <c r="C566" s="24"/>
      <c r="D566" s="24"/>
      <c r="E566" s="25"/>
      <c r="F566" s="29"/>
      <c r="G566" s="26"/>
      <c r="H566" s="26"/>
      <c r="I566" s="24"/>
      <c r="J566" s="24"/>
      <c r="K566" s="24"/>
      <c r="L566" s="24"/>
      <c r="M566" s="24"/>
      <c r="N566" s="25"/>
    </row>
    <row r="567" spans="2:14" x14ac:dyDescent="0.25">
      <c r="B567" s="24"/>
      <c r="C567" s="24"/>
      <c r="D567" s="24"/>
      <c r="E567" s="25"/>
      <c r="F567" s="29"/>
      <c r="G567" s="26"/>
      <c r="H567" s="26"/>
      <c r="I567" s="24"/>
      <c r="J567" s="24"/>
      <c r="K567" s="24"/>
      <c r="L567" s="24"/>
      <c r="M567" s="24"/>
      <c r="N567" s="25"/>
    </row>
    <row r="568" spans="2:14" x14ac:dyDescent="0.25">
      <c r="B568" s="24"/>
      <c r="C568" s="24"/>
      <c r="D568" s="24"/>
      <c r="E568" s="25"/>
      <c r="F568" s="29"/>
      <c r="G568" s="26"/>
      <c r="H568" s="26"/>
      <c r="I568" s="24"/>
      <c r="J568" s="24"/>
      <c r="K568" s="24"/>
      <c r="L568" s="24"/>
      <c r="M568" s="24"/>
      <c r="N568" s="25"/>
    </row>
    <row r="569" spans="2:14" x14ac:dyDescent="0.25">
      <c r="B569" s="24"/>
      <c r="C569" s="24"/>
      <c r="D569" s="24"/>
      <c r="E569" s="25"/>
      <c r="F569" s="29"/>
      <c r="G569" s="26"/>
      <c r="H569" s="26"/>
      <c r="I569" s="24"/>
      <c r="J569" s="24"/>
      <c r="K569" s="24"/>
      <c r="L569" s="24"/>
      <c r="M569" s="24"/>
      <c r="N569" s="25"/>
    </row>
    <row r="570" spans="2:14" x14ac:dyDescent="0.25">
      <c r="B570" s="24"/>
      <c r="C570" s="24"/>
      <c r="D570" s="24"/>
      <c r="E570" s="25"/>
      <c r="F570" s="29"/>
      <c r="G570" s="26"/>
      <c r="H570" s="26"/>
      <c r="I570" s="24"/>
      <c r="J570" s="24"/>
      <c r="K570" s="24"/>
      <c r="L570" s="24"/>
      <c r="M570" s="24"/>
      <c r="N570" s="25"/>
    </row>
    <row r="571" spans="2:14" x14ac:dyDescent="0.25">
      <c r="B571" s="24"/>
      <c r="C571" s="24"/>
      <c r="D571" s="24"/>
      <c r="E571" s="25"/>
      <c r="F571" s="29"/>
      <c r="G571" s="26"/>
      <c r="H571" s="26"/>
      <c r="I571" s="24"/>
      <c r="J571" s="24"/>
      <c r="K571" s="24"/>
      <c r="L571" s="24"/>
      <c r="M571" s="24"/>
      <c r="N571" s="25"/>
    </row>
    <row r="572" spans="2:14" x14ac:dyDescent="0.25">
      <c r="B572" s="24"/>
      <c r="C572" s="24"/>
      <c r="D572" s="24"/>
      <c r="E572" s="25"/>
      <c r="F572" s="29"/>
      <c r="G572" s="26"/>
      <c r="H572" s="26"/>
      <c r="I572" s="24"/>
      <c r="J572" s="24"/>
      <c r="K572" s="24"/>
      <c r="L572" s="24"/>
      <c r="M572" s="24"/>
      <c r="N572" s="25"/>
    </row>
    <row r="573" spans="2:14" x14ac:dyDescent="0.25">
      <c r="B573" s="24"/>
      <c r="C573" s="24"/>
      <c r="D573" s="24"/>
      <c r="E573" s="25"/>
      <c r="F573" s="29"/>
      <c r="G573" s="26"/>
      <c r="H573" s="26"/>
      <c r="I573" s="24"/>
      <c r="J573" s="24"/>
      <c r="K573" s="24"/>
      <c r="L573" s="24"/>
      <c r="M573" s="24"/>
      <c r="N573" s="25"/>
    </row>
    <row r="574" spans="2:14" x14ac:dyDescent="0.25">
      <c r="B574" s="24"/>
      <c r="C574" s="24"/>
      <c r="D574" s="24"/>
      <c r="E574" s="25"/>
      <c r="F574" s="29"/>
      <c r="G574" s="26"/>
      <c r="H574" s="26"/>
      <c r="I574" s="24"/>
      <c r="J574" s="24"/>
      <c r="K574" s="24"/>
      <c r="L574" s="24"/>
      <c r="M574" s="24"/>
      <c r="N574" s="25"/>
    </row>
    <row r="575" spans="2:14" x14ac:dyDescent="0.25">
      <c r="B575" s="24"/>
      <c r="C575" s="24"/>
      <c r="D575" s="24"/>
      <c r="E575" s="25"/>
      <c r="F575" s="29"/>
      <c r="G575" s="26"/>
      <c r="H575" s="26"/>
      <c r="I575" s="24"/>
      <c r="J575" s="24"/>
      <c r="K575" s="24"/>
      <c r="L575" s="24"/>
      <c r="M575" s="24"/>
      <c r="N575" s="25"/>
    </row>
    <row r="576" spans="2:14" x14ac:dyDescent="0.25">
      <c r="B576" s="24"/>
      <c r="C576" s="24"/>
      <c r="D576" s="24"/>
      <c r="E576" s="25"/>
      <c r="F576" s="29"/>
      <c r="G576" s="26"/>
      <c r="H576" s="26"/>
      <c r="I576" s="24"/>
      <c r="J576" s="24"/>
      <c r="K576" s="24"/>
      <c r="L576" s="24"/>
      <c r="M576" s="24"/>
      <c r="N576" s="25"/>
    </row>
    <row r="577" spans="2:14" x14ac:dyDescent="0.25">
      <c r="B577" s="24"/>
      <c r="C577" s="24"/>
      <c r="D577" s="24"/>
      <c r="E577" s="25"/>
      <c r="F577" s="29"/>
      <c r="G577" s="26"/>
      <c r="H577" s="26"/>
      <c r="I577" s="24"/>
      <c r="J577" s="24"/>
      <c r="K577" s="24"/>
      <c r="L577" s="24"/>
      <c r="M577" s="24"/>
      <c r="N577" s="25"/>
    </row>
    <row r="578" spans="2:14" x14ac:dyDescent="0.25">
      <c r="B578" s="24"/>
      <c r="C578" s="24"/>
      <c r="D578" s="24"/>
      <c r="E578" s="25"/>
      <c r="F578" s="29"/>
      <c r="G578" s="26"/>
      <c r="H578" s="26"/>
      <c r="I578" s="24"/>
      <c r="J578" s="24"/>
      <c r="K578" s="24"/>
      <c r="L578" s="24"/>
      <c r="M578" s="24"/>
      <c r="N578" s="25"/>
    </row>
    <row r="579" spans="2:14" x14ac:dyDescent="0.25">
      <c r="B579" s="24"/>
      <c r="C579" s="24"/>
      <c r="D579" s="24"/>
      <c r="E579" s="25"/>
      <c r="F579" s="29"/>
      <c r="G579" s="26"/>
      <c r="H579" s="26"/>
      <c r="I579" s="24"/>
      <c r="J579" s="24"/>
      <c r="K579" s="24"/>
      <c r="L579" s="24"/>
      <c r="M579" s="24"/>
      <c r="N579" s="25"/>
    </row>
    <row r="580" spans="2:14" x14ac:dyDescent="0.25">
      <c r="B580" s="24"/>
      <c r="C580" s="24"/>
      <c r="D580" s="24"/>
      <c r="E580" s="25"/>
      <c r="F580" s="29"/>
      <c r="G580" s="26"/>
      <c r="H580" s="26"/>
      <c r="I580" s="24"/>
      <c r="J580" s="24"/>
      <c r="K580" s="24"/>
      <c r="L580" s="24"/>
      <c r="M580" s="24"/>
      <c r="N580" s="25"/>
    </row>
    <row r="581" spans="2:14" x14ac:dyDescent="0.25">
      <c r="B581" s="24"/>
      <c r="C581" s="24"/>
      <c r="D581" s="24"/>
      <c r="E581" s="25"/>
      <c r="F581" s="29"/>
      <c r="G581" s="26"/>
      <c r="H581" s="26"/>
      <c r="I581" s="24"/>
      <c r="J581" s="24"/>
      <c r="K581" s="24"/>
      <c r="L581" s="24"/>
      <c r="M581" s="24"/>
      <c r="N581" s="25"/>
    </row>
    <row r="582" spans="2:14" x14ac:dyDescent="0.25">
      <c r="B582" s="24"/>
      <c r="C582" s="24"/>
      <c r="D582" s="24"/>
      <c r="E582" s="25"/>
      <c r="F582" s="29"/>
      <c r="G582" s="26"/>
      <c r="H582" s="26"/>
      <c r="I582" s="24"/>
      <c r="J582" s="24"/>
      <c r="K582" s="24"/>
      <c r="L582" s="24"/>
      <c r="M582" s="24"/>
      <c r="N582" s="25"/>
    </row>
    <row r="583" spans="2:14" x14ac:dyDescent="0.25">
      <c r="B583" s="24"/>
      <c r="C583" s="24"/>
      <c r="D583" s="24"/>
      <c r="E583" s="25"/>
      <c r="F583" s="29"/>
      <c r="G583" s="26"/>
      <c r="H583" s="26"/>
      <c r="I583" s="24"/>
      <c r="J583" s="24"/>
      <c r="K583" s="24"/>
      <c r="L583" s="24"/>
      <c r="M583" s="24"/>
      <c r="N583" s="25"/>
    </row>
    <row r="584" spans="2:14" x14ac:dyDescent="0.25">
      <c r="B584" s="24"/>
      <c r="C584" s="24"/>
      <c r="D584" s="24"/>
      <c r="E584" s="25"/>
      <c r="F584" s="29"/>
      <c r="G584" s="26"/>
      <c r="H584" s="26"/>
      <c r="I584" s="24"/>
      <c r="J584" s="24"/>
      <c r="K584" s="24"/>
      <c r="L584" s="24"/>
      <c r="M584" s="24"/>
      <c r="N584" s="25"/>
    </row>
    <row r="585" spans="2:14" x14ac:dyDescent="0.25">
      <c r="B585" s="24"/>
      <c r="C585" s="24"/>
      <c r="D585" s="24"/>
      <c r="E585" s="25"/>
      <c r="F585" s="29"/>
      <c r="G585" s="26"/>
      <c r="H585" s="26"/>
      <c r="I585" s="24"/>
      <c r="J585" s="24"/>
      <c r="K585" s="24"/>
      <c r="L585" s="24"/>
      <c r="M585" s="24"/>
      <c r="N585" s="25"/>
    </row>
    <row r="586" spans="2:14" x14ac:dyDescent="0.25">
      <c r="B586" s="24"/>
      <c r="C586" s="24"/>
      <c r="D586" s="24"/>
      <c r="E586" s="25"/>
      <c r="F586" s="29"/>
      <c r="G586" s="26"/>
      <c r="H586" s="26"/>
      <c r="I586" s="24"/>
      <c r="J586" s="24"/>
      <c r="K586" s="24"/>
      <c r="L586" s="24"/>
      <c r="M586" s="24"/>
      <c r="N586" s="25"/>
    </row>
    <row r="587" spans="2:14" x14ac:dyDescent="0.25">
      <c r="B587" s="24"/>
      <c r="C587" s="24"/>
      <c r="D587" s="24"/>
      <c r="E587" s="25"/>
      <c r="F587" s="29"/>
      <c r="G587" s="26"/>
      <c r="H587" s="26"/>
      <c r="I587" s="24"/>
      <c r="J587" s="24"/>
      <c r="K587" s="24"/>
      <c r="L587" s="24"/>
      <c r="M587" s="24"/>
      <c r="N587" s="25"/>
    </row>
    <row r="588" spans="2:14" x14ac:dyDescent="0.25">
      <c r="B588" s="24"/>
      <c r="C588" s="24"/>
      <c r="D588" s="24"/>
      <c r="E588" s="25"/>
      <c r="F588" s="29"/>
      <c r="G588" s="26"/>
      <c r="H588" s="26"/>
      <c r="I588" s="24"/>
      <c r="J588" s="24"/>
      <c r="K588" s="24"/>
      <c r="L588" s="24"/>
      <c r="M588" s="24"/>
      <c r="N588" s="25"/>
    </row>
    <row r="589" spans="2:14" x14ac:dyDescent="0.25">
      <c r="B589" s="24"/>
      <c r="C589" s="24"/>
      <c r="D589" s="24"/>
      <c r="E589" s="25"/>
      <c r="F589" s="29"/>
      <c r="G589" s="26"/>
      <c r="H589" s="26"/>
      <c r="I589" s="24"/>
      <c r="J589" s="24"/>
      <c r="K589" s="24"/>
      <c r="L589" s="24"/>
      <c r="M589" s="24"/>
      <c r="N589" s="25"/>
    </row>
    <row r="590" spans="2:14" x14ac:dyDescent="0.25">
      <c r="B590" s="24"/>
      <c r="C590" s="24"/>
      <c r="D590" s="24"/>
      <c r="E590" s="25"/>
      <c r="F590" s="29"/>
      <c r="G590" s="26"/>
      <c r="H590" s="26"/>
      <c r="I590" s="24"/>
      <c r="J590" s="24"/>
      <c r="K590" s="24"/>
      <c r="L590" s="24"/>
      <c r="M590" s="24"/>
      <c r="N590" s="25"/>
    </row>
    <row r="591" spans="2:14" x14ac:dyDescent="0.25">
      <c r="B591" s="24"/>
      <c r="C591" s="24"/>
      <c r="D591" s="24"/>
      <c r="E591" s="25"/>
      <c r="F591" s="29"/>
      <c r="G591" s="26"/>
      <c r="H591" s="26"/>
      <c r="I591" s="24"/>
      <c r="J591" s="24"/>
      <c r="K591" s="24"/>
      <c r="L591" s="24"/>
      <c r="M591" s="24"/>
      <c r="N591" s="25"/>
    </row>
    <row r="592" spans="2:14" x14ac:dyDescent="0.25">
      <c r="B592" s="24"/>
      <c r="C592" s="24"/>
      <c r="D592" s="24"/>
      <c r="E592" s="25"/>
      <c r="F592" s="29"/>
      <c r="G592" s="26"/>
      <c r="H592" s="26"/>
      <c r="I592" s="24"/>
      <c r="J592" s="24"/>
      <c r="K592" s="24"/>
      <c r="L592" s="24"/>
      <c r="M592" s="24"/>
      <c r="N592" s="25"/>
    </row>
    <row r="593" spans="2:14" x14ac:dyDescent="0.25">
      <c r="B593" s="24"/>
      <c r="C593" s="24"/>
      <c r="D593" s="24"/>
      <c r="E593" s="25"/>
      <c r="F593" s="29"/>
      <c r="G593" s="26"/>
      <c r="H593" s="26"/>
      <c r="I593" s="24"/>
      <c r="J593" s="24"/>
      <c r="K593" s="24"/>
      <c r="L593" s="24"/>
      <c r="M593" s="24"/>
      <c r="N593" s="25"/>
    </row>
    <row r="594" spans="2:14" x14ac:dyDescent="0.25">
      <c r="B594" s="24"/>
      <c r="C594" s="24"/>
      <c r="D594" s="24"/>
      <c r="E594" s="25"/>
      <c r="F594" s="29"/>
      <c r="G594" s="26"/>
      <c r="H594" s="26"/>
      <c r="I594" s="24"/>
      <c r="J594" s="24"/>
      <c r="K594" s="24"/>
      <c r="L594" s="24"/>
      <c r="M594" s="24"/>
      <c r="N594" s="25"/>
    </row>
    <row r="595" spans="2:14" x14ac:dyDescent="0.25">
      <c r="B595" s="24"/>
      <c r="C595" s="24"/>
      <c r="D595" s="24"/>
      <c r="E595" s="25"/>
      <c r="F595" s="29"/>
      <c r="G595" s="26"/>
      <c r="H595" s="26"/>
      <c r="I595" s="24"/>
      <c r="J595" s="24"/>
      <c r="K595" s="24"/>
      <c r="L595" s="24"/>
      <c r="M595" s="24"/>
      <c r="N595" s="25"/>
    </row>
    <row r="596" spans="2:14" x14ac:dyDescent="0.25">
      <c r="B596" s="24"/>
      <c r="C596" s="24"/>
      <c r="D596" s="24"/>
      <c r="E596" s="25"/>
      <c r="F596" s="29"/>
      <c r="G596" s="26"/>
      <c r="H596" s="26"/>
      <c r="I596" s="24"/>
      <c r="J596" s="24"/>
      <c r="K596" s="24"/>
      <c r="L596" s="24"/>
      <c r="M596" s="24"/>
      <c r="N596" s="25"/>
    </row>
    <row r="597" spans="2:14" x14ac:dyDescent="0.25">
      <c r="B597" s="24"/>
      <c r="C597" s="24"/>
      <c r="D597" s="24"/>
      <c r="E597" s="25"/>
      <c r="F597" s="29"/>
      <c r="G597" s="26"/>
      <c r="H597" s="26"/>
      <c r="I597" s="24"/>
      <c r="J597" s="24"/>
      <c r="K597" s="24"/>
      <c r="L597" s="24"/>
      <c r="M597" s="24"/>
      <c r="N597" s="25"/>
    </row>
    <row r="598" spans="2:14" x14ac:dyDescent="0.25">
      <c r="B598" s="24"/>
      <c r="C598" s="24"/>
      <c r="D598" s="24"/>
      <c r="E598" s="25"/>
      <c r="F598" s="29"/>
      <c r="G598" s="26"/>
      <c r="H598" s="26"/>
      <c r="I598" s="24"/>
      <c r="J598" s="24"/>
      <c r="K598" s="24"/>
      <c r="L598" s="24"/>
      <c r="M598" s="24"/>
      <c r="N598" s="25"/>
    </row>
    <row r="599" spans="2:14" x14ac:dyDescent="0.25">
      <c r="B599" s="24"/>
      <c r="C599" s="24"/>
      <c r="D599" s="24"/>
      <c r="E599" s="25"/>
      <c r="F599" s="29"/>
      <c r="G599" s="26"/>
      <c r="H599" s="26"/>
      <c r="I599" s="24"/>
      <c r="J599" s="24"/>
      <c r="K599" s="24"/>
      <c r="L599" s="24"/>
      <c r="M599" s="24"/>
      <c r="N599" s="25"/>
    </row>
    <row r="600" spans="2:14" x14ac:dyDescent="0.25">
      <c r="B600" s="24"/>
      <c r="C600" s="24"/>
      <c r="D600" s="24"/>
      <c r="E600" s="25"/>
      <c r="F600" s="29"/>
      <c r="G600" s="26"/>
      <c r="H600" s="26"/>
      <c r="I600" s="24"/>
      <c r="J600" s="24"/>
      <c r="K600" s="24"/>
      <c r="L600" s="24"/>
      <c r="M600" s="24"/>
      <c r="N600" s="25"/>
    </row>
    <row r="601" spans="2:14" x14ac:dyDescent="0.25">
      <c r="B601" s="24"/>
      <c r="C601" s="24"/>
      <c r="D601" s="24"/>
      <c r="E601" s="25"/>
      <c r="F601" s="29"/>
      <c r="G601" s="26"/>
      <c r="H601" s="26"/>
      <c r="I601" s="24"/>
      <c r="J601" s="24"/>
      <c r="K601" s="24"/>
      <c r="L601" s="24"/>
      <c r="M601" s="24"/>
      <c r="N601" s="25"/>
    </row>
    <row r="602" spans="2:14" x14ac:dyDescent="0.25">
      <c r="B602" s="24"/>
      <c r="C602" s="24"/>
      <c r="D602" s="24"/>
      <c r="E602" s="25"/>
      <c r="F602" s="29"/>
      <c r="G602" s="26"/>
      <c r="H602" s="26"/>
      <c r="I602" s="24"/>
      <c r="J602" s="24"/>
      <c r="K602" s="24"/>
      <c r="L602" s="24"/>
      <c r="M602" s="24"/>
      <c r="N602" s="25"/>
    </row>
    <row r="603" spans="2:14" x14ac:dyDescent="0.25">
      <c r="B603" s="24"/>
      <c r="C603" s="24"/>
      <c r="D603" s="24"/>
      <c r="E603" s="25"/>
      <c r="F603" s="29"/>
      <c r="G603" s="26"/>
      <c r="H603" s="26"/>
      <c r="I603" s="24"/>
      <c r="J603" s="24"/>
      <c r="K603" s="24"/>
      <c r="L603" s="24"/>
      <c r="M603" s="24"/>
      <c r="N603" s="25"/>
    </row>
    <row r="604" spans="2:14" x14ac:dyDescent="0.25">
      <c r="B604" s="24"/>
      <c r="C604" s="24"/>
      <c r="D604" s="24"/>
      <c r="E604" s="25"/>
      <c r="F604" s="29"/>
      <c r="G604" s="26"/>
      <c r="H604" s="26"/>
      <c r="I604" s="24"/>
      <c r="J604" s="24"/>
      <c r="K604" s="24"/>
      <c r="L604" s="24"/>
      <c r="M604" s="24"/>
      <c r="N604" s="25"/>
    </row>
    <row r="605" spans="2:14" x14ac:dyDescent="0.25">
      <c r="B605" s="24"/>
      <c r="C605" s="24"/>
      <c r="D605" s="24"/>
      <c r="E605" s="25"/>
      <c r="F605" s="29"/>
      <c r="G605" s="26"/>
      <c r="H605" s="26"/>
      <c r="I605" s="24"/>
      <c r="J605" s="24"/>
      <c r="K605" s="24"/>
      <c r="L605" s="24"/>
      <c r="M605" s="24"/>
      <c r="N605" s="25"/>
    </row>
    <row r="606" spans="2:14" x14ac:dyDescent="0.25">
      <c r="B606" s="24"/>
      <c r="C606" s="24"/>
      <c r="D606" s="24"/>
      <c r="E606" s="25"/>
      <c r="F606" s="29"/>
      <c r="G606" s="26"/>
      <c r="H606" s="26"/>
      <c r="I606" s="24"/>
      <c r="J606" s="24"/>
      <c r="K606" s="24"/>
      <c r="L606" s="24"/>
      <c r="M606" s="24"/>
      <c r="N606" s="25"/>
    </row>
    <row r="607" spans="2:14" x14ac:dyDescent="0.25">
      <c r="B607" s="24"/>
      <c r="C607" s="24"/>
      <c r="D607" s="24"/>
      <c r="E607" s="25"/>
      <c r="F607" s="29"/>
      <c r="G607" s="26"/>
      <c r="H607" s="26"/>
      <c r="I607" s="24"/>
      <c r="J607" s="24"/>
      <c r="K607" s="24"/>
      <c r="L607" s="24"/>
      <c r="M607" s="24"/>
      <c r="N607" s="25"/>
    </row>
    <row r="608" spans="2:14" x14ac:dyDescent="0.25">
      <c r="B608" s="24"/>
      <c r="C608" s="24"/>
      <c r="D608" s="24"/>
      <c r="E608" s="25"/>
      <c r="F608" s="29"/>
      <c r="G608" s="26"/>
      <c r="H608" s="26"/>
      <c r="I608" s="24"/>
      <c r="J608" s="24"/>
      <c r="K608" s="24"/>
      <c r="L608" s="24"/>
      <c r="M608" s="24"/>
      <c r="N608" s="25"/>
    </row>
    <row r="609" spans="2:14" x14ac:dyDescent="0.25">
      <c r="B609" s="24"/>
      <c r="C609" s="24"/>
      <c r="D609" s="24"/>
      <c r="E609" s="25"/>
      <c r="F609" s="29"/>
      <c r="G609" s="26"/>
      <c r="H609" s="26"/>
      <c r="I609" s="24"/>
      <c r="J609" s="24"/>
      <c r="K609" s="24"/>
      <c r="L609" s="24"/>
      <c r="M609" s="24"/>
      <c r="N609" s="25"/>
    </row>
    <row r="610" spans="2:14" x14ac:dyDescent="0.25">
      <c r="B610" s="24"/>
      <c r="C610" s="24"/>
      <c r="D610" s="24"/>
      <c r="E610" s="25"/>
      <c r="F610" s="29"/>
      <c r="G610" s="26"/>
      <c r="H610" s="26"/>
      <c r="I610" s="24"/>
      <c r="J610" s="24"/>
      <c r="K610" s="24"/>
      <c r="L610" s="24"/>
      <c r="M610" s="24"/>
      <c r="N610" s="25"/>
    </row>
    <row r="611" spans="2:14" x14ac:dyDescent="0.25">
      <c r="B611" s="24"/>
      <c r="C611" s="24"/>
      <c r="D611" s="24"/>
      <c r="E611" s="25"/>
      <c r="F611" s="29"/>
      <c r="G611" s="26"/>
      <c r="H611" s="26"/>
      <c r="I611" s="24"/>
      <c r="J611" s="24"/>
      <c r="K611" s="24"/>
      <c r="L611" s="24"/>
      <c r="M611" s="24"/>
      <c r="N611" s="25"/>
    </row>
    <row r="612" spans="2:14" x14ac:dyDescent="0.25">
      <c r="B612" s="24"/>
      <c r="C612" s="24"/>
      <c r="D612" s="24"/>
      <c r="E612" s="25"/>
      <c r="F612" s="29"/>
      <c r="G612" s="26"/>
      <c r="H612" s="26"/>
      <c r="I612" s="24"/>
      <c r="J612" s="24"/>
      <c r="K612" s="24"/>
      <c r="L612" s="24"/>
      <c r="M612" s="24"/>
      <c r="N612" s="25"/>
    </row>
    <row r="613" spans="2:14" x14ac:dyDescent="0.25">
      <c r="B613" s="24"/>
      <c r="C613" s="24"/>
      <c r="D613" s="24"/>
      <c r="E613" s="25"/>
      <c r="F613" s="29"/>
      <c r="G613" s="26"/>
      <c r="H613" s="26"/>
      <c r="I613" s="24"/>
      <c r="J613" s="24"/>
      <c r="K613" s="24"/>
      <c r="L613" s="24"/>
      <c r="M613" s="24"/>
      <c r="N613" s="25"/>
    </row>
    <row r="614" spans="2:14" x14ac:dyDescent="0.25">
      <c r="B614" s="24"/>
      <c r="C614" s="24"/>
      <c r="D614" s="24"/>
      <c r="E614" s="25"/>
      <c r="F614" s="29"/>
      <c r="G614" s="26"/>
      <c r="H614" s="26"/>
      <c r="I614" s="24"/>
      <c r="J614" s="24"/>
      <c r="K614" s="24"/>
      <c r="L614" s="24"/>
      <c r="M614" s="24"/>
      <c r="N614" s="25"/>
    </row>
    <row r="615" spans="2:14" x14ac:dyDescent="0.25">
      <c r="B615" s="24"/>
      <c r="C615" s="24"/>
      <c r="D615" s="24"/>
      <c r="E615" s="25"/>
      <c r="F615" s="29"/>
      <c r="G615" s="26"/>
      <c r="H615" s="26"/>
      <c r="I615" s="24"/>
      <c r="J615" s="24"/>
      <c r="K615" s="24"/>
      <c r="L615" s="24"/>
      <c r="M615" s="24"/>
      <c r="N615" s="25"/>
    </row>
    <row r="616" spans="2:14" x14ac:dyDescent="0.25">
      <c r="B616" s="24"/>
      <c r="C616" s="24"/>
      <c r="D616" s="24"/>
      <c r="E616" s="25"/>
      <c r="F616" s="29"/>
      <c r="G616" s="26"/>
      <c r="H616" s="26"/>
      <c r="I616" s="24"/>
      <c r="J616" s="24"/>
      <c r="K616" s="24"/>
      <c r="L616" s="24"/>
      <c r="M616" s="24"/>
      <c r="N616" s="25"/>
    </row>
    <row r="617" spans="2:14" x14ac:dyDescent="0.25">
      <c r="B617" s="24"/>
      <c r="C617" s="24"/>
      <c r="D617" s="24"/>
      <c r="E617" s="25"/>
      <c r="F617" s="29"/>
      <c r="G617" s="26"/>
      <c r="H617" s="26"/>
      <c r="I617" s="24"/>
      <c r="J617" s="24"/>
      <c r="K617" s="24"/>
      <c r="L617" s="24"/>
      <c r="M617" s="24"/>
      <c r="N617" s="25"/>
    </row>
    <row r="618" spans="2:14" x14ac:dyDescent="0.25">
      <c r="B618" s="24"/>
      <c r="C618" s="24"/>
      <c r="D618" s="24"/>
      <c r="E618" s="25"/>
      <c r="F618" s="29"/>
      <c r="G618" s="26"/>
      <c r="H618" s="26"/>
      <c r="I618" s="24"/>
      <c r="J618" s="24"/>
      <c r="K618" s="24"/>
      <c r="L618" s="24"/>
      <c r="M618" s="24"/>
      <c r="N618" s="25"/>
    </row>
    <row r="619" spans="2:14" x14ac:dyDescent="0.25">
      <c r="B619" s="24"/>
      <c r="C619" s="24"/>
      <c r="D619" s="24"/>
      <c r="E619" s="25"/>
      <c r="F619" s="29"/>
      <c r="G619" s="26"/>
      <c r="H619" s="26"/>
      <c r="I619" s="24"/>
      <c r="J619" s="24"/>
      <c r="K619" s="24"/>
      <c r="L619" s="24"/>
      <c r="M619" s="24"/>
      <c r="N619" s="25"/>
    </row>
    <row r="620" spans="2:14" x14ac:dyDescent="0.25">
      <c r="B620" s="24"/>
      <c r="C620" s="24"/>
      <c r="D620" s="24"/>
      <c r="E620" s="25"/>
      <c r="F620" s="29"/>
      <c r="G620" s="26"/>
      <c r="H620" s="26"/>
      <c r="I620" s="24"/>
      <c r="J620" s="24"/>
      <c r="K620" s="24"/>
      <c r="L620" s="24"/>
      <c r="M620" s="24"/>
      <c r="N620" s="25"/>
    </row>
    <row r="621" spans="2:14" x14ac:dyDescent="0.25">
      <c r="B621" s="24"/>
      <c r="C621" s="24"/>
      <c r="D621" s="24"/>
      <c r="E621" s="25"/>
      <c r="F621" s="29"/>
      <c r="G621" s="26"/>
      <c r="H621" s="26"/>
      <c r="I621" s="24"/>
      <c r="J621" s="24"/>
      <c r="K621" s="24"/>
      <c r="L621" s="24"/>
      <c r="M621" s="24"/>
      <c r="N621" s="25"/>
    </row>
    <row r="622" spans="2:14" x14ac:dyDescent="0.25">
      <c r="B622" s="24"/>
      <c r="C622" s="24"/>
      <c r="D622" s="24"/>
      <c r="E622" s="25"/>
      <c r="F622" s="29"/>
      <c r="G622" s="26"/>
      <c r="H622" s="26"/>
      <c r="I622" s="24"/>
      <c r="J622" s="24"/>
      <c r="K622" s="24"/>
      <c r="L622" s="24"/>
      <c r="M622" s="24"/>
      <c r="N622" s="25"/>
    </row>
    <row r="623" spans="2:14" x14ac:dyDescent="0.25">
      <c r="B623" s="24"/>
      <c r="C623" s="24"/>
      <c r="D623" s="24"/>
      <c r="E623" s="25"/>
      <c r="F623" s="29"/>
      <c r="G623" s="26"/>
      <c r="H623" s="26"/>
      <c r="I623" s="24"/>
      <c r="J623" s="24"/>
      <c r="K623" s="24"/>
      <c r="L623" s="24"/>
      <c r="M623" s="24"/>
      <c r="N623" s="25"/>
    </row>
    <row r="624" spans="2:14" x14ac:dyDescent="0.25">
      <c r="B624" s="24"/>
      <c r="C624" s="24"/>
      <c r="D624" s="24"/>
      <c r="E624" s="25"/>
      <c r="F624" s="29"/>
      <c r="G624" s="26"/>
      <c r="H624" s="26"/>
      <c r="I624" s="24"/>
      <c r="J624" s="24"/>
      <c r="K624" s="24"/>
      <c r="L624" s="24"/>
      <c r="M624" s="24"/>
      <c r="N624" s="25"/>
    </row>
    <row r="625" spans="2:14" x14ac:dyDescent="0.25">
      <c r="B625" s="24"/>
      <c r="C625" s="24"/>
      <c r="D625" s="24"/>
      <c r="E625" s="25"/>
      <c r="F625" s="29"/>
      <c r="G625" s="26"/>
      <c r="H625" s="26"/>
      <c r="I625" s="24"/>
      <c r="J625" s="24"/>
      <c r="K625" s="24"/>
      <c r="L625" s="24"/>
      <c r="M625" s="24"/>
      <c r="N625" s="25"/>
    </row>
    <row r="626" spans="2:14" x14ac:dyDescent="0.25">
      <c r="B626" s="24"/>
      <c r="C626" s="24"/>
      <c r="D626" s="24"/>
      <c r="E626" s="25"/>
      <c r="F626" s="29"/>
      <c r="G626" s="26"/>
      <c r="H626" s="26"/>
      <c r="I626" s="24"/>
      <c r="J626" s="24"/>
      <c r="K626" s="24"/>
      <c r="L626" s="24"/>
      <c r="M626" s="24"/>
      <c r="N626" s="25"/>
    </row>
    <row r="627" spans="2:14" x14ac:dyDescent="0.25">
      <c r="B627" s="24"/>
      <c r="C627" s="24"/>
      <c r="D627" s="24"/>
      <c r="E627" s="25"/>
      <c r="F627" s="29"/>
      <c r="G627" s="26"/>
      <c r="H627" s="26"/>
      <c r="I627" s="24"/>
      <c r="J627" s="24"/>
      <c r="K627" s="24"/>
      <c r="L627" s="24"/>
      <c r="M627" s="24"/>
      <c r="N627" s="25"/>
    </row>
    <row r="628" spans="2:14" x14ac:dyDescent="0.25">
      <c r="B628" s="24"/>
      <c r="C628" s="24"/>
      <c r="D628" s="24"/>
      <c r="E628" s="25"/>
      <c r="F628" s="29"/>
      <c r="G628" s="26"/>
      <c r="H628" s="26"/>
      <c r="I628" s="24"/>
      <c r="J628" s="24"/>
      <c r="K628" s="24"/>
      <c r="L628" s="24"/>
      <c r="M628" s="24"/>
      <c r="N628" s="25"/>
    </row>
    <row r="629" spans="2:14" x14ac:dyDescent="0.25">
      <c r="B629" s="24"/>
      <c r="C629" s="24"/>
      <c r="D629" s="24"/>
      <c r="E629" s="25"/>
      <c r="F629" s="29"/>
      <c r="G629" s="26"/>
      <c r="H629" s="26"/>
      <c r="I629" s="24"/>
      <c r="J629" s="24"/>
      <c r="K629" s="24"/>
      <c r="L629" s="24"/>
      <c r="M629" s="24"/>
      <c r="N629" s="25"/>
    </row>
    <row r="630" spans="2:14" x14ac:dyDescent="0.25">
      <c r="B630" s="24"/>
      <c r="C630" s="24"/>
      <c r="D630" s="24"/>
      <c r="E630" s="25"/>
      <c r="F630" s="29"/>
      <c r="G630" s="26"/>
      <c r="H630" s="26"/>
      <c r="I630" s="24"/>
      <c r="J630" s="24"/>
      <c r="K630" s="24"/>
      <c r="L630" s="24"/>
      <c r="M630" s="24"/>
      <c r="N630" s="25"/>
    </row>
    <row r="631" spans="2:14" x14ac:dyDescent="0.25">
      <c r="B631" s="24"/>
      <c r="C631" s="24"/>
      <c r="D631" s="24"/>
      <c r="E631" s="25"/>
      <c r="F631" s="29"/>
      <c r="G631" s="26"/>
      <c r="H631" s="26"/>
      <c r="I631" s="24"/>
      <c r="J631" s="24"/>
      <c r="K631" s="24"/>
      <c r="L631" s="24"/>
      <c r="M631" s="24"/>
      <c r="N631" s="25"/>
    </row>
    <row r="632" spans="2:14" x14ac:dyDescent="0.25">
      <c r="B632" s="24"/>
      <c r="C632" s="24"/>
      <c r="D632" s="24"/>
      <c r="E632" s="25"/>
      <c r="F632" s="29"/>
      <c r="G632" s="26"/>
      <c r="H632" s="26"/>
      <c r="I632" s="24"/>
      <c r="J632" s="24"/>
      <c r="K632" s="24"/>
      <c r="L632" s="24"/>
      <c r="M632" s="24"/>
      <c r="N632" s="25"/>
    </row>
    <row r="633" spans="2:14" x14ac:dyDescent="0.25">
      <c r="B633" s="24"/>
      <c r="C633" s="24"/>
      <c r="D633" s="24"/>
      <c r="E633" s="25"/>
      <c r="F633" s="29"/>
      <c r="G633" s="26"/>
      <c r="H633" s="26"/>
      <c r="I633" s="24"/>
      <c r="J633" s="24"/>
      <c r="K633" s="24"/>
      <c r="L633" s="24"/>
      <c r="M633" s="24"/>
      <c r="N633" s="25"/>
    </row>
    <row r="634" spans="2:14" x14ac:dyDescent="0.25">
      <c r="B634" s="24"/>
      <c r="C634" s="24"/>
      <c r="D634" s="24"/>
      <c r="E634" s="25"/>
      <c r="F634" s="29"/>
      <c r="G634" s="26"/>
      <c r="H634" s="26"/>
      <c r="I634" s="24"/>
      <c r="J634" s="24"/>
      <c r="K634" s="24"/>
      <c r="L634" s="24"/>
      <c r="M634" s="24"/>
      <c r="N634" s="25"/>
    </row>
    <row r="635" spans="2:14" x14ac:dyDescent="0.25">
      <c r="B635" s="24"/>
      <c r="C635" s="24"/>
      <c r="D635" s="24"/>
      <c r="E635" s="25"/>
      <c r="F635" s="29"/>
      <c r="G635" s="26"/>
      <c r="H635" s="26"/>
      <c r="I635" s="24"/>
      <c r="J635" s="24"/>
      <c r="K635" s="24"/>
      <c r="L635" s="24"/>
      <c r="M635" s="24"/>
      <c r="N635" s="25"/>
    </row>
    <row r="636" spans="2:14" x14ac:dyDescent="0.25">
      <c r="B636" s="24"/>
      <c r="C636" s="24"/>
      <c r="D636" s="24"/>
      <c r="E636" s="25"/>
      <c r="F636" s="29"/>
      <c r="G636" s="26"/>
      <c r="H636" s="26"/>
      <c r="I636" s="24"/>
      <c r="J636" s="24"/>
      <c r="K636" s="24"/>
      <c r="L636" s="24"/>
      <c r="M636" s="24"/>
      <c r="N636" s="25"/>
    </row>
    <row r="637" spans="2:14" x14ac:dyDescent="0.25">
      <c r="B637" s="24"/>
      <c r="C637" s="24"/>
      <c r="D637" s="24"/>
      <c r="E637" s="25"/>
      <c r="F637" s="29"/>
      <c r="G637" s="26"/>
      <c r="H637" s="26"/>
      <c r="I637" s="24"/>
      <c r="J637" s="24"/>
      <c r="K637" s="24"/>
      <c r="L637" s="24"/>
      <c r="M637" s="24"/>
      <c r="N637" s="25"/>
    </row>
    <row r="638" spans="2:14" x14ac:dyDescent="0.25">
      <c r="B638" s="24"/>
      <c r="C638" s="24"/>
      <c r="D638" s="24"/>
      <c r="E638" s="25"/>
      <c r="F638" s="29"/>
      <c r="G638" s="26"/>
      <c r="H638" s="26"/>
      <c r="I638" s="24"/>
      <c r="J638" s="24"/>
      <c r="K638" s="24"/>
      <c r="L638" s="24"/>
      <c r="M638" s="24"/>
      <c r="N638" s="25"/>
    </row>
    <row r="639" spans="2:14" x14ac:dyDescent="0.25">
      <c r="B639" s="24"/>
      <c r="C639" s="24"/>
      <c r="D639" s="24"/>
      <c r="E639" s="25"/>
      <c r="F639" s="29"/>
      <c r="G639" s="26"/>
      <c r="H639" s="26"/>
      <c r="I639" s="24"/>
      <c r="J639" s="24"/>
      <c r="K639" s="24"/>
      <c r="L639" s="24"/>
      <c r="M639" s="24"/>
      <c r="N639" s="25"/>
    </row>
    <row r="640" spans="2:14" x14ac:dyDescent="0.25">
      <c r="B640" s="24"/>
      <c r="C640" s="24"/>
      <c r="D640" s="24"/>
      <c r="E640" s="25"/>
      <c r="F640" s="29"/>
      <c r="G640" s="26"/>
      <c r="H640" s="26"/>
      <c r="I640" s="24"/>
      <c r="J640" s="24"/>
      <c r="K640" s="24"/>
      <c r="L640" s="24"/>
      <c r="M640" s="24"/>
      <c r="N640" s="25"/>
    </row>
    <row r="641" spans="2:14" x14ac:dyDescent="0.25">
      <c r="B641" s="24"/>
      <c r="C641" s="24"/>
      <c r="D641" s="24"/>
      <c r="E641" s="25"/>
      <c r="F641" s="29"/>
      <c r="G641" s="26"/>
      <c r="H641" s="26"/>
      <c r="I641" s="24"/>
      <c r="J641" s="24"/>
      <c r="K641" s="24"/>
      <c r="L641" s="24"/>
      <c r="M641" s="24"/>
      <c r="N641" s="25"/>
    </row>
    <row r="642" spans="2:14" x14ac:dyDescent="0.25">
      <c r="B642" s="24"/>
      <c r="C642" s="24"/>
      <c r="D642" s="24"/>
      <c r="E642" s="25"/>
      <c r="F642" s="29"/>
      <c r="G642" s="26"/>
      <c r="H642" s="26"/>
      <c r="I642" s="24"/>
      <c r="J642" s="24"/>
      <c r="K642" s="24"/>
      <c r="L642" s="24"/>
      <c r="M642" s="24"/>
      <c r="N642" s="25"/>
    </row>
    <row r="643" spans="2:14" x14ac:dyDescent="0.25">
      <c r="B643" s="24"/>
      <c r="C643" s="24"/>
      <c r="D643" s="24"/>
      <c r="E643" s="25"/>
      <c r="F643" s="29"/>
      <c r="G643" s="26"/>
      <c r="H643" s="26"/>
      <c r="I643" s="24"/>
      <c r="J643" s="24"/>
      <c r="K643" s="24"/>
      <c r="L643" s="24"/>
      <c r="M643" s="24"/>
      <c r="N643" s="25"/>
    </row>
    <row r="644" spans="2:14" x14ac:dyDescent="0.25">
      <c r="B644" s="24"/>
      <c r="C644" s="24"/>
      <c r="D644" s="24"/>
      <c r="E644" s="25"/>
      <c r="F644" s="29"/>
      <c r="G644" s="26"/>
      <c r="H644" s="26"/>
      <c r="I644" s="24"/>
      <c r="J644" s="24"/>
      <c r="K644" s="24"/>
      <c r="L644" s="24"/>
      <c r="M644" s="24"/>
      <c r="N644" s="25"/>
    </row>
    <row r="645" spans="2:14" x14ac:dyDescent="0.25">
      <c r="B645" s="24"/>
      <c r="C645" s="24"/>
      <c r="D645" s="24"/>
      <c r="E645" s="25"/>
      <c r="F645" s="29"/>
      <c r="G645" s="26"/>
      <c r="H645" s="26"/>
      <c r="I645" s="24"/>
      <c r="J645" s="24"/>
      <c r="K645" s="24"/>
      <c r="L645" s="24"/>
      <c r="M645" s="24"/>
      <c r="N645" s="25"/>
    </row>
    <row r="646" spans="2:14" x14ac:dyDescent="0.25">
      <c r="B646" s="24"/>
      <c r="C646" s="24"/>
      <c r="D646" s="24"/>
      <c r="E646" s="25"/>
      <c r="F646" s="29"/>
      <c r="G646" s="26"/>
      <c r="H646" s="26"/>
      <c r="I646" s="24"/>
      <c r="J646" s="24"/>
      <c r="K646" s="24"/>
      <c r="L646" s="24"/>
      <c r="M646" s="24"/>
      <c r="N646" s="25"/>
    </row>
    <row r="647" spans="2:14" x14ac:dyDescent="0.25">
      <c r="B647" s="24"/>
      <c r="C647" s="24"/>
      <c r="D647" s="24"/>
      <c r="E647" s="25"/>
      <c r="F647" s="29"/>
      <c r="G647" s="26"/>
      <c r="H647" s="26"/>
      <c r="I647" s="24"/>
      <c r="J647" s="24"/>
      <c r="K647" s="24"/>
      <c r="L647" s="24"/>
      <c r="M647" s="24"/>
      <c r="N647" s="25"/>
    </row>
    <row r="648" spans="2:14" x14ac:dyDescent="0.25">
      <c r="B648" s="24"/>
      <c r="C648" s="24"/>
      <c r="D648" s="24"/>
      <c r="E648" s="25"/>
      <c r="F648" s="29"/>
      <c r="G648" s="26"/>
      <c r="H648" s="26"/>
      <c r="I648" s="24"/>
      <c r="J648" s="24"/>
      <c r="K648" s="24"/>
      <c r="L648" s="24"/>
      <c r="M648" s="24"/>
      <c r="N648" s="25"/>
    </row>
    <row r="649" spans="2:14" x14ac:dyDescent="0.25">
      <c r="B649" s="24"/>
      <c r="C649" s="24"/>
      <c r="D649" s="24"/>
      <c r="E649" s="25"/>
      <c r="F649" s="29"/>
      <c r="G649" s="26"/>
      <c r="H649" s="26"/>
      <c r="I649" s="24"/>
      <c r="J649" s="24"/>
      <c r="K649" s="24"/>
      <c r="L649" s="24"/>
      <c r="M649" s="24"/>
      <c r="N649" s="25"/>
    </row>
    <row r="650" spans="2:14" x14ac:dyDescent="0.25">
      <c r="B650" s="24"/>
      <c r="C650" s="24"/>
      <c r="D650" s="24"/>
      <c r="E650" s="25"/>
      <c r="F650" s="29"/>
      <c r="G650" s="26"/>
      <c r="H650" s="26"/>
      <c r="I650" s="24"/>
      <c r="J650" s="24"/>
      <c r="K650" s="24"/>
      <c r="L650" s="24"/>
      <c r="M650" s="24"/>
      <c r="N650" s="25"/>
    </row>
    <row r="651" spans="2:14" x14ac:dyDescent="0.25">
      <c r="B651" s="24"/>
      <c r="C651" s="24"/>
      <c r="D651" s="24"/>
      <c r="E651" s="25"/>
      <c r="F651" s="29"/>
      <c r="G651" s="26"/>
      <c r="H651" s="26"/>
      <c r="I651" s="24"/>
      <c r="J651" s="24"/>
      <c r="K651" s="24"/>
      <c r="L651" s="24"/>
      <c r="M651" s="24"/>
      <c r="N651" s="25"/>
    </row>
    <row r="652" spans="2:14" x14ac:dyDescent="0.25">
      <c r="B652" s="24"/>
      <c r="C652" s="24"/>
      <c r="D652" s="24"/>
      <c r="E652" s="25"/>
      <c r="F652" s="29"/>
      <c r="G652" s="26"/>
      <c r="H652" s="26"/>
      <c r="I652" s="24"/>
      <c r="J652" s="24"/>
      <c r="K652" s="24"/>
      <c r="L652" s="24"/>
      <c r="M652" s="24"/>
      <c r="N652" s="25"/>
    </row>
    <row r="653" spans="2:14" x14ac:dyDescent="0.25">
      <c r="B653" s="24"/>
      <c r="C653" s="24"/>
      <c r="D653" s="24"/>
      <c r="E653" s="25"/>
      <c r="F653" s="29"/>
      <c r="G653" s="26"/>
      <c r="H653" s="26"/>
      <c r="I653" s="24"/>
      <c r="J653" s="24"/>
      <c r="K653" s="24"/>
      <c r="L653" s="24"/>
      <c r="M653" s="24"/>
      <c r="N653" s="25"/>
    </row>
    <row r="654" spans="2:14" x14ac:dyDescent="0.25">
      <c r="B654" s="24"/>
      <c r="C654" s="24"/>
      <c r="D654" s="24"/>
      <c r="E654" s="25"/>
      <c r="F654" s="29"/>
      <c r="G654" s="26"/>
      <c r="H654" s="26"/>
      <c r="I654" s="24"/>
      <c r="J654" s="24"/>
      <c r="K654" s="24"/>
      <c r="L654" s="24"/>
      <c r="M654" s="24"/>
      <c r="N654" s="25"/>
    </row>
    <row r="655" spans="2:14" x14ac:dyDescent="0.25">
      <c r="B655" s="24"/>
      <c r="C655" s="24"/>
      <c r="D655" s="24"/>
      <c r="E655" s="25"/>
      <c r="F655" s="29"/>
      <c r="G655" s="26"/>
      <c r="H655" s="26"/>
      <c r="I655" s="24"/>
      <c r="J655" s="24"/>
      <c r="K655" s="24"/>
      <c r="L655" s="24"/>
      <c r="M655" s="24"/>
      <c r="N655" s="25"/>
    </row>
    <row r="656" spans="2:14" x14ac:dyDescent="0.25">
      <c r="B656" s="24"/>
      <c r="C656" s="24"/>
      <c r="D656" s="24"/>
      <c r="E656" s="25"/>
      <c r="F656" s="29"/>
      <c r="G656" s="26"/>
      <c r="H656" s="26"/>
      <c r="I656" s="24"/>
      <c r="J656" s="24"/>
      <c r="K656" s="24"/>
      <c r="L656" s="24"/>
      <c r="M656" s="24"/>
      <c r="N656" s="25"/>
    </row>
    <row r="657" spans="2:14" x14ac:dyDescent="0.25">
      <c r="B657" s="24"/>
      <c r="C657" s="24"/>
      <c r="D657" s="24"/>
      <c r="E657" s="25"/>
      <c r="F657" s="29"/>
      <c r="G657" s="26"/>
      <c r="H657" s="26"/>
      <c r="I657" s="24"/>
      <c r="J657" s="24"/>
      <c r="K657" s="24"/>
      <c r="L657" s="24"/>
      <c r="M657" s="24"/>
      <c r="N657" s="25"/>
    </row>
    <row r="658" spans="2:14" x14ac:dyDescent="0.25">
      <c r="B658" s="24"/>
      <c r="C658" s="24"/>
      <c r="D658" s="24"/>
      <c r="E658" s="25"/>
      <c r="F658" s="29"/>
      <c r="G658" s="26"/>
      <c r="H658" s="26"/>
      <c r="I658" s="24"/>
      <c r="J658" s="24"/>
      <c r="K658" s="24"/>
      <c r="L658" s="24"/>
      <c r="M658" s="24"/>
      <c r="N658" s="25"/>
    </row>
    <row r="659" spans="2:14" x14ac:dyDescent="0.25">
      <c r="B659" s="24"/>
      <c r="C659" s="24"/>
      <c r="D659" s="24"/>
      <c r="E659" s="25"/>
      <c r="F659" s="29"/>
      <c r="G659" s="26"/>
      <c r="H659" s="26"/>
      <c r="I659" s="24"/>
      <c r="J659" s="24"/>
      <c r="K659" s="24"/>
      <c r="L659" s="24"/>
      <c r="M659" s="24"/>
      <c r="N659" s="25"/>
    </row>
    <row r="660" spans="2:14" x14ac:dyDescent="0.25">
      <c r="B660" s="24"/>
      <c r="C660" s="24"/>
      <c r="D660" s="24"/>
      <c r="E660" s="25"/>
      <c r="F660" s="29"/>
      <c r="G660" s="26"/>
      <c r="H660" s="26"/>
      <c r="I660" s="24"/>
      <c r="J660" s="24"/>
      <c r="K660" s="24"/>
      <c r="L660" s="24"/>
      <c r="M660" s="24"/>
      <c r="N660" s="25"/>
    </row>
    <row r="661" spans="2:14" x14ac:dyDescent="0.25">
      <c r="B661" s="24"/>
      <c r="C661" s="24"/>
      <c r="D661" s="24"/>
      <c r="E661" s="25"/>
      <c r="F661" s="29"/>
      <c r="G661" s="26"/>
      <c r="H661" s="26"/>
      <c r="I661" s="24"/>
      <c r="J661" s="24"/>
      <c r="K661" s="24"/>
      <c r="L661" s="24"/>
      <c r="M661" s="24"/>
      <c r="N661" s="25"/>
    </row>
    <row r="662" spans="2:14" x14ac:dyDescent="0.25">
      <c r="B662" s="24"/>
      <c r="C662" s="24"/>
      <c r="D662" s="24"/>
      <c r="E662" s="25"/>
      <c r="F662" s="29"/>
      <c r="G662" s="26"/>
      <c r="H662" s="26"/>
      <c r="I662" s="24"/>
      <c r="J662" s="24"/>
      <c r="K662" s="24"/>
      <c r="L662" s="24"/>
      <c r="M662" s="24"/>
      <c r="N662" s="25"/>
    </row>
    <row r="663" spans="2:14" x14ac:dyDescent="0.25">
      <c r="B663" s="24"/>
      <c r="C663" s="24"/>
      <c r="D663" s="24"/>
      <c r="E663" s="25"/>
      <c r="F663" s="29"/>
      <c r="G663" s="26"/>
      <c r="H663" s="26"/>
      <c r="I663" s="24"/>
      <c r="J663" s="24"/>
      <c r="K663" s="24"/>
      <c r="L663" s="24"/>
      <c r="M663" s="24"/>
      <c r="N663" s="25"/>
    </row>
    <row r="664" spans="2:14" x14ac:dyDescent="0.25">
      <c r="B664" s="24"/>
      <c r="C664" s="24"/>
      <c r="D664" s="24"/>
      <c r="E664" s="25"/>
      <c r="F664" s="29"/>
      <c r="G664" s="26"/>
      <c r="H664" s="26"/>
      <c r="I664" s="24"/>
      <c r="J664" s="24"/>
      <c r="K664" s="24"/>
      <c r="L664" s="24"/>
      <c r="M664" s="24"/>
      <c r="N664" s="25"/>
    </row>
    <row r="665" spans="2:14" x14ac:dyDescent="0.25">
      <c r="B665" s="24"/>
      <c r="C665" s="24"/>
      <c r="D665" s="24"/>
      <c r="E665" s="25"/>
      <c r="F665" s="29"/>
      <c r="G665" s="26"/>
      <c r="H665" s="26"/>
      <c r="I665" s="24"/>
      <c r="J665" s="24"/>
      <c r="K665" s="24"/>
      <c r="L665" s="24"/>
      <c r="M665" s="24"/>
      <c r="N665" s="25"/>
    </row>
    <row r="666" spans="2:14" x14ac:dyDescent="0.25">
      <c r="B666" s="24"/>
      <c r="C666" s="24"/>
      <c r="D666" s="24"/>
      <c r="E666" s="25"/>
      <c r="F666" s="29"/>
      <c r="G666" s="26"/>
      <c r="H666" s="26"/>
      <c r="I666" s="24"/>
      <c r="J666" s="24"/>
      <c r="K666" s="24"/>
      <c r="L666" s="24"/>
      <c r="M666" s="24"/>
      <c r="N666" s="25"/>
    </row>
    <row r="667" spans="2:14" x14ac:dyDescent="0.25">
      <c r="B667" s="24"/>
      <c r="C667" s="24"/>
      <c r="D667" s="24"/>
      <c r="E667" s="25"/>
      <c r="F667" s="29"/>
      <c r="G667" s="26"/>
      <c r="H667" s="26"/>
      <c r="I667" s="24"/>
      <c r="J667" s="24"/>
      <c r="K667" s="24"/>
      <c r="L667" s="24"/>
      <c r="M667" s="24"/>
      <c r="N667" s="25"/>
    </row>
    <row r="668" spans="2:14" x14ac:dyDescent="0.25">
      <c r="B668" s="24"/>
      <c r="C668" s="24"/>
      <c r="D668" s="24"/>
      <c r="E668" s="25"/>
      <c r="F668" s="29"/>
      <c r="G668" s="26"/>
      <c r="H668" s="26"/>
      <c r="I668" s="24"/>
      <c r="J668" s="24"/>
      <c r="K668" s="24"/>
      <c r="L668" s="24"/>
      <c r="M668" s="24"/>
      <c r="N668" s="25"/>
    </row>
    <row r="669" spans="2:14" x14ac:dyDescent="0.25">
      <c r="B669" s="24"/>
      <c r="C669" s="24"/>
      <c r="D669" s="24"/>
      <c r="E669" s="25"/>
      <c r="F669" s="29"/>
      <c r="G669" s="26"/>
      <c r="H669" s="26"/>
      <c r="I669" s="24"/>
      <c r="J669" s="24"/>
      <c r="K669" s="24"/>
      <c r="L669" s="24"/>
      <c r="M669" s="24"/>
      <c r="N669" s="25"/>
    </row>
    <row r="670" spans="2:14" x14ac:dyDescent="0.25">
      <c r="B670" s="24"/>
      <c r="C670" s="24"/>
      <c r="D670" s="24"/>
      <c r="E670" s="25"/>
      <c r="F670" s="29"/>
      <c r="G670" s="26"/>
      <c r="H670" s="26"/>
      <c r="I670" s="24"/>
      <c r="J670" s="24"/>
      <c r="K670" s="24"/>
      <c r="L670" s="24"/>
      <c r="M670" s="24"/>
      <c r="N670" s="25"/>
    </row>
    <row r="671" spans="2:14" x14ac:dyDescent="0.25">
      <c r="B671" s="24"/>
      <c r="C671" s="24"/>
      <c r="D671" s="24"/>
      <c r="E671" s="25"/>
      <c r="F671" s="29"/>
      <c r="G671" s="26"/>
      <c r="H671" s="26"/>
      <c r="I671" s="24"/>
      <c r="J671" s="24"/>
      <c r="K671" s="24"/>
      <c r="L671" s="24"/>
      <c r="M671" s="24"/>
      <c r="N671" s="25"/>
    </row>
    <row r="672" spans="2:14" x14ac:dyDescent="0.25">
      <c r="B672" s="24"/>
      <c r="C672" s="24"/>
      <c r="D672" s="24"/>
      <c r="E672" s="25"/>
      <c r="F672" s="29"/>
      <c r="G672" s="26"/>
      <c r="H672" s="26"/>
      <c r="I672" s="24"/>
      <c r="J672" s="24"/>
      <c r="K672" s="24"/>
      <c r="L672" s="24"/>
      <c r="M672" s="24"/>
      <c r="N672" s="25"/>
    </row>
    <row r="673" spans="2:14" x14ac:dyDescent="0.25">
      <c r="B673" s="24"/>
      <c r="C673" s="24"/>
      <c r="D673" s="24"/>
      <c r="E673" s="25"/>
      <c r="F673" s="29"/>
      <c r="G673" s="26"/>
      <c r="H673" s="26"/>
      <c r="I673" s="24"/>
      <c r="J673" s="24"/>
      <c r="K673" s="24"/>
      <c r="L673" s="24"/>
      <c r="M673" s="24"/>
      <c r="N673" s="25"/>
    </row>
    <row r="674" spans="2:14" x14ac:dyDescent="0.25">
      <c r="B674" s="24"/>
      <c r="C674" s="24"/>
      <c r="D674" s="24"/>
      <c r="E674" s="25"/>
      <c r="F674" s="29"/>
      <c r="G674" s="26"/>
      <c r="H674" s="26"/>
      <c r="I674" s="24"/>
      <c r="J674" s="24"/>
      <c r="K674" s="24"/>
      <c r="L674" s="24"/>
      <c r="M674" s="24"/>
      <c r="N674" s="25"/>
    </row>
    <row r="675" spans="2:14" x14ac:dyDescent="0.25">
      <c r="B675" s="24"/>
      <c r="C675" s="24"/>
      <c r="D675" s="24"/>
      <c r="E675" s="25"/>
      <c r="F675" s="29"/>
      <c r="G675" s="26"/>
      <c r="H675" s="26"/>
      <c r="I675" s="24"/>
      <c r="J675" s="24"/>
      <c r="K675" s="24"/>
      <c r="L675" s="24"/>
      <c r="M675" s="24"/>
      <c r="N675" s="25"/>
    </row>
    <row r="676" spans="2:14" x14ac:dyDescent="0.25">
      <c r="B676" s="24"/>
      <c r="C676" s="24"/>
      <c r="D676" s="24"/>
      <c r="E676" s="25"/>
      <c r="F676" s="29"/>
      <c r="G676" s="26"/>
      <c r="H676" s="26"/>
      <c r="I676" s="24"/>
      <c r="J676" s="24"/>
      <c r="K676" s="24"/>
      <c r="L676" s="24"/>
      <c r="M676" s="24"/>
      <c r="N676" s="25"/>
    </row>
    <row r="677" spans="2:14" x14ac:dyDescent="0.25">
      <c r="B677" s="24"/>
      <c r="C677" s="24"/>
      <c r="D677" s="24"/>
      <c r="E677" s="25"/>
      <c r="F677" s="29"/>
      <c r="G677" s="26"/>
      <c r="H677" s="26"/>
      <c r="I677" s="24"/>
      <c r="J677" s="24"/>
      <c r="K677" s="24"/>
      <c r="L677" s="24"/>
      <c r="M677" s="24"/>
      <c r="N677" s="25"/>
    </row>
    <row r="678" spans="2:14" x14ac:dyDescent="0.25">
      <c r="B678" s="24"/>
      <c r="C678" s="24"/>
      <c r="D678" s="24"/>
      <c r="E678" s="25"/>
      <c r="F678" s="29"/>
      <c r="G678" s="26"/>
      <c r="H678" s="26"/>
      <c r="I678" s="24"/>
      <c r="J678" s="24"/>
      <c r="K678" s="24"/>
      <c r="L678" s="24"/>
      <c r="M678" s="24"/>
      <c r="N678" s="25"/>
    </row>
    <row r="679" spans="2:14" x14ac:dyDescent="0.25">
      <c r="B679" s="24"/>
      <c r="C679" s="24"/>
      <c r="D679" s="24"/>
      <c r="E679" s="25"/>
      <c r="F679" s="29"/>
      <c r="G679" s="26"/>
      <c r="H679" s="26"/>
      <c r="I679" s="24"/>
      <c r="J679" s="24"/>
      <c r="K679" s="24"/>
      <c r="L679" s="24"/>
      <c r="M679" s="24"/>
      <c r="N679" s="25"/>
    </row>
    <row r="680" spans="2:14" x14ac:dyDescent="0.25">
      <c r="B680" s="24"/>
      <c r="C680" s="24"/>
      <c r="D680" s="24"/>
      <c r="E680" s="25"/>
      <c r="F680" s="29"/>
      <c r="G680" s="26"/>
      <c r="H680" s="26"/>
      <c r="I680" s="24"/>
      <c r="J680" s="24"/>
      <c r="K680" s="24"/>
      <c r="L680" s="24"/>
      <c r="M680" s="24"/>
      <c r="N680" s="25"/>
    </row>
    <row r="681" spans="2:14" x14ac:dyDescent="0.25">
      <c r="B681" s="24"/>
      <c r="C681" s="24"/>
      <c r="D681" s="24"/>
      <c r="E681" s="25"/>
      <c r="F681" s="29"/>
      <c r="G681" s="26"/>
      <c r="H681" s="26"/>
      <c r="I681" s="24"/>
      <c r="J681" s="24"/>
      <c r="K681" s="24"/>
      <c r="L681" s="24"/>
      <c r="M681" s="24"/>
      <c r="N681" s="25"/>
    </row>
    <row r="682" spans="2:14" x14ac:dyDescent="0.25">
      <c r="B682" s="24"/>
      <c r="C682" s="24"/>
      <c r="D682" s="24"/>
      <c r="E682" s="25"/>
      <c r="F682" s="29"/>
      <c r="G682" s="26"/>
      <c r="H682" s="26"/>
      <c r="I682" s="24"/>
      <c r="J682" s="24"/>
      <c r="K682" s="24"/>
      <c r="L682" s="24"/>
      <c r="M682" s="24"/>
      <c r="N682" s="25"/>
    </row>
    <row r="683" spans="2:14" x14ac:dyDescent="0.25">
      <c r="B683" s="24"/>
      <c r="C683" s="24"/>
      <c r="D683" s="24"/>
      <c r="E683" s="25"/>
      <c r="F683" s="29"/>
      <c r="G683" s="26"/>
      <c r="H683" s="26"/>
      <c r="I683" s="24"/>
      <c r="J683" s="24"/>
      <c r="K683" s="24"/>
      <c r="L683" s="24"/>
      <c r="M683" s="24"/>
      <c r="N683" s="25"/>
    </row>
    <row r="684" spans="2:14" x14ac:dyDescent="0.25">
      <c r="B684" s="24"/>
      <c r="C684" s="24"/>
      <c r="D684" s="24"/>
      <c r="E684" s="25"/>
      <c r="F684" s="29"/>
      <c r="G684" s="26"/>
      <c r="H684" s="26"/>
      <c r="I684" s="24"/>
      <c r="J684" s="24"/>
      <c r="K684" s="24"/>
      <c r="L684" s="24"/>
      <c r="M684" s="24"/>
      <c r="N684" s="25"/>
    </row>
    <row r="685" spans="2:14" x14ac:dyDescent="0.25">
      <c r="B685" s="24"/>
      <c r="C685" s="24"/>
      <c r="D685" s="24"/>
      <c r="E685" s="25"/>
      <c r="F685" s="29"/>
      <c r="G685" s="26"/>
      <c r="H685" s="26"/>
      <c r="I685" s="24"/>
      <c r="J685" s="24"/>
      <c r="K685" s="24"/>
      <c r="L685" s="24"/>
      <c r="M685" s="24"/>
      <c r="N685" s="25"/>
    </row>
    <row r="686" spans="2:14" x14ac:dyDescent="0.25">
      <c r="B686" s="24"/>
      <c r="C686" s="24"/>
      <c r="D686" s="24"/>
      <c r="E686" s="25"/>
      <c r="F686" s="29"/>
      <c r="G686" s="26"/>
      <c r="H686" s="26"/>
      <c r="I686" s="24"/>
      <c r="J686" s="24"/>
      <c r="K686" s="24"/>
      <c r="L686" s="24"/>
      <c r="M686" s="24"/>
      <c r="N686" s="25"/>
    </row>
    <row r="687" spans="2:14" x14ac:dyDescent="0.25">
      <c r="B687" s="24"/>
      <c r="C687" s="24"/>
      <c r="D687" s="24"/>
      <c r="E687" s="25"/>
      <c r="F687" s="29"/>
      <c r="G687" s="26"/>
      <c r="H687" s="26"/>
      <c r="I687" s="24"/>
      <c r="J687" s="24"/>
      <c r="K687" s="24"/>
      <c r="L687" s="24"/>
      <c r="M687" s="24"/>
      <c r="N687" s="25"/>
    </row>
    <row r="688" spans="2:14" x14ac:dyDescent="0.25">
      <c r="B688" s="24"/>
      <c r="C688" s="24"/>
      <c r="D688" s="24"/>
      <c r="E688" s="25"/>
      <c r="F688" s="29"/>
      <c r="G688" s="26"/>
      <c r="H688" s="26"/>
      <c r="I688" s="24"/>
      <c r="J688" s="24"/>
      <c r="K688" s="24"/>
      <c r="L688" s="24"/>
      <c r="M688" s="24"/>
      <c r="N688" s="25"/>
    </row>
    <row r="689" spans="2:14" x14ac:dyDescent="0.25">
      <c r="B689" s="24"/>
      <c r="C689" s="24"/>
      <c r="D689" s="24"/>
      <c r="E689" s="25"/>
      <c r="F689" s="29"/>
      <c r="G689" s="26"/>
      <c r="H689" s="26"/>
      <c r="I689" s="24"/>
      <c r="J689" s="24"/>
      <c r="K689" s="24"/>
      <c r="L689" s="24"/>
      <c r="M689" s="24"/>
      <c r="N689" s="25"/>
    </row>
    <row r="690" spans="2:14" x14ac:dyDescent="0.25">
      <c r="B690" s="24"/>
      <c r="C690" s="24"/>
      <c r="D690" s="24"/>
      <c r="E690" s="25"/>
      <c r="F690" s="29"/>
      <c r="G690" s="26"/>
      <c r="H690" s="26"/>
      <c r="I690" s="24"/>
      <c r="J690" s="24"/>
      <c r="K690" s="24"/>
      <c r="L690" s="24"/>
      <c r="M690" s="24"/>
      <c r="N690" s="25"/>
    </row>
    <row r="691" spans="2:14" x14ac:dyDescent="0.25">
      <c r="B691" s="24"/>
      <c r="C691" s="24"/>
      <c r="D691" s="24"/>
      <c r="E691" s="25"/>
      <c r="F691" s="29"/>
      <c r="G691" s="26"/>
      <c r="H691" s="26"/>
      <c r="I691" s="24"/>
      <c r="J691" s="24"/>
      <c r="K691" s="24"/>
      <c r="L691" s="24"/>
      <c r="M691" s="24"/>
      <c r="N691" s="25"/>
    </row>
    <row r="692" spans="2:14" x14ac:dyDescent="0.25">
      <c r="B692" s="24"/>
      <c r="C692" s="24"/>
      <c r="D692" s="24"/>
      <c r="E692" s="25"/>
      <c r="F692" s="29"/>
      <c r="G692" s="26"/>
      <c r="H692" s="26"/>
      <c r="I692" s="24"/>
      <c r="J692" s="24"/>
      <c r="K692" s="24"/>
      <c r="L692" s="24"/>
      <c r="M692" s="24"/>
      <c r="N692" s="25"/>
    </row>
    <row r="693" spans="2:14" x14ac:dyDescent="0.25">
      <c r="B693" s="24"/>
      <c r="C693" s="24"/>
      <c r="D693" s="24"/>
      <c r="E693" s="25"/>
      <c r="F693" s="29"/>
      <c r="G693" s="26"/>
      <c r="H693" s="26"/>
      <c r="I693" s="24"/>
      <c r="J693" s="24"/>
      <c r="K693" s="24"/>
      <c r="L693" s="24"/>
      <c r="M693" s="24"/>
      <c r="N693" s="25"/>
    </row>
    <row r="694" spans="2:14" x14ac:dyDescent="0.25">
      <c r="B694" s="24"/>
      <c r="C694" s="24"/>
      <c r="D694" s="24"/>
      <c r="E694" s="25"/>
      <c r="F694" s="29"/>
      <c r="G694" s="26"/>
      <c r="H694" s="26"/>
      <c r="I694" s="24"/>
      <c r="J694" s="24"/>
      <c r="K694" s="24"/>
      <c r="L694" s="24"/>
      <c r="M694" s="24"/>
      <c r="N694" s="25"/>
    </row>
    <row r="695" spans="2:14" x14ac:dyDescent="0.25">
      <c r="B695" s="24"/>
      <c r="C695" s="24"/>
      <c r="D695" s="24"/>
      <c r="E695" s="25"/>
      <c r="F695" s="29"/>
      <c r="G695" s="26"/>
      <c r="H695" s="26"/>
      <c r="I695" s="24"/>
      <c r="J695" s="24"/>
      <c r="K695" s="24"/>
      <c r="L695" s="24"/>
      <c r="M695" s="24"/>
      <c r="N695" s="25"/>
    </row>
    <row r="696" spans="2:14" x14ac:dyDescent="0.25">
      <c r="B696" s="24"/>
      <c r="C696" s="24"/>
      <c r="D696" s="24"/>
      <c r="E696" s="25"/>
      <c r="F696" s="29"/>
      <c r="G696" s="26"/>
      <c r="H696" s="26"/>
      <c r="I696" s="24"/>
      <c r="J696" s="24"/>
      <c r="K696" s="24"/>
      <c r="L696" s="24"/>
      <c r="M696" s="24"/>
      <c r="N696" s="25"/>
    </row>
    <row r="697" spans="2:14" x14ac:dyDescent="0.25">
      <c r="B697" s="24"/>
      <c r="C697" s="24"/>
      <c r="D697" s="24"/>
      <c r="E697" s="25"/>
      <c r="F697" s="29"/>
      <c r="G697" s="26"/>
      <c r="H697" s="26"/>
      <c r="I697" s="24"/>
      <c r="J697" s="24"/>
      <c r="K697" s="24"/>
      <c r="L697" s="24"/>
      <c r="M697" s="24"/>
      <c r="N697" s="25"/>
    </row>
    <row r="698" spans="2:14" x14ac:dyDescent="0.25">
      <c r="B698" s="24"/>
      <c r="C698" s="24"/>
      <c r="D698" s="24"/>
      <c r="E698" s="25"/>
      <c r="F698" s="29"/>
      <c r="G698" s="26"/>
      <c r="H698" s="26"/>
      <c r="I698" s="24"/>
      <c r="J698" s="24"/>
      <c r="K698" s="24"/>
      <c r="L698" s="24"/>
      <c r="M698" s="24"/>
      <c r="N698" s="25"/>
    </row>
    <row r="699" spans="2:14" x14ac:dyDescent="0.25">
      <c r="B699" s="24"/>
      <c r="C699" s="24"/>
      <c r="D699" s="24"/>
      <c r="E699" s="25"/>
      <c r="F699" s="29"/>
      <c r="G699" s="26"/>
      <c r="H699" s="26"/>
      <c r="I699" s="24"/>
      <c r="J699" s="24"/>
      <c r="K699" s="24"/>
      <c r="L699" s="24"/>
      <c r="M699" s="24"/>
      <c r="N699" s="25"/>
    </row>
    <row r="700" spans="2:14" x14ac:dyDescent="0.25">
      <c r="B700" s="24"/>
      <c r="C700" s="24"/>
      <c r="D700" s="24"/>
      <c r="E700" s="25"/>
      <c r="F700" s="29"/>
      <c r="G700" s="26"/>
      <c r="H700" s="26"/>
      <c r="I700" s="24"/>
      <c r="J700" s="24"/>
      <c r="K700" s="24"/>
      <c r="L700" s="24"/>
      <c r="M700" s="24"/>
      <c r="N700" s="25"/>
    </row>
    <row r="701" spans="2:14" x14ac:dyDescent="0.25">
      <c r="B701" s="24"/>
      <c r="C701" s="24"/>
      <c r="D701" s="24"/>
      <c r="E701" s="25"/>
      <c r="F701" s="29"/>
      <c r="G701" s="26"/>
      <c r="H701" s="26"/>
      <c r="I701" s="24"/>
      <c r="J701" s="24"/>
      <c r="K701" s="24"/>
      <c r="L701" s="24"/>
      <c r="M701" s="24"/>
      <c r="N701" s="25"/>
    </row>
    <row r="702" spans="2:14" x14ac:dyDescent="0.25">
      <c r="B702" s="24"/>
      <c r="C702" s="24"/>
      <c r="D702" s="24"/>
      <c r="E702" s="25"/>
      <c r="F702" s="29"/>
      <c r="G702" s="26"/>
      <c r="H702" s="26"/>
      <c r="I702" s="24"/>
      <c r="J702" s="24"/>
      <c r="K702" s="24"/>
      <c r="L702" s="24"/>
      <c r="M702" s="24"/>
      <c r="N702" s="25"/>
    </row>
    <row r="703" spans="2:14" x14ac:dyDescent="0.25">
      <c r="B703" s="24"/>
      <c r="C703" s="24"/>
      <c r="D703" s="24"/>
      <c r="E703" s="25"/>
      <c r="F703" s="29"/>
      <c r="G703" s="26"/>
      <c r="H703" s="26"/>
      <c r="I703" s="24"/>
      <c r="J703" s="24"/>
      <c r="K703" s="24"/>
      <c r="L703" s="24"/>
      <c r="M703" s="24"/>
      <c r="N703" s="25"/>
    </row>
    <row r="704" spans="2:14" x14ac:dyDescent="0.25">
      <c r="B704" s="24"/>
      <c r="C704" s="24"/>
      <c r="D704" s="24"/>
      <c r="E704" s="25"/>
      <c r="F704" s="29"/>
      <c r="G704" s="26"/>
      <c r="H704" s="26"/>
      <c r="I704" s="24"/>
      <c r="J704" s="24"/>
      <c r="K704" s="24"/>
      <c r="L704" s="24"/>
      <c r="M704" s="24"/>
      <c r="N704" s="25"/>
    </row>
    <row r="705" spans="2:14" x14ac:dyDescent="0.25">
      <c r="B705" s="24"/>
      <c r="C705" s="24"/>
      <c r="D705" s="24"/>
      <c r="E705" s="25"/>
      <c r="F705" s="29"/>
      <c r="G705" s="26"/>
      <c r="H705" s="26"/>
      <c r="I705" s="24"/>
      <c r="J705" s="24"/>
      <c r="K705" s="24"/>
      <c r="L705" s="24"/>
      <c r="M705" s="24"/>
      <c r="N705" s="25"/>
    </row>
    <row r="706" spans="2:14" x14ac:dyDescent="0.25">
      <c r="B706" s="24"/>
      <c r="C706" s="24"/>
      <c r="D706" s="24"/>
      <c r="E706" s="25"/>
      <c r="F706" s="29"/>
      <c r="G706" s="26"/>
      <c r="H706" s="26"/>
      <c r="I706" s="24"/>
      <c r="J706" s="24"/>
      <c r="K706" s="24"/>
      <c r="L706" s="24"/>
      <c r="M706" s="24"/>
      <c r="N706" s="25"/>
    </row>
    <row r="707" spans="2:14" x14ac:dyDescent="0.25">
      <c r="B707" s="24"/>
      <c r="C707" s="24"/>
      <c r="D707" s="24"/>
      <c r="E707" s="25"/>
      <c r="F707" s="29"/>
      <c r="G707" s="26"/>
      <c r="H707" s="26"/>
      <c r="I707" s="24"/>
      <c r="J707" s="24"/>
      <c r="K707" s="24"/>
      <c r="L707" s="24"/>
      <c r="M707" s="24"/>
      <c r="N707" s="25"/>
    </row>
    <row r="708" spans="2:14" x14ac:dyDescent="0.25">
      <c r="B708" s="24"/>
      <c r="C708" s="24"/>
      <c r="D708" s="24"/>
      <c r="E708" s="25"/>
      <c r="F708" s="29"/>
      <c r="G708" s="26"/>
      <c r="H708" s="26"/>
      <c r="I708" s="24"/>
      <c r="J708" s="24"/>
      <c r="K708" s="24"/>
      <c r="L708" s="24"/>
      <c r="M708" s="24"/>
      <c r="N708" s="25"/>
    </row>
    <row r="709" spans="2:14" x14ac:dyDescent="0.25">
      <c r="B709" s="24"/>
      <c r="C709" s="24"/>
      <c r="D709" s="24"/>
      <c r="E709" s="25"/>
      <c r="F709" s="29"/>
      <c r="G709" s="26"/>
      <c r="H709" s="26"/>
      <c r="I709" s="24"/>
      <c r="J709" s="24"/>
      <c r="K709" s="24"/>
      <c r="L709" s="24"/>
      <c r="M709" s="24"/>
      <c r="N709" s="25"/>
    </row>
    <row r="710" spans="2:14" x14ac:dyDescent="0.25">
      <c r="B710" s="24"/>
      <c r="C710" s="24"/>
      <c r="D710" s="24"/>
      <c r="E710" s="25"/>
      <c r="F710" s="29"/>
      <c r="G710" s="26"/>
      <c r="H710" s="26"/>
      <c r="I710" s="24"/>
      <c r="J710" s="24"/>
      <c r="K710" s="24"/>
      <c r="L710" s="24"/>
      <c r="M710" s="24"/>
      <c r="N710" s="25"/>
    </row>
    <row r="711" spans="2:14" x14ac:dyDescent="0.25">
      <c r="B711" s="24"/>
      <c r="C711" s="24"/>
      <c r="D711" s="24"/>
      <c r="E711" s="25"/>
      <c r="F711" s="29"/>
      <c r="G711" s="26"/>
      <c r="H711" s="26"/>
      <c r="I711" s="24"/>
      <c r="J711" s="24"/>
      <c r="K711" s="24"/>
      <c r="L711" s="24"/>
      <c r="M711" s="24"/>
      <c r="N711" s="25"/>
    </row>
    <row r="712" spans="2:14" x14ac:dyDescent="0.25">
      <c r="B712" s="24"/>
      <c r="C712" s="24"/>
      <c r="D712" s="24"/>
      <c r="E712" s="25"/>
      <c r="F712" s="29"/>
      <c r="G712" s="26"/>
      <c r="H712" s="26"/>
      <c r="I712" s="24"/>
      <c r="J712" s="24"/>
      <c r="K712" s="24"/>
      <c r="L712" s="24"/>
      <c r="M712" s="24"/>
      <c r="N712" s="25"/>
    </row>
    <row r="713" spans="2:14" x14ac:dyDescent="0.25">
      <c r="B713" s="24"/>
      <c r="C713" s="24"/>
      <c r="D713" s="24"/>
      <c r="E713" s="25"/>
      <c r="F713" s="29"/>
      <c r="G713" s="26"/>
      <c r="H713" s="26"/>
      <c r="I713" s="24"/>
      <c r="J713" s="24"/>
      <c r="K713" s="24"/>
      <c r="L713" s="24"/>
      <c r="M713" s="24"/>
      <c r="N713" s="25"/>
    </row>
    <row r="714" spans="2:14" x14ac:dyDescent="0.25">
      <c r="B714" s="24"/>
      <c r="C714" s="24"/>
      <c r="D714" s="24"/>
      <c r="E714" s="25"/>
      <c r="F714" s="29"/>
      <c r="G714" s="26"/>
      <c r="H714" s="26"/>
      <c r="I714" s="24"/>
      <c r="J714" s="24"/>
      <c r="K714" s="24"/>
      <c r="L714" s="24"/>
      <c r="M714" s="24"/>
      <c r="N714" s="25"/>
    </row>
    <row r="715" spans="2:14" x14ac:dyDescent="0.25">
      <c r="B715" s="24"/>
      <c r="C715" s="24"/>
      <c r="D715" s="24"/>
      <c r="E715" s="25"/>
      <c r="F715" s="29"/>
      <c r="G715" s="26"/>
      <c r="H715" s="26"/>
      <c r="I715" s="24"/>
      <c r="J715" s="24"/>
      <c r="K715" s="24"/>
      <c r="L715" s="24"/>
      <c r="M715" s="24"/>
      <c r="N715" s="25"/>
    </row>
    <row r="716" spans="2:14" x14ac:dyDescent="0.25">
      <c r="B716" s="24"/>
      <c r="C716" s="24"/>
      <c r="D716" s="24"/>
      <c r="E716" s="25"/>
      <c r="F716" s="29"/>
      <c r="G716" s="26"/>
      <c r="H716" s="26"/>
      <c r="I716" s="24"/>
      <c r="J716" s="24"/>
      <c r="K716" s="24"/>
      <c r="L716" s="24"/>
      <c r="M716" s="24"/>
      <c r="N716" s="25"/>
    </row>
    <row r="717" spans="2:14" x14ac:dyDescent="0.25">
      <c r="B717" s="24"/>
      <c r="C717" s="24"/>
      <c r="D717" s="24"/>
      <c r="E717" s="25"/>
      <c r="F717" s="29"/>
      <c r="G717" s="26"/>
      <c r="H717" s="26"/>
      <c r="I717" s="24"/>
      <c r="J717" s="24"/>
      <c r="K717" s="24"/>
      <c r="L717" s="24"/>
      <c r="M717" s="24"/>
      <c r="N717" s="25"/>
    </row>
    <row r="718" spans="2:14" x14ac:dyDescent="0.25">
      <c r="B718" s="24"/>
      <c r="C718" s="24"/>
      <c r="D718" s="24"/>
      <c r="E718" s="25"/>
      <c r="F718" s="29"/>
      <c r="G718" s="26"/>
      <c r="H718" s="26"/>
      <c r="I718" s="24"/>
      <c r="J718" s="24"/>
      <c r="K718" s="24"/>
      <c r="L718" s="24"/>
      <c r="M718" s="24"/>
      <c r="N718" s="25"/>
    </row>
    <row r="719" spans="2:14" x14ac:dyDescent="0.25">
      <c r="B719" s="24"/>
      <c r="C719" s="24"/>
      <c r="D719" s="24"/>
      <c r="E719" s="25"/>
      <c r="F719" s="29"/>
      <c r="G719" s="26"/>
      <c r="H719" s="26"/>
      <c r="I719" s="24"/>
      <c r="J719" s="24"/>
      <c r="K719" s="24"/>
      <c r="L719" s="24"/>
      <c r="M719" s="24"/>
      <c r="N719" s="25"/>
    </row>
    <row r="720" spans="2:14" x14ac:dyDescent="0.25">
      <c r="B720" s="24"/>
      <c r="C720" s="24"/>
      <c r="D720" s="24"/>
      <c r="E720" s="25"/>
      <c r="F720" s="29"/>
      <c r="G720" s="26"/>
      <c r="H720" s="26"/>
      <c r="I720" s="24"/>
      <c r="J720" s="24"/>
      <c r="K720" s="24"/>
      <c r="L720" s="24"/>
      <c r="M720" s="24"/>
      <c r="N720" s="25"/>
    </row>
    <row r="721" spans="2:14" x14ac:dyDescent="0.25">
      <c r="B721" s="24"/>
      <c r="C721" s="24"/>
      <c r="D721" s="24"/>
      <c r="E721" s="25"/>
      <c r="F721" s="29"/>
      <c r="G721" s="26"/>
      <c r="H721" s="26"/>
      <c r="I721" s="24"/>
      <c r="J721" s="24"/>
      <c r="K721" s="24"/>
      <c r="L721" s="24"/>
      <c r="M721" s="24"/>
      <c r="N721" s="25"/>
    </row>
    <row r="722" spans="2:14" x14ac:dyDescent="0.25">
      <c r="B722" s="24"/>
      <c r="C722" s="24"/>
      <c r="D722" s="24"/>
      <c r="E722" s="25"/>
      <c r="F722" s="29"/>
      <c r="G722" s="26"/>
      <c r="H722" s="26"/>
      <c r="I722" s="24"/>
      <c r="J722" s="24"/>
      <c r="K722" s="24"/>
      <c r="L722" s="24"/>
      <c r="M722" s="24"/>
      <c r="N722" s="25"/>
    </row>
    <row r="723" spans="2:14" x14ac:dyDescent="0.25">
      <c r="B723" s="24"/>
      <c r="C723" s="24"/>
      <c r="D723" s="24"/>
      <c r="E723" s="25"/>
      <c r="F723" s="29"/>
      <c r="G723" s="26"/>
      <c r="H723" s="26"/>
      <c r="I723" s="24"/>
      <c r="J723" s="24"/>
      <c r="K723" s="24"/>
      <c r="L723" s="24"/>
      <c r="M723" s="24"/>
      <c r="N723" s="25"/>
    </row>
    <row r="724" spans="2:14" x14ac:dyDescent="0.25">
      <c r="B724" s="24"/>
      <c r="C724" s="24"/>
      <c r="D724" s="24"/>
      <c r="E724" s="25"/>
      <c r="F724" s="29"/>
      <c r="G724" s="26"/>
      <c r="H724" s="26"/>
      <c r="I724" s="24"/>
      <c r="J724" s="24"/>
      <c r="K724" s="24"/>
      <c r="L724" s="24"/>
      <c r="M724" s="24"/>
      <c r="N724" s="25"/>
    </row>
    <row r="725" spans="2:14" x14ac:dyDescent="0.25">
      <c r="B725" s="24"/>
      <c r="C725" s="24"/>
      <c r="D725" s="24"/>
      <c r="E725" s="25"/>
      <c r="F725" s="29"/>
      <c r="G725" s="26"/>
      <c r="H725" s="26"/>
      <c r="I725" s="24"/>
      <c r="J725" s="24"/>
      <c r="K725" s="24"/>
      <c r="L725" s="24"/>
      <c r="M725" s="24"/>
      <c r="N725" s="25"/>
    </row>
    <row r="726" spans="2:14" x14ac:dyDescent="0.25">
      <c r="B726" s="24"/>
      <c r="C726" s="24"/>
      <c r="D726" s="24"/>
      <c r="E726" s="25"/>
      <c r="F726" s="29"/>
      <c r="G726" s="26"/>
      <c r="H726" s="26"/>
      <c r="I726" s="24"/>
      <c r="J726" s="24"/>
      <c r="K726" s="24"/>
      <c r="L726" s="24"/>
      <c r="M726" s="24"/>
      <c r="N726" s="25"/>
    </row>
    <row r="727" spans="2:14" x14ac:dyDescent="0.25">
      <c r="B727" s="24"/>
      <c r="C727" s="24"/>
      <c r="D727" s="24"/>
      <c r="E727" s="25"/>
      <c r="F727" s="29"/>
      <c r="G727" s="26"/>
      <c r="H727" s="26"/>
      <c r="I727" s="24"/>
      <c r="J727" s="24"/>
      <c r="K727" s="24"/>
      <c r="L727" s="24"/>
      <c r="M727" s="24"/>
      <c r="N727" s="25"/>
    </row>
    <row r="728" spans="2:14" x14ac:dyDescent="0.25">
      <c r="B728" s="24"/>
      <c r="C728" s="24"/>
      <c r="D728" s="24"/>
      <c r="E728" s="25"/>
      <c r="F728" s="29"/>
      <c r="G728" s="26"/>
      <c r="H728" s="26"/>
      <c r="I728" s="24"/>
      <c r="J728" s="24"/>
      <c r="K728" s="24"/>
      <c r="L728" s="24"/>
      <c r="M728" s="24"/>
      <c r="N728" s="25"/>
    </row>
    <row r="729" spans="2:14" x14ac:dyDescent="0.25">
      <c r="B729" s="24"/>
      <c r="C729" s="24"/>
      <c r="D729" s="24"/>
      <c r="E729" s="25"/>
      <c r="F729" s="29"/>
      <c r="G729" s="26"/>
      <c r="H729" s="26"/>
      <c r="I729" s="24"/>
      <c r="J729" s="24"/>
      <c r="K729" s="24"/>
      <c r="L729" s="24"/>
      <c r="M729" s="24"/>
      <c r="N729" s="25"/>
    </row>
    <row r="730" spans="2:14" x14ac:dyDescent="0.25">
      <c r="B730" s="24"/>
      <c r="C730" s="24"/>
      <c r="D730" s="24"/>
      <c r="E730" s="25"/>
      <c r="F730" s="29"/>
      <c r="G730" s="26"/>
      <c r="H730" s="26"/>
      <c r="I730" s="24"/>
      <c r="J730" s="24"/>
      <c r="K730" s="24"/>
      <c r="L730" s="24"/>
      <c r="M730" s="24"/>
      <c r="N730" s="25"/>
    </row>
    <row r="731" spans="2:14" x14ac:dyDescent="0.25">
      <c r="B731" s="24"/>
      <c r="C731" s="24"/>
      <c r="D731" s="24"/>
      <c r="E731" s="25"/>
      <c r="F731" s="29"/>
      <c r="G731" s="26"/>
      <c r="H731" s="26"/>
      <c r="I731" s="24"/>
      <c r="J731" s="24"/>
      <c r="K731" s="24"/>
      <c r="L731" s="24"/>
      <c r="M731" s="24"/>
      <c r="N731" s="25"/>
    </row>
    <row r="732" spans="2:14" x14ac:dyDescent="0.25">
      <c r="B732" s="24"/>
      <c r="C732" s="24"/>
      <c r="D732" s="24"/>
      <c r="E732" s="25"/>
      <c r="F732" s="29"/>
      <c r="G732" s="26"/>
      <c r="H732" s="26"/>
      <c r="I732" s="24"/>
      <c r="J732" s="24"/>
      <c r="K732" s="24"/>
      <c r="L732" s="24"/>
      <c r="M732" s="24"/>
      <c r="N732" s="25"/>
    </row>
    <row r="733" spans="2:14" x14ac:dyDescent="0.25">
      <c r="B733" s="24"/>
      <c r="C733" s="24"/>
      <c r="D733" s="24"/>
      <c r="E733" s="25"/>
      <c r="F733" s="29"/>
      <c r="G733" s="26"/>
      <c r="H733" s="26"/>
      <c r="I733" s="24"/>
      <c r="J733" s="24"/>
      <c r="K733" s="24"/>
      <c r="L733" s="24"/>
      <c r="M733" s="24"/>
      <c r="N733" s="25"/>
    </row>
    <row r="734" spans="2:14" x14ac:dyDescent="0.25">
      <c r="B734" s="24"/>
      <c r="C734" s="24"/>
      <c r="D734" s="24"/>
      <c r="E734" s="25"/>
      <c r="F734" s="29"/>
      <c r="G734" s="26"/>
      <c r="H734" s="26"/>
      <c r="I734" s="24"/>
      <c r="J734" s="24"/>
      <c r="K734" s="24"/>
      <c r="L734" s="24"/>
      <c r="M734" s="24"/>
      <c r="N734" s="25"/>
    </row>
    <row r="735" spans="2:14" x14ac:dyDescent="0.25">
      <c r="B735" s="24"/>
      <c r="C735" s="24"/>
      <c r="D735" s="24"/>
      <c r="E735" s="25"/>
      <c r="F735" s="29"/>
      <c r="G735" s="26"/>
      <c r="H735" s="26"/>
      <c r="I735" s="24"/>
      <c r="J735" s="24"/>
      <c r="K735" s="24"/>
      <c r="L735" s="24"/>
      <c r="M735" s="24"/>
      <c r="N735" s="25"/>
    </row>
    <row r="736" spans="2:14" x14ac:dyDescent="0.25">
      <c r="B736" s="24"/>
      <c r="C736" s="24"/>
      <c r="D736" s="24"/>
      <c r="E736" s="25"/>
      <c r="F736" s="29"/>
      <c r="G736" s="26"/>
      <c r="H736" s="26"/>
      <c r="I736" s="24"/>
      <c r="J736" s="24"/>
      <c r="K736" s="24"/>
      <c r="L736" s="24"/>
      <c r="M736" s="24"/>
      <c r="N736" s="25"/>
    </row>
    <row r="737" spans="2:14" x14ac:dyDescent="0.25">
      <c r="B737" s="24"/>
      <c r="C737" s="24"/>
      <c r="D737" s="24"/>
      <c r="E737" s="25"/>
      <c r="F737" s="29"/>
      <c r="G737" s="26"/>
      <c r="H737" s="26"/>
      <c r="I737" s="24"/>
      <c r="J737" s="24"/>
      <c r="K737" s="24"/>
      <c r="L737" s="24"/>
      <c r="M737" s="24"/>
      <c r="N737" s="25"/>
    </row>
    <row r="738" spans="2:14" x14ac:dyDescent="0.25">
      <c r="B738" s="24"/>
      <c r="C738" s="24"/>
      <c r="D738" s="24"/>
      <c r="E738" s="25"/>
      <c r="F738" s="29"/>
      <c r="G738" s="26"/>
      <c r="H738" s="26"/>
      <c r="I738" s="24"/>
      <c r="J738" s="24"/>
      <c r="K738" s="24"/>
      <c r="L738" s="24"/>
      <c r="M738" s="24"/>
      <c r="N738" s="25"/>
    </row>
    <row r="739" spans="2:14" x14ac:dyDescent="0.25">
      <c r="B739" s="24"/>
      <c r="C739" s="24"/>
      <c r="D739" s="24"/>
      <c r="E739" s="25"/>
      <c r="F739" s="29"/>
      <c r="G739" s="26"/>
      <c r="H739" s="26"/>
      <c r="I739" s="24"/>
      <c r="J739" s="24"/>
      <c r="K739" s="24"/>
      <c r="L739" s="24"/>
      <c r="M739" s="24"/>
      <c r="N739" s="25"/>
    </row>
    <row r="740" spans="2:14" x14ac:dyDescent="0.25">
      <c r="B740" s="24"/>
      <c r="C740" s="24"/>
      <c r="D740" s="24"/>
      <c r="E740" s="25"/>
      <c r="F740" s="29"/>
      <c r="G740" s="26"/>
      <c r="H740" s="26"/>
      <c r="I740" s="24"/>
      <c r="J740" s="24"/>
      <c r="K740" s="24"/>
      <c r="L740" s="24"/>
      <c r="M740" s="24"/>
      <c r="N740" s="25"/>
    </row>
    <row r="741" spans="2:14" x14ac:dyDescent="0.25">
      <c r="B741" s="24"/>
      <c r="C741" s="24"/>
      <c r="D741" s="24"/>
      <c r="E741" s="25"/>
      <c r="F741" s="29"/>
      <c r="G741" s="26"/>
      <c r="H741" s="26"/>
      <c r="I741" s="24"/>
      <c r="J741" s="24"/>
      <c r="K741" s="24"/>
      <c r="L741" s="24"/>
      <c r="M741" s="24"/>
      <c r="N741" s="25"/>
    </row>
    <row r="742" spans="2:14" x14ac:dyDescent="0.25">
      <c r="B742" s="24"/>
      <c r="C742" s="24"/>
      <c r="D742" s="24"/>
      <c r="E742" s="25"/>
      <c r="F742" s="29"/>
      <c r="G742" s="26"/>
      <c r="H742" s="26"/>
      <c r="I742" s="24"/>
      <c r="J742" s="24"/>
      <c r="K742" s="24"/>
      <c r="L742" s="24"/>
      <c r="M742" s="24"/>
      <c r="N742" s="25"/>
    </row>
    <row r="743" spans="2:14" x14ac:dyDescent="0.25">
      <c r="B743" s="24"/>
      <c r="C743" s="24"/>
      <c r="D743" s="24"/>
      <c r="E743" s="25"/>
      <c r="F743" s="29"/>
      <c r="G743" s="26"/>
      <c r="H743" s="26"/>
      <c r="I743" s="24"/>
      <c r="J743" s="24"/>
      <c r="K743" s="24"/>
      <c r="L743" s="24"/>
      <c r="M743" s="24"/>
      <c r="N743" s="25"/>
    </row>
    <row r="744" spans="2:14" x14ac:dyDescent="0.25">
      <c r="B744" s="24"/>
      <c r="C744" s="24"/>
      <c r="D744" s="24"/>
      <c r="E744" s="25"/>
      <c r="F744" s="29"/>
      <c r="G744" s="26"/>
      <c r="H744" s="26"/>
      <c r="I744" s="24"/>
      <c r="J744" s="24"/>
      <c r="K744" s="24"/>
      <c r="L744" s="24"/>
      <c r="M744" s="24"/>
      <c r="N744" s="25"/>
    </row>
    <row r="745" spans="2:14" x14ac:dyDescent="0.25">
      <c r="B745" s="24"/>
      <c r="C745" s="24"/>
      <c r="D745" s="24"/>
      <c r="E745" s="25"/>
      <c r="F745" s="29"/>
      <c r="G745" s="26"/>
      <c r="H745" s="26"/>
      <c r="I745" s="24"/>
      <c r="J745" s="24"/>
      <c r="K745" s="24"/>
      <c r="L745" s="24"/>
      <c r="M745" s="24"/>
      <c r="N745" s="25"/>
    </row>
    <row r="746" spans="2:14" x14ac:dyDescent="0.25">
      <c r="B746" s="24"/>
      <c r="C746" s="24"/>
      <c r="D746" s="24"/>
      <c r="E746" s="25"/>
      <c r="F746" s="29"/>
      <c r="G746" s="26"/>
      <c r="H746" s="26"/>
      <c r="I746" s="24"/>
      <c r="J746" s="24"/>
      <c r="K746" s="24"/>
      <c r="L746" s="24"/>
      <c r="M746" s="24"/>
      <c r="N746" s="25"/>
    </row>
    <row r="747" spans="2:14" x14ac:dyDescent="0.25">
      <c r="B747" s="24"/>
      <c r="C747" s="24"/>
      <c r="D747" s="24"/>
      <c r="E747" s="25"/>
      <c r="F747" s="29"/>
      <c r="G747" s="26"/>
      <c r="H747" s="26"/>
      <c r="I747" s="24"/>
      <c r="J747" s="24"/>
      <c r="K747" s="24"/>
      <c r="L747" s="24"/>
      <c r="M747" s="24"/>
      <c r="N747" s="25"/>
    </row>
    <row r="748" spans="2:14" x14ac:dyDescent="0.25">
      <c r="B748" s="24"/>
      <c r="C748" s="24"/>
      <c r="D748" s="24"/>
      <c r="E748" s="25"/>
      <c r="F748" s="29"/>
      <c r="G748" s="26"/>
      <c r="H748" s="26"/>
      <c r="I748" s="24"/>
      <c r="J748" s="24"/>
      <c r="K748" s="24"/>
      <c r="L748" s="24"/>
      <c r="M748" s="24"/>
      <c r="N748" s="25"/>
    </row>
    <row r="749" spans="2:14" x14ac:dyDescent="0.25">
      <c r="B749" s="24"/>
      <c r="C749" s="24"/>
      <c r="D749" s="24"/>
      <c r="E749" s="25"/>
      <c r="F749" s="29"/>
      <c r="G749" s="26"/>
      <c r="H749" s="26"/>
      <c r="I749" s="24"/>
      <c r="J749" s="24"/>
      <c r="K749" s="24"/>
      <c r="L749" s="24"/>
      <c r="M749" s="24"/>
      <c r="N749" s="25"/>
    </row>
    <row r="750" spans="2:14" x14ac:dyDescent="0.25">
      <c r="B750" s="24"/>
      <c r="C750" s="24"/>
      <c r="D750" s="24"/>
      <c r="E750" s="25"/>
      <c r="F750" s="29"/>
      <c r="G750" s="26"/>
      <c r="H750" s="26"/>
      <c r="I750" s="24"/>
      <c r="J750" s="24"/>
      <c r="K750" s="24"/>
      <c r="L750" s="24"/>
      <c r="M750" s="24"/>
      <c r="N750" s="25"/>
    </row>
    <row r="751" spans="2:14" x14ac:dyDescent="0.25">
      <c r="B751" s="24"/>
      <c r="C751" s="24"/>
      <c r="D751" s="24"/>
      <c r="E751" s="25"/>
      <c r="F751" s="29"/>
      <c r="G751" s="26"/>
      <c r="H751" s="26"/>
      <c r="I751" s="24"/>
      <c r="J751" s="24"/>
      <c r="K751" s="24"/>
      <c r="L751" s="24"/>
      <c r="M751" s="24"/>
      <c r="N751" s="25"/>
    </row>
    <row r="752" spans="2:14" x14ac:dyDescent="0.25">
      <c r="B752" s="24"/>
      <c r="C752" s="24"/>
      <c r="D752" s="24"/>
      <c r="E752" s="25"/>
      <c r="F752" s="29"/>
      <c r="G752" s="26"/>
      <c r="H752" s="26"/>
      <c r="I752" s="24"/>
      <c r="J752" s="24"/>
      <c r="K752" s="24"/>
      <c r="L752" s="24"/>
      <c r="M752" s="24"/>
      <c r="N752" s="25"/>
    </row>
    <row r="753" spans="2:14" x14ac:dyDescent="0.25">
      <c r="B753" s="24"/>
      <c r="C753" s="24"/>
      <c r="D753" s="24"/>
      <c r="E753" s="25"/>
      <c r="F753" s="29"/>
      <c r="G753" s="26"/>
      <c r="H753" s="26"/>
      <c r="I753" s="24"/>
      <c r="J753" s="24"/>
      <c r="K753" s="24"/>
      <c r="L753" s="24"/>
      <c r="M753" s="24"/>
      <c r="N753" s="25"/>
    </row>
    <row r="754" spans="2:14" x14ac:dyDescent="0.25">
      <c r="B754" s="24"/>
      <c r="C754" s="24"/>
      <c r="D754" s="24"/>
      <c r="E754" s="25"/>
      <c r="F754" s="29"/>
      <c r="G754" s="26"/>
      <c r="H754" s="26"/>
      <c r="I754" s="24"/>
      <c r="J754" s="24"/>
      <c r="K754" s="24"/>
      <c r="L754" s="24"/>
      <c r="M754" s="24"/>
      <c r="N754" s="25"/>
    </row>
    <row r="755" spans="2:14" x14ac:dyDescent="0.25">
      <c r="B755" s="24"/>
      <c r="C755" s="24"/>
      <c r="D755" s="24"/>
      <c r="E755" s="25"/>
      <c r="F755" s="29"/>
      <c r="G755" s="26"/>
      <c r="H755" s="26"/>
      <c r="I755" s="24"/>
      <c r="J755" s="24"/>
      <c r="K755" s="24"/>
      <c r="L755" s="24"/>
      <c r="M755" s="24"/>
      <c r="N755" s="25"/>
    </row>
    <row r="756" spans="2:14" x14ac:dyDescent="0.25">
      <c r="B756" s="24"/>
      <c r="C756" s="24"/>
      <c r="D756" s="28"/>
      <c r="E756" s="25"/>
      <c r="F756" s="29"/>
      <c r="G756" s="26"/>
      <c r="H756" s="26"/>
      <c r="I756" s="24"/>
      <c r="J756" s="24"/>
      <c r="K756" s="24"/>
      <c r="L756" s="24"/>
      <c r="M756" s="24"/>
      <c r="N756" s="25"/>
    </row>
    <row r="757" spans="2:14" x14ac:dyDescent="0.25">
      <c r="B757" s="24"/>
      <c r="C757" s="24"/>
      <c r="D757" s="24"/>
      <c r="E757" s="25"/>
      <c r="F757" s="29"/>
      <c r="G757" s="26"/>
      <c r="H757" s="26"/>
      <c r="I757" s="24"/>
      <c r="J757" s="24"/>
      <c r="K757" s="24"/>
      <c r="L757" s="24"/>
      <c r="M757" s="24"/>
      <c r="N757" s="25"/>
    </row>
    <row r="758" spans="2:14" x14ac:dyDescent="0.25">
      <c r="B758" s="24"/>
      <c r="C758" s="24"/>
      <c r="D758" s="24"/>
      <c r="E758" s="25"/>
      <c r="F758" s="29"/>
      <c r="G758" s="26"/>
      <c r="H758" s="26"/>
      <c r="I758" s="24"/>
      <c r="J758" s="24"/>
      <c r="K758" s="24"/>
      <c r="L758" s="24"/>
      <c r="M758" s="24"/>
      <c r="N758" s="25"/>
    </row>
    <row r="759" spans="2:14" x14ac:dyDescent="0.25">
      <c r="B759" s="24"/>
      <c r="C759" s="24"/>
      <c r="D759" s="24"/>
      <c r="E759" s="25"/>
      <c r="F759" s="29"/>
      <c r="G759" s="26"/>
      <c r="H759" s="26"/>
      <c r="I759" s="24"/>
      <c r="J759" s="24"/>
      <c r="K759" s="24"/>
      <c r="L759" s="24"/>
      <c r="M759" s="24"/>
      <c r="N759" s="25"/>
    </row>
    <row r="760" spans="2:14" x14ac:dyDescent="0.25">
      <c r="B760" s="24"/>
      <c r="C760" s="24"/>
      <c r="D760" s="24"/>
      <c r="E760" s="25"/>
      <c r="F760" s="29"/>
      <c r="G760" s="26"/>
      <c r="H760" s="26"/>
      <c r="I760" s="24"/>
      <c r="J760" s="24"/>
      <c r="K760" s="24"/>
      <c r="L760" s="24"/>
      <c r="M760" s="24"/>
      <c r="N760" s="25"/>
    </row>
    <row r="761" spans="2:14" x14ac:dyDescent="0.25">
      <c r="B761" s="24"/>
      <c r="C761" s="24"/>
      <c r="D761" s="24"/>
      <c r="E761" s="25"/>
      <c r="F761" s="29"/>
      <c r="G761" s="26"/>
      <c r="H761" s="26"/>
      <c r="I761" s="24"/>
      <c r="J761" s="24"/>
      <c r="K761" s="24"/>
      <c r="L761" s="24"/>
      <c r="M761" s="24"/>
      <c r="N761" s="25"/>
    </row>
    <row r="762" spans="2:14" x14ac:dyDescent="0.25">
      <c r="B762" s="24"/>
      <c r="C762" s="24"/>
      <c r="D762" s="24"/>
      <c r="E762" s="25"/>
      <c r="F762" s="29"/>
      <c r="G762" s="26"/>
      <c r="H762" s="26"/>
      <c r="I762" s="24"/>
      <c r="J762" s="24"/>
      <c r="K762" s="24"/>
      <c r="L762" s="24"/>
      <c r="M762" s="24"/>
      <c r="N762" s="25"/>
    </row>
    <row r="763" spans="2:14" x14ac:dyDescent="0.25">
      <c r="B763" s="24"/>
      <c r="C763" s="24"/>
      <c r="D763" s="24"/>
      <c r="E763" s="25"/>
      <c r="F763" s="29"/>
      <c r="G763" s="26"/>
      <c r="H763" s="26"/>
      <c r="I763" s="24"/>
      <c r="J763" s="24"/>
      <c r="K763" s="24"/>
      <c r="L763" s="24"/>
      <c r="M763" s="24"/>
      <c r="N763" s="25"/>
    </row>
    <row r="764" spans="2:14" x14ac:dyDescent="0.25">
      <c r="B764" s="24"/>
      <c r="C764" s="24"/>
      <c r="D764" s="24"/>
      <c r="E764" s="25"/>
      <c r="F764" s="29"/>
      <c r="G764" s="26"/>
      <c r="H764" s="26"/>
      <c r="I764" s="24"/>
      <c r="J764" s="24"/>
      <c r="K764" s="24"/>
      <c r="L764" s="24"/>
      <c r="M764" s="24"/>
      <c r="N764" s="25"/>
    </row>
    <row r="765" spans="2:14" x14ac:dyDescent="0.25">
      <c r="B765" s="24"/>
      <c r="C765" s="24"/>
      <c r="D765" s="24"/>
      <c r="E765" s="25"/>
      <c r="F765" s="29"/>
      <c r="G765" s="26"/>
      <c r="H765" s="26"/>
      <c r="I765" s="24"/>
      <c r="J765" s="24"/>
      <c r="K765" s="24"/>
      <c r="L765" s="24"/>
      <c r="M765" s="24"/>
      <c r="N765" s="25"/>
    </row>
    <row r="766" spans="2:14" x14ac:dyDescent="0.25">
      <c r="B766" s="24"/>
      <c r="C766" s="24"/>
      <c r="D766" s="24"/>
      <c r="E766" s="25"/>
      <c r="F766" s="29"/>
      <c r="G766" s="26"/>
      <c r="H766" s="26"/>
      <c r="I766" s="24"/>
      <c r="J766" s="24"/>
      <c r="K766" s="24"/>
      <c r="L766" s="24"/>
      <c r="M766" s="24"/>
      <c r="N766" s="25"/>
    </row>
    <row r="767" spans="2:14" x14ac:dyDescent="0.25">
      <c r="B767" s="24"/>
      <c r="C767" s="24"/>
      <c r="D767" s="24"/>
      <c r="E767" s="25"/>
      <c r="F767" s="29"/>
      <c r="G767" s="26"/>
      <c r="H767" s="26"/>
      <c r="I767" s="24"/>
      <c r="J767" s="24"/>
      <c r="K767" s="24"/>
      <c r="L767" s="24"/>
      <c r="M767" s="24"/>
      <c r="N767" s="25"/>
    </row>
    <row r="768" spans="2:14" x14ac:dyDescent="0.25">
      <c r="B768" s="24"/>
      <c r="C768" s="24"/>
      <c r="D768" s="24"/>
      <c r="E768" s="25"/>
      <c r="F768" s="29"/>
      <c r="G768" s="26"/>
      <c r="H768" s="26"/>
      <c r="I768" s="24"/>
      <c r="J768" s="24"/>
      <c r="K768" s="24"/>
      <c r="L768" s="24"/>
      <c r="M768" s="24"/>
      <c r="N768" s="25"/>
    </row>
    <row r="769" spans="2:14" x14ac:dyDescent="0.25">
      <c r="B769" s="24"/>
      <c r="C769" s="24"/>
      <c r="D769" s="24"/>
      <c r="E769" s="25"/>
      <c r="F769" s="29"/>
      <c r="G769" s="26"/>
      <c r="H769" s="26"/>
      <c r="I769" s="24"/>
      <c r="J769" s="24"/>
      <c r="K769" s="24"/>
      <c r="L769" s="24"/>
      <c r="M769" s="24"/>
      <c r="N769" s="25"/>
    </row>
    <row r="770" spans="2:14" x14ac:dyDescent="0.25">
      <c r="B770" s="24"/>
      <c r="C770" s="24"/>
      <c r="D770" s="24"/>
      <c r="E770" s="25"/>
      <c r="F770" s="29"/>
      <c r="G770" s="26"/>
      <c r="H770" s="26"/>
      <c r="I770" s="24"/>
      <c r="J770" s="24"/>
      <c r="K770" s="24"/>
      <c r="L770" s="24"/>
      <c r="M770" s="24"/>
      <c r="N770" s="25"/>
    </row>
    <row r="771" spans="2:14" x14ac:dyDescent="0.25">
      <c r="B771" s="24"/>
      <c r="C771" s="24"/>
      <c r="D771" s="28"/>
      <c r="E771" s="25"/>
      <c r="F771" s="29"/>
      <c r="G771" s="26"/>
      <c r="H771" s="26"/>
      <c r="I771" s="24"/>
      <c r="J771" s="24"/>
      <c r="K771" s="24"/>
      <c r="L771" s="24"/>
      <c r="M771" s="24"/>
      <c r="N771" s="25"/>
    </row>
    <row r="772" spans="2:14" x14ac:dyDescent="0.25">
      <c r="B772" s="24"/>
      <c r="C772" s="24"/>
      <c r="D772" s="24"/>
      <c r="E772" s="25"/>
      <c r="F772" s="29"/>
      <c r="G772" s="26"/>
      <c r="H772" s="26"/>
      <c r="I772" s="24"/>
      <c r="J772" s="24"/>
      <c r="K772" s="24"/>
      <c r="L772" s="24"/>
      <c r="M772" s="24"/>
      <c r="N772" s="25"/>
    </row>
    <row r="773" spans="2:14" x14ac:dyDescent="0.25">
      <c r="B773" s="24"/>
      <c r="C773" s="24"/>
      <c r="D773" s="24"/>
      <c r="E773" s="25"/>
      <c r="F773" s="29"/>
      <c r="G773" s="26"/>
      <c r="H773" s="26"/>
      <c r="I773" s="24"/>
      <c r="J773" s="24"/>
      <c r="K773" s="24"/>
      <c r="L773" s="24"/>
      <c r="M773" s="24"/>
      <c r="N773" s="25"/>
    </row>
    <row r="774" spans="2:14" x14ac:dyDescent="0.25">
      <c r="B774" s="24"/>
      <c r="C774" s="24"/>
      <c r="D774" s="24"/>
      <c r="E774" s="25"/>
      <c r="F774" s="29"/>
      <c r="G774" s="26"/>
      <c r="H774" s="26"/>
      <c r="I774" s="24"/>
      <c r="J774" s="24"/>
      <c r="K774" s="24"/>
      <c r="L774" s="24"/>
      <c r="M774" s="24"/>
      <c r="N774" s="25"/>
    </row>
    <row r="775" spans="2:14" x14ac:dyDescent="0.25">
      <c r="B775" s="24"/>
      <c r="C775" s="24"/>
      <c r="D775" s="24"/>
      <c r="E775" s="25"/>
      <c r="F775" s="29"/>
      <c r="G775" s="26"/>
      <c r="H775" s="26"/>
      <c r="I775" s="24"/>
      <c r="J775" s="24"/>
      <c r="K775" s="24"/>
      <c r="L775" s="24"/>
      <c r="M775" s="24"/>
      <c r="N775" s="25"/>
    </row>
    <row r="776" spans="2:14" x14ac:dyDescent="0.25">
      <c r="B776" s="24"/>
      <c r="C776" s="24"/>
      <c r="D776" s="24"/>
      <c r="E776" s="25"/>
      <c r="F776" s="29"/>
      <c r="G776" s="26"/>
      <c r="H776" s="26"/>
      <c r="I776" s="24"/>
      <c r="J776" s="24"/>
      <c r="K776" s="24"/>
      <c r="L776" s="24"/>
      <c r="M776" s="24"/>
      <c r="N776" s="25"/>
    </row>
    <row r="777" spans="2:14" x14ac:dyDescent="0.25">
      <c r="B777" s="24"/>
      <c r="C777" s="24"/>
      <c r="D777" s="24"/>
      <c r="E777" s="25"/>
      <c r="F777" s="29"/>
      <c r="G777" s="26"/>
      <c r="H777" s="26"/>
      <c r="I777" s="24"/>
      <c r="J777" s="24"/>
      <c r="K777" s="24"/>
      <c r="L777" s="24"/>
      <c r="M777" s="24"/>
      <c r="N777" s="25"/>
    </row>
    <row r="778" spans="2:14" x14ac:dyDescent="0.25">
      <c r="B778" s="24"/>
      <c r="C778" s="24"/>
      <c r="D778" s="24"/>
      <c r="E778" s="25"/>
      <c r="F778" s="29"/>
      <c r="G778" s="26"/>
      <c r="H778" s="26"/>
      <c r="I778" s="24"/>
      <c r="J778" s="24"/>
      <c r="K778" s="24"/>
      <c r="L778" s="24"/>
      <c r="M778" s="24"/>
      <c r="N778" s="25"/>
    </row>
    <row r="779" spans="2:14" x14ac:dyDescent="0.25">
      <c r="B779" s="24"/>
      <c r="C779" s="24"/>
      <c r="D779" s="24"/>
      <c r="E779" s="25"/>
      <c r="F779" s="29"/>
      <c r="G779" s="26"/>
      <c r="H779" s="26"/>
      <c r="I779" s="24"/>
      <c r="J779" s="24"/>
      <c r="K779" s="24"/>
      <c r="L779" s="24"/>
      <c r="M779" s="24"/>
      <c r="N779" s="25"/>
    </row>
    <row r="780" spans="2:14" x14ac:dyDescent="0.25">
      <c r="B780" s="24"/>
      <c r="C780" s="24"/>
      <c r="D780" s="24"/>
      <c r="E780" s="25"/>
      <c r="F780" s="29"/>
      <c r="G780" s="26"/>
      <c r="H780" s="26"/>
      <c r="I780" s="24"/>
      <c r="J780" s="24"/>
      <c r="K780" s="24"/>
      <c r="L780" s="24"/>
      <c r="M780" s="24"/>
      <c r="N780" s="25"/>
    </row>
    <row r="781" spans="2:14" x14ac:dyDescent="0.25">
      <c r="B781" s="24"/>
      <c r="C781" s="24"/>
      <c r="D781" s="24"/>
      <c r="E781" s="25"/>
      <c r="F781" s="29"/>
      <c r="G781" s="26"/>
      <c r="H781" s="26"/>
      <c r="I781" s="24"/>
      <c r="J781" s="24"/>
      <c r="K781" s="24"/>
      <c r="L781" s="24"/>
      <c r="M781" s="24"/>
      <c r="N781" s="25"/>
    </row>
    <row r="782" spans="2:14" x14ac:dyDescent="0.25">
      <c r="B782" s="24"/>
      <c r="C782" s="24"/>
      <c r="D782" s="24"/>
      <c r="E782" s="25"/>
      <c r="F782" s="29"/>
      <c r="G782" s="26"/>
      <c r="H782" s="26"/>
      <c r="I782" s="24"/>
      <c r="J782" s="24"/>
      <c r="K782" s="24"/>
      <c r="L782" s="24"/>
      <c r="M782" s="24"/>
      <c r="N782" s="25"/>
    </row>
    <row r="783" spans="2:14" x14ac:dyDescent="0.25">
      <c r="B783" s="24"/>
      <c r="C783" s="24"/>
      <c r="D783" s="24"/>
      <c r="E783" s="25"/>
      <c r="F783" s="29"/>
      <c r="G783" s="26"/>
      <c r="H783" s="26"/>
      <c r="I783" s="24"/>
      <c r="J783" s="24"/>
      <c r="K783" s="24"/>
      <c r="L783" s="24"/>
      <c r="M783" s="24"/>
      <c r="N783" s="25"/>
    </row>
    <row r="784" spans="2:14" x14ac:dyDescent="0.25">
      <c r="B784" s="24"/>
      <c r="C784" s="24"/>
      <c r="D784" s="24"/>
      <c r="E784" s="25"/>
      <c r="F784" s="29"/>
      <c r="G784" s="26"/>
      <c r="H784" s="26"/>
      <c r="I784" s="24"/>
      <c r="J784" s="24"/>
      <c r="K784" s="24"/>
      <c r="L784" s="24"/>
      <c r="M784" s="24"/>
      <c r="N784" s="25"/>
    </row>
    <row r="785" spans="2:14" x14ac:dyDescent="0.25">
      <c r="B785" s="24"/>
      <c r="C785" s="24"/>
      <c r="D785" s="24"/>
      <c r="E785" s="25"/>
      <c r="F785" s="29"/>
      <c r="G785" s="26"/>
      <c r="H785" s="26"/>
      <c r="I785" s="24"/>
      <c r="J785" s="24"/>
      <c r="K785" s="24"/>
      <c r="L785" s="24"/>
      <c r="M785" s="24"/>
      <c r="N785" s="25"/>
    </row>
    <row r="786" spans="2:14" x14ac:dyDescent="0.25">
      <c r="B786" s="24"/>
      <c r="C786" s="24"/>
      <c r="D786" s="24"/>
      <c r="E786" s="25"/>
      <c r="F786" s="29"/>
      <c r="G786" s="26"/>
      <c r="H786" s="26"/>
      <c r="I786" s="24"/>
      <c r="J786" s="24"/>
      <c r="K786" s="24"/>
      <c r="L786" s="24"/>
      <c r="M786" s="24"/>
      <c r="N786" s="25"/>
    </row>
    <row r="787" spans="2:14" x14ac:dyDescent="0.25">
      <c r="B787" s="24"/>
      <c r="C787" s="24"/>
      <c r="D787" s="24"/>
      <c r="E787" s="25"/>
      <c r="F787" s="29"/>
      <c r="G787" s="26"/>
      <c r="H787" s="26"/>
      <c r="I787" s="24"/>
      <c r="J787" s="24"/>
      <c r="K787" s="24"/>
      <c r="L787" s="24"/>
      <c r="M787" s="24"/>
      <c r="N787" s="25"/>
    </row>
    <row r="788" spans="2:14" x14ac:dyDescent="0.25">
      <c r="B788" s="24"/>
      <c r="C788" s="24"/>
      <c r="D788" s="24"/>
      <c r="E788" s="25"/>
      <c r="F788" s="29"/>
      <c r="G788" s="26"/>
      <c r="H788" s="26"/>
      <c r="I788" s="24"/>
      <c r="J788" s="24"/>
      <c r="K788" s="24"/>
      <c r="L788" s="24"/>
      <c r="M788" s="24"/>
      <c r="N788" s="25"/>
    </row>
    <row r="789" spans="2:14" x14ac:dyDescent="0.25">
      <c r="B789" s="24"/>
      <c r="C789" s="24"/>
      <c r="D789" s="24"/>
      <c r="E789" s="25"/>
      <c r="F789" s="29"/>
      <c r="G789" s="26"/>
      <c r="H789" s="26"/>
      <c r="I789" s="24"/>
      <c r="J789" s="24"/>
      <c r="K789" s="24"/>
      <c r="L789" s="24"/>
      <c r="M789" s="24"/>
      <c r="N789" s="25"/>
    </row>
    <row r="790" spans="2:14" x14ac:dyDescent="0.25">
      <c r="B790" s="24"/>
      <c r="C790" s="24"/>
      <c r="D790" s="24"/>
      <c r="E790" s="25"/>
      <c r="F790" s="29"/>
      <c r="G790" s="26"/>
      <c r="H790" s="26"/>
      <c r="I790" s="24"/>
      <c r="J790" s="24"/>
      <c r="K790" s="24"/>
      <c r="L790" s="24"/>
      <c r="M790" s="24"/>
      <c r="N790" s="25"/>
    </row>
    <row r="791" spans="2:14" x14ac:dyDescent="0.25">
      <c r="B791" s="24"/>
      <c r="C791" s="24"/>
      <c r="D791" s="24"/>
      <c r="E791" s="25"/>
      <c r="F791" s="29"/>
      <c r="G791" s="26"/>
      <c r="H791" s="26"/>
      <c r="I791" s="24"/>
      <c r="J791" s="24"/>
      <c r="K791" s="24"/>
      <c r="L791" s="24"/>
      <c r="M791" s="24"/>
      <c r="N791" s="25"/>
    </row>
    <row r="792" spans="2:14" x14ac:dyDescent="0.25">
      <c r="B792" s="24"/>
      <c r="C792" s="24"/>
      <c r="D792" s="24"/>
      <c r="E792" s="25"/>
      <c r="F792" s="29"/>
      <c r="G792" s="26"/>
      <c r="H792" s="26"/>
      <c r="I792" s="24"/>
      <c r="J792" s="24"/>
      <c r="K792" s="24"/>
      <c r="L792" s="24"/>
      <c r="M792" s="24"/>
      <c r="N792" s="25"/>
    </row>
    <row r="793" spans="2:14" x14ac:dyDescent="0.25">
      <c r="B793" s="24"/>
      <c r="C793" s="24"/>
      <c r="D793" s="24"/>
      <c r="E793" s="25"/>
      <c r="F793" s="29"/>
      <c r="G793" s="26"/>
      <c r="H793" s="26"/>
      <c r="I793" s="24"/>
      <c r="J793" s="24"/>
      <c r="K793" s="24"/>
      <c r="L793" s="24"/>
      <c r="M793" s="24"/>
      <c r="N793" s="25"/>
    </row>
    <row r="794" spans="2:14" x14ac:dyDescent="0.25">
      <c r="B794" s="24"/>
      <c r="C794" s="24"/>
      <c r="D794" s="24"/>
      <c r="E794" s="25"/>
      <c r="F794" s="29"/>
      <c r="G794" s="26"/>
      <c r="H794" s="26"/>
      <c r="I794" s="24"/>
      <c r="J794" s="24"/>
      <c r="K794" s="24"/>
      <c r="L794" s="24"/>
      <c r="M794" s="24"/>
      <c r="N794" s="25"/>
    </row>
    <row r="795" spans="2:14" x14ac:dyDescent="0.25">
      <c r="B795" s="24"/>
      <c r="C795" s="24"/>
      <c r="D795" s="24"/>
      <c r="E795" s="25"/>
      <c r="F795" s="29"/>
      <c r="G795" s="26"/>
      <c r="H795" s="26"/>
      <c r="I795" s="24"/>
      <c r="J795" s="24"/>
      <c r="K795" s="24"/>
      <c r="L795" s="24"/>
      <c r="M795" s="24"/>
      <c r="N795" s="25"/>
    </row>
    <row r="796" spans="2:14" x14ac:dyDescent="0.25">
      <c r="B796" s="24"/>
      <c r="C796" s="24"/>
      <c r="D796" s="24"/>
      <c r="E796" s="25"/>
      <c r="F796" s="29"/>
      <c r="G796" s="26"/>
      <c r="H796" s="26"/>
      <c r="I796" s="24"/>
      <c r="J796" s="24"/>
      <c r="K796" s="24"/>
      <c r="L796" s="24"/>
      <c r="M796" s="24"/>
      <c r="N796" s="25"/>
    </row>
    <row r="797" spans="2:14" x14ac:dyDescent="0.25">
      <c r="B797" s="24"/>
      <c r="C797" s="24"/>
      <c r="D797" s="24"/>
      <c r="E797" s="25"/>
      <c r="F797" s="29"/>
      <c r="G797" s="26"/>
      <c r="H797" s="26"/>
      <c r="I797" s="24"/>
      <c r="J797" s="24"/>
      <c r="K797" s="24"/>
      <c r="L797" s="24"/>
      <c r="M797" s="24"/>
      <c r="N797" s="25"/>
    </row>
    <row r="798" spans="2:14" x14ac:dyDescent="0.25">
      <c r="B798" s="24"/>
      <c r="C798" s="24"/>
      <c r="D798" s="24"/>
      <c r="E798" s="25"/>
      <c r="F798" s="29"/>
      <c r="G798" s="26"/>
      <c r="H798" s="26"/>
      <c r="I798" s="24"/>
      <c r="J798" s="24"/>
      <c r="K798" s="24"/>
      <c r="L798" s="24"/>
      <c r="M798" s="24"/>
      <c r="N798" s="25"/>
    </row>
    <row r="799" spans="2:14" x14ac:dyDescent="0.25">
      <c r="B799" s="24"/>
      <c r="C799" s="24"/>
      <c r="D799" s="24"/>
      <c r="E799" s="25"/>
      <c r="F799" s="29"/>
      <c r="G799" s="26"/>
      <c r="H799" s="26"/>
      <c r="I799" s="24"/>
      <c r="J799" s="24"/>
      <c r="K799" s="24"/>
      <c r="L799" s="24"/>
      <c r="M799" s="24"/>
      <c r="N799" s="25"/>
    </row>
    <row r="800" spans="2:14" x14ac:dyDescent="0.25">
      <c r="B800" s="24"/>
      <c r="C800" s="24"/>
      <c r="D800" s="24"/>
      <c r="E800" s="25"/>
      <c r="F800" s="29"/>
      <c r="G800" s="26"/>
      <c r="H800" s="26"/>
      <c r="I800" s="24"/>
      <c r="J800" s="24"/>
      <c r="K800" s="24"/>
      <c r="L800" s="24"/>
      <c r="M800" s="24"/>
      <c r="N800" s="25"/>
    </row>
    <row r="801" spans="2:14" x14ac:dyDescent="0.25">
      <c r="B801" s="24"/>
      <c r="C801" s="24"/>
      <c r="D801" s="24"/>
      <c r="E801" s="25"/>
      <c r="F801" s="29"/>
      <c r="G801" s="26"/>
      <c r="H801" s="26"/>
      <c r="I801" s="24"/>
      <c r="J801" s="24"/>
      <c r="K801" s="24"/>
      <c r="L801" s="24"/>
      <c r="M801" s="24"/>
      <c r="N801" s="25"/>
    </row>
    <row r="802" spans="2:14" x14ac:dyDescent="0.25">
      <c r="B802" s="24"/>
      <c r="C802" s="24"/>
      <c r="D802" s="24"/>
      <c r="E802" s="25"/>
      <c r="F802" s="29"/>
      <c r="G802" s="26"/>
      <c r="H802" s="26"/>
      <c r="I802" s="24"/>
      <c r="J802" s="24"/>
      <c r="K802" s="24"/>
      <c r="L802" s="24"/>
      <c r="M802" s="24"/>
      <c r="N802" s="25"/>
    </row>
    <row r="803" spans="2:14" x14ac:dyDescent="0.25">
      <c r="B803" s="24"/>
      <c r="C803" s="24"/>
      <c r="D803" s="24"/>
      <c r="E803" s="25"/>
      <c r="F803" s="29"/>
      <c r="G803" s="26"/>
      <c r="H803" s="26"/>
      <c r="I803" s="24"/>
      <c r="J803" s="24"/>
      <c r="K803" s="24"/>
      <c r="L803" s="24"/>
      <c r="M803" s="24"/>
      <c r="N803" s="25"/>
    </row>
    <row r="804" spans="2:14" x14ac:dyDescent="0.25">
      <c r="B804" s="24"/>
      <c r="C804" s="24"/>
      <c r="D804" s="24"/>
      <c r="E804" s="25"/>
      <c r="F804" s="29"/>
      <c r="G804" s="26"/>
      <c r="H804" s="26"/>
      <c r="I804" s="24"/>
      <c r="J804" s="24"/>
      <c r="K804" s="24"/>
      <c r="L804" s="24"/>
      <c r="M804" s="24"/>
      <c r="N804" s="25"/>
    </row>
    <row r="805" spans="2:14" x14ac:dyDescent="0.25">
      <c r="B805" s="24"/>
      <c r="C805" s="24"/>
      <c r="D805" s="24"/>
      <c r="E805" s="25"/>
      <c r="F805" s="29"/>
      <c r="G805" s="26"/>
      <c r="H805" s="26"/>
      <c r="I805" s="24"/>
      <c r="J805" s="24"/>
      <c r="K805" s="24"/>
      <c r="L805" s="24"/>
      <c r="M805" s="24"/>
      <c r="N805" s="25"/>
    </row>
    <row r="806" spans="2:14" x14ac:dyDescent="0.25">
      <c r="B806" s="24"/>
      <c r="C806" s="24"/>
      <c r="D806" s="24"/>
      <c r="E806" s="25"/>
      <c r="F806" s="29"/>
      <c r="G806" s="26"/>
      <c r="H806" s="26"/>
      <c r="I806" s="24"/>
      <c r="J806" s="24"/>
      <c r="K806" s="24"/>
      <c r="L806" s="24"/>
      <c r="M806" s="24"/>
      <c r="N806" s="25"/>
    </row>
    <row r="807" spans="2:14" x14ac:dyDescent="0.25">
      <c r="B807" s="24"/>
      <c r="C807" s="24"/>
      <c r="D807" s="24"/>
      <c r="E807" s="25"/>
      <c r="F807" s="29"/>
      <c r="G807" s="26"/>
      <c r="H807" s="26"/>
      <c r="I807" s="24"/>
      <c r="J807" s="24"/>
      <c r="K807" s="24"/>
      <c r="L807" s="24"/>
      <c r="M807" s="24"/>
      <c r="N807" s="25"/>
    </row>
    <row r="808" spans="2:14" x14ac:dyDescent="0.25">
      <c r="B808" s="24"/>
      <c r="C808" s="24"/>
      <c r="D808" s="24"/>
      <c r="E808" s="25"/>
      <c r="F808" s="29"/>
      <c r="G808" s="26"/>
      <c r="H808" s="26"/>
      <c r="I808" s="24"/>
      <c r="J808" s="24"/>
      <c r="K808" s="24"/>
      <c r="L808" s="24"/>
      <c r="M808" s="24"/>
      <c r="N808" s="25"/>
    </row>
    <row r="809" spans="2:14" x14ac:dyDescent="0.25">
      <c r="B809" s="24"/>
      <c r="C809" s="24"/>
      <c r="D809" s="24"/>
      <c r="E809" s="25"/>
      <c r="F809" s="29"/>
      <c r="G809" s="26"/>
      <c r="H809" s="26"/>
      <c r="I809" s="24"/>
      <c r="J809" s="24"/>
      <c r="K809" s="24"/>
      <c r="L809" s="24"/>
      <c r="M809" s="24"/>
      <c r="N809" s="25"/>
    </row>
    <row r="810" spans="2:14" x14ac:dyDescent="0.25">
      <c r="B810" s="24"/>
      <c r="C810" s="24"/>
      <c r="D810" s="24"/>
      <c r="E810" s="25"/>
      <c r="F810" s="29"/>
      <c r="G810" s="26"/>
      <c r="H810" s="26"/>
      <c r="I810" s="24"/>
      <c r="J810" s="24"/>
      <c r="K810" s="24"/>
      <c r="L810" s="24"/>
      <c r="M810" s="24"/>
      <c r="N810" s="25"/>
    </row>
    <row r="811" spans="2:14" x14ac:dyDescent="0.25">
      <c r="B811" s="24"/>
      <c r="C811" s="24"/>
      <c r="D811" s="24"/>
      <c r="E811" s="25"/>
      <c r="F811" s="29"/>
      <c r="G811" s="26"/>
      <c r="H811" s="26"/>
      <c r="I811" s="24"/>
      <c r="J811" s="24"/>
      <c r="K811" s="24"/>
      <c r="L811" s="24"/>
      <c r="M811" s="24"/>
      <c r="N811" s="25"/>
    </row>
    <row r="812" spans="2:14" x14ac:dyDescent="0.25">
      <c r="B812" s="24"/>
      <c r="C812" s="24"/>
      <c r="D812" s="24"/>
      <c r="E812" s="25"/>
      <c r="F812" s="29"/>
      <c r="G812" s="26"/>
      <c r="H812" s="26"/>
      <c r="I812" s="24"/>
      <c r="J812" s="24"/>
      <c r="K812" s="24"/>
      <c r="L812" s="24"/>
      <c r="M812" s="24"/>
      <c r="N812" s="25"/>
    </row>
    <row r="813" spans="2:14" x14ac:dyDescent="0.25">
      <c r="B813" s="24"/>
      <c r="C813" s="24"/>
      <c r="D813" s="24"/>
      <c r="E813" s="25"/>
      <c r="F813" s="29"/>
      <c r="G813" s="26"/>
      <c r="H813" s="26"/>
      <c r="I813" s="24"/>
      <c r="J813" s="24"/>
      <c r="K813" s="24"/>
      <c r="L813" s="24"/>
      <c r="M813" s="24"/>
      <c r="N813" s="25"/>
    </row>
    <row r="814" spans="2:14" x14ac:dyDescent="0.25">
      <c r="B814" s="24"/>
      <c r="C814" s="24"/>
      <c r="D814" s="24"/>
      <c r="E814" s="25"/>
      <c r="F814" s="29"/>
      <c r="G814" s="26"/>
      <c r="H814" s="26"/>
      <c r="I814" s="24"/>
      <c r="J814" s="24"/>
      <c r="K814" s="24"/>
      <c r="L814" s="24"/>
      <c r="M814" s="24"/>
      <c r="N814" s="25"/>
    </row>
    <row r="815" spans="2:14" x14ac:dyDescent="0.25">
      <c r="B815" s="24"/>
      <c r="C815" s="24"/>
      <c r="D815" s="24"/>
      <c r="E815" s="25"/>
      <c r="F815" s="29"/>
      <c r="G815" s="26"/>
      <c r="H815" s="26"/>
      <c r="I815" s="24"/>
      <c r="J815" s="24"/>
      <c r="K815" s="24"/>
      <c r="L815" s="24"/>
      <c r="M815" s="24"/>
      <c r="N815" s="25"/>
    </row>
    <row r="816" spans="2:14" x14ac:dyDescent="0.25">
      <c r="B816" s="24"/>
      <c r="C816" s="24"/>
      <c r="D816" s="24"/>
      <c r="E816" s="25"/>
      <c r="F816" s="29"/>
      <c r="G816" s="26"/>
      <c r="H816" s="26"/>
      <c r="I816" s="24"/>
      <c r="J816" s="24"/>
      <c r="K816" s="24"/>
      <c r="L816" s="24"/>
      <c r="M816" s="24"/>
      <c r="N816" s="25"/>
    </row>
    <row r="817" spans="2:14" x14ac:dyDescent="0.25">
      <c r="B817" s="24"/>
      <c r="C817" s="24"/>
      <c r="D817" s="24"/>
      <c r="E817" s="25"/>
      <c r="F817" s="29"/>
      <c r="G817" s="26"/>
      <c r="H817" s="26"/>
      <c r="I817" s="24"/>
      <c r="J817" s="24"/>
      <c r="K817" s="24"/>
      <c r="L817" s="24"/>
      <c r="M817" s="24"/>
      <c r="N817" s="25"/>
    </row>
    <row r="818" spans="2:14" x14ac:dyDescent="0.25">
      <c r="B818" s="24"/>
      <c r="C818" s="24"/>
      <c r="D818" s="24"/>
      <c r="E818" s="25"/>
      <c r="F818" s="29"/>
      <c r="G818" s="26"/>
      <c r="H818" s="26"/>
      <c r="I818" s="24"/>
      <c r="J818" s="24"/>
      <c r="K818" s="24"/>
      <c r="L818" s="24"/>
      <c r="M818" s="24"/>
      <c r="N818" s="25"/>
    </row>
    <row r="819" spans="2:14" x14ac:dyDescent="0.25">
      <c r="B819" s="24"/>
      <c r="C819" s="24"/>
      <c r="D819" s="24"/>
      <c r="E819" s="25"/>
      <c r="F819" s="29"/>
      <c r="G819" s="26"/>
      <c r="H819" s="26"/>
      <c r="I819" s="24"/>
      <c r="J819" s="24"/>
      <c r="K819" s="24"/>
      <c r="L819" s="24"/>
      <c r="M819" s="24"/>
      <c r="N819" s="25"/>
    </row>
    <row r="820" spans="2:14" x14ac:dyDescent="0.25">
      <c r="B820" s="24"/>
      <c r="C820" s="24"/>
      <c r="D820" s="24"/>
      <c r="E820" s="25"/>
      <c r="F820" s="29"/>
      <c r="G820" s="26"/>
      <c r="H820" s="26"/>
      <c r="I820" s="24"/>
      <c r="J820" s="24"/>
      <c r="K820" s="24"/>
      <c r="L820" s="24"/>
      <c r="M820" s="24"/>
      <c r="N820" s="25"/>
    </row>
    <row r="821" spans="2:14" x14ac:dyDescent="0.25">
      <c r="B821" s="24"/>
      <c r="C821" s="24"/>
      <c r="D821" s="24"/>
      <c r="E821" s="25"/>
      <c r="F821" s="29"/>
      <c r="G821" s="26"/>
      <c r="H821" s="26"/>
      <c r="I821" s="24"/>
      <c r="J821" s="24"/>
      <c r="K821" s="24"/>
      <c r="L821" s="24"/>
      <c r="M821" s="24"/>
      <c r="N821" s="25"/>
    </row>
    <row r="822" spans="2:14" x14ac:dyDescent="0.25">
      <c r="B822" s="24"/>
      <c r="C822" s="24"/>
      <c r="D822" s="24"/>
      <c r="E822" s="25"/>
      <c r="F822" s="29"/>
      <c r="G822" s="26"/>
      <c r="H822" s="26"/>
      <c r="I822" s="24"/>
      <c r="J822" s="24"/>
      <c r="K822" s="24"/>
      <c r="L822" s="24"/>
      <c r="M822" s="24"/>
      <c r="N822" s="25"/>
    </row>
    <row r="823" spans="2:14" x14ac:dyDescent="0.25">
      <c r="B823" s="24"/>
      <c r="C823" s="24"/>
      <c r="D823" s="24"/>
      <c r="E823" s="25"/>
      <c r="F823" s="29"/>
      <c r="G823" s="26"/>
      <c r="H823" s="26"/>
      <c r="I823" s="24"/>
      <c r="J823" s="24"/>
      <c r="K823" s="24"/>
      <c r="L823" s="24"/>
      <c r="M823" s="24"/>
      <c r="N823" s="25"/>
    </row>
    <row r="824" spans="2:14" x14ac:dyDescent="0.25">
      <c r="B824" s="24"/>
      <c r="C824" s="24"/>
      <c r="D824" s="24"/>
      <c r="E824" s="25"/>
      <c r="F824" s="29"/>
      <c r="G824" s="26"/>
      <c r="H824" s="26"/>
      <c r="I824" s="24"/>
      <c r="J824" s="24"/>
      <c r="K824" s="24"/>
      <c r="L824" s="24"/>
      <c r="M824" s="24"/>
      <c r="N824" s="25"/>
    </row>
    <row r="825" spans="2:14" x14ac:dyDescent="0.25">
      <c r="B825" s="24"/>
      <c r="C825" s="24"/>
      <c r="D825" s="24"/>
      <c r="E825" s="25"/>
      <c r="F825" s="29"/>
      <c r="G825" s="26"/>
      <c r="H825" s="26"/>
      <c r="I825" s="24"/>
      <c r="J825" s="24"/>
      <c r="K825" s="24"/>
      <c r="L825" s="24"/>
      <c r="M825" s="24"/>
      <c r="N825" s="25"/>
    </row>
    <row r="826" spans="2:14" x14ac:dyDescent="0.25">
      <c r="B826" s="24"/>
      <c r="C826" s="24"/>
      <c r="D826" s="24"/>
      <c r="E826" s="25"/>
      <c r="F826" s="29"/>
      <c r="G826" s="26"/>
      <c r="H826" s="26"/>
      <c r="I826" s="24"/>
      <c r="J826" s="24"/>
      <c r="K826" s="24"/>
      <c r="L826" s="24"/>
      <c r="M826" s="24"/>
      <c r="N826" s="25"/>
    </row>
    <row r="827" spans="2:14" x14ac:dyDescent="0.25">
      <c r="B827" s="24"/>
      <c r="C827" s="24"/>
      <c r="D827" s="24"/>
      <c r="E827" s="25"/>
      <c r="F827" s="29"/>
      <c r="G827" s="26"/>
      <c r="H827" s="26"/>
      <c r="I827" s="24"/>
      <c r="J827" s="24"/>
      <c r="K827" s="24"/>
      <c r="L827" s="24"/>
      <c r="M827" s="24"/>
      <c r="N827" s="25"/>
    </row>
    <row r="828" spans="2:14" x14ac:dyDescent="0.25">
      <c r="B828" s="24"/>
      <c r="C828" s="24"/>
      <c r="D828" s="24"/>
      <c r="E828" s="25"/>
      <c r="F828" s="29"/>
      <c r="G828" s="26"/>
      <c r="H828" s="26"/>
      <c r="I828" s="24"/>
      <c r="J828" s="24"/>
      <c r="K828" s="24"/>
      <c r="L828" s="24"/>
      <c r="M828" s="24"/>
      <c r="N828" s="25"/>
    </row>
    <row r="829" spans="2:14" x14ac:dyDescent="0.25">
      <c r="B829" s="24"/>
      <c r="C829" s="24"/>
      <c r="D829" s="24"/>
      <c r="E829" s="25"/>
      <c r="F829" s="29"/>
      <c r="G829" s="26"/>
      <c r="H829" s="26"/>
      <c r="I829" s="24"/>
      <c r="J829" s="24"/>
      <c r="K829" s="24"/>
      <c r="L829" s="24"/>
      <c r="M829" s="24"/>
      <c r="N829" s="25"/>
    </row>
    <row r="830" spans="2:14" x14ac:dyDescent="0.25">
      <c r="B830" s="24"/>
      <c r="C830" s="24"/>
      <c r="D830" s="24"/>
      <c r="E830" s="25"/>
      <c r="F830" s="29"/>
      <c r="G830" s="26"/>
      <c r="H830" s="26"/>
      <c r="I830" s="24"/>
      <c r="J830" s="24"/>
      <c r="K830" s="24"/>
      <c r="L830" s="24"/>
      <c r="M830" s="24"/>
      <c r="N830" s="25"/>
    </row>
    <row r="831" spans="2:14" x14ac:dyDescent="0.25">
      <c r="B831" s="24"/>
      <c r="C831" s="24"/>
      <c r="D831" s="24"/>
      <c r="E831" s="25"/>
      <c r="F831" s="29"/>
      <c r="G831" s="26"/>
      <c r="H831" s="26"/>
      <c r="I831" s="24"/>
      <c r="J831" s="24"/>
      <c r="K831" s="24"/>
      <c r="L831" s="24"/>
      <c r="M831" s="24"/>
      <c r="N831" s="25"/>
    </row>
    <row r="832" spans="2:14" x14ac:dyDescent="0.25">
      <c r="B832" s="24"/>
      <c r="C832" s="24"/>
      <c r="D832" s="24"/>
      <c r="E832" s="25"/>
      <c r="F832" s="29"/>
      <c r="G832" s="26"/>
      <c r="H832" s="26"/>
      <c r="I832" s="24"/>
      <c r="J832" s="24"/>
      <c r="K832" s="24"/>
      <c r="L832" s="24"/>
      <c r="M832" s="24"/>
      <c r="N832" s="25"/>
    </row>
    <row r="833" spans="2:14" x14ac:dyDescent="0.25">
      <c r="B833" s="24"/>
      <c r="C833" s="24"/>
      <c r="D833" s="24"/>
      <c r="E833" s="25"/>
      <c r="F833" s="29"/>
      <c r="G833" s="26"/>
      <c r="H833" s="26"/>
      <c r="I833" s="24"/>
      <c r="J833" s="24"/>
      <c r="K833" s="24"/>
      <c r="L833" s="24"/>
      <c r="M833" s="24"/>
      <c r="N833" s="25"/>
    </row>
    <row r="834" spans="2:14" x14ac:dyDescent="0.25">
      <c r="B834" s="24"/>
      <c r="C834" s="24"/>
      <c r="D834" s="24"/>
      <c r="E834" s="25"/>
      <c r="F834" s="29"/>
      <c r="G834" s="26"/>
      <c r="H834" s="26"/>
      <c r="I834" s="24"/>
      <c r="J834" s="24"/>
      <c r="K834" s="24"/>
      <c r="L834" s="24"/>
      <c r="M834" s="24"/>
      <c r="N834" s="25"/>
    </row>
    <row r="835" spans="2:14" x14ac:dyDescent="0.25">
      <c r="B835" s="24"/>
      <c r="C835" s="24"/>
      <c r="D835" s="24"/>
      <c r="E835" s="25"/>
      <c r="F835" s="29"/>
      <c r="G835" s="26"/>
      <c r="H835" s="26"/>
      <c r="I835" s="24"/>
      <c r="J835" s="24"/>
      <c r="K835" s="24"/>
      <c r="L835" s="24"/>
      <c r="M835" s="24"/>
      <c r="N835" s="25"/>
    </row>
    <row r="836" spans="2:14" x14ac:dyDescent="0.25">
      <c r="B836" s="24"/>
      <c r="C836" s="24"/>
      <c r="D836" s="24"/>
      <c r="E836" s="25"/>
      <c r="F836" s="29"/>
      <c r="G836" s="26"/>
      <c r="H836" s="26"/>
      <c r="I836" s="24"/>
      <c r="J836" s="24"/>
      <c r="K836" s="24"/>
      <c r="L836" s="24"/>
      <c r="M836" s="24"/>
      <c r="N836" s="25"/>
    </row>
    <row r="837" spans="2:14" x14ac:dyDescent="0.25">
      <c r="B837" s="24"/>
      <c r="C837" s="24"/>
      <c r="D837" s="24"/>
      <c r="E837" s="25"/>
      <c r="F837" s="29"/>
      <c r="G837" s="26"/>
      <c r="H837" s="26"/>
      <c r="I837" s="24"/>
      <c r="J837" s="24"/>
      <c r="K837" s="24"/>
      <c r="L837" s="24"/>
      <c r="M837" s="24"/>
      <c r="N837" s="25"/>
    </row>
    <row r="838" spans="2:14" x14ac:dyDescent="0.25">
      <c r="B838" s="24"/>
      <c r="C838" s="24"/>
      <c r="D838" s="24"/>
      <c r="E838" s="25"/>
      <c r="F838" s="29"/>
      <c r="G838" s="26"/>
      <c r="H838" s="26"/>
      <c r="I838" s="24"/>
      <c r="J838" s="24"/>
      <c r="K838" s="24"/>
      <c r="L838" s="24"/>
      <c r="M838" s="24"/>
      <c r="N838" s="25"/>
    </row>
    <row r="839" spans="2:14" x14ac:dyDescent="0.25">
      <c r="B839" s="24"/>
      <c r="C839" s="24"/>
      <c r="D839" s="24"/>
      <c r="E839" s="25"/>
      <c r="F839" s="29"/>
      <c r="G839" s="26"/>
      <c r="H839" s="26"/>
      <c r="I839" s="24"/>
      <c r="J839" s="24"/>
      <c r="K839" s="24"/>
      <c r="L839" s="24"/>
      <c r="M839" s="24"/>
      <c r="N839" s="25"/>
    </row>
    <row r="840" spans="2:14" x14ac:dyDescent="0.25">
      <c r="B840" s="24"/>
      <c r="C840" s="24"/>
      <c r="D840" s="24"/>
      <c r="E840" s="25"/>
      <c r="F840" s="29"/>
      <c r="G840" s="26"/>
      <c r="H840" s="26"/>
      <c r="I840" s="24"/>
      <c r="J840" s="24"/>
      <c r="K840" s="24"/>
      <c r="L840" s="24"/>
      <c r="M840" s="24"/>
      <c r="N840" s="25"/>
    </row>
    <row r="841" spans="2:14" x14ac:dyDescent="0.25">
      <c r="B841" s="24"/>
      <c r="C841" s="24"/>
      <c r="D841" s="24"/>
      <c r="E841" s="25"/>
      <c r="F841" s="29"/>
      <c r="G841" s="26"/>
      <c r="H841" s="26"/>
      <c r="I841" s="24"/>
      <c r="J841" s="24"/>
      <c r="K841" s="24"/>
      <c r="L841" s="24"/>
      <c r="M841" s="24"/>
      <c r="N841" s="25"/>
    </row>
    <row r="842" spans="2:14" x14ac:dyDescent="0.25">
      <c r="B842" s="24"/>
      <c r="C842" s="24"/>
      <c r="D842" s="24"/>
      <c r="E842" s="25"/>
      <c r="F842" s="29"/>
      <c r="G842" s="26"/>
      <c r="H842" s="26"/>
      <c r="I842" s="24"/>
      <c r="J842" s="24"/>
      <c r="K842" s="24"/>
      <c r="L842" s="24"/>
      <c r="M842" s="24"/>
      <c r="N842" s="25"/>
    </row>
    <row r="843" spans="2:14" x14ac:dyDescent="0.25">
      <c r="B843" s="24"/>
      <c r="C843" s="24"/>
      <c r="D843" s="24"/>
      <c r="E843" s="25"/>
      <c r="F843" s="29"/>
      <c r="G843" s="26"/>
      <c r="H843" s="26"/>
      <c r="I843" s="24"/>
      <c r="J843" s="24"/>
      <c r="K843" s="24"/>
      <c r="L843" s="24"/>
      <c r="M843" s="24"/>
      <c r="N843" s="25"/>
    </row>
    <row r="844" spans="2:14" x14ac:dyDescent="0.25">
      <c r="B844" s="24"/>
      <c r="C844" s="24"/>
      <c r="D844" s="24"/>
      <c r="E844" s="25"/>
      <c r="F844" s="29"/>
      <c r="G844" s="26"/>
      <c r="H844" s="26"/>
      <c r="I844" s="24"/>
      <c r="J844" s="24"/>
      <c r="K844" s="24"/>
      <c r="L844" s="24"/>
      <c r="M844" s="24"/>
      <c r="N844" s="25"/>
    </row>
    <row r="845" spans="2:14" x14ac:dyDescent="0.25">
      <c r="B845" s="24"/>
      <c r="C845" s="24"/>
      <c r="D845" s="24"/>
      <c r="E845" s="25"/>
      <c r="F845" s="29"/>
      <c r="G845" s="26"/>
      <c r="H845" s="26"/>
      <c r="I845" s="24"/>
      <c r="J845" s="24"/>
      <c r="K845" s="24"/>
      <c r="L845" s="24"/>
      <c r="M845" s="24"/>
      <c r="N845" s="25"/>
    </row>
    <row r="846" spans="2:14" x14ac:dyDescent="0.25">
      <c r="B846" s="24"/>
      <c r="C846" s="24"/>
      <c r="D846" s="24"/>
      <c r="E846" s="25"/>
      <c r="F846" s="29"/>
      <c r="G846" s="26"/>
      <c r="H846" s="26"/>
      <c r="I846" s="24"/>
      <c r="J846" s="24"/>
      <c r="K846" s="24"/>
      <c r="L846" s="24"/>
      <c r="M846" s="24"/>
      <c r="N846" s="25"/>
    </row>
    <row r="847" spans="2:14" x14ac:dyDescent="0.25">
      <c r="B847" s="24"/>
      <c r="C847" s="24"/>
      <c r="D847" s="24"/>
      <c r="E847" s="25"/>
      <c r="F847" s="29"/>
      <c r="G847" s="26"/>
      <c r="H847" s="26"/>
      <c r="I847" s="24"/>
      <c r="J847" s="24"/>
      <c r="K847" s="24"/>
      <c r="L847" s="24"/>
      <c r="M847" s="24"/>
      <c r="N847" s="25"/>
    </row>
    <row r="848" spans="2:14" x14ac:dyDescent="0.25">
      <c r="B848" s="24"/>
      <c r="C848" s="24"/>
      <c r="D848" s="24"/>
      <c r="E848" s="25"/>
      <c r="F848" s="29"/>
      <c r="G848" s="26"/>
      <c r="H848" s="26"/>
      <c r="I848" s="24"/>
      <c r="J848" s="24"/>
      <c r="K848" s="24"/>
      <c r="L848" s="24"/>
      <c r="M848" s="24"/>
      <c r="N848" s="25"/>
    </row>
    <row r="849" spans="2:14" x14ac:dyDescent="0.25">
      <c r="B849" s="24"/>
      <c r="C849" s="24"/>
      <c r="D849" s="24"/>
      <c r="E849" s="25"/>
      <c r="F849" s="29"/>
      <c r="G849" s="26"/>
      <c r="H849" s="26"/>
      <c r="I849" s="24"/>
      <c r="J849" s="24"/>
      <c r="K849" s="24"/>
      <c r="L849" s="24"/>
      <c r="M849" s="24"/>
      <c r="N849" s="25"/>
    </row>
    <row r="850" spans="2:14" x14ac:dyDescent="0.25">
      <c r="B850" s="24"/>
      <c r="C850" s="24"/>
      <c r="D850" s="24"/>
      <c r="E850" s="25"/>
      <c r="F850" s="29"/>
      <c r="G850" s="26"/>
      <c r="H850" s="26"/>
      <c r="I850" s="24"/>
      <c r="J850" s="24"/>
      <c r="K850" s="24"/>
      <c r="L850" s="24"/>
      <c r="M850" s="24"/>
      <c r="N850" s="25"/>
    </row>
    <row r="851" spans="2:14" x14ac:dyDescent="0.25">
      <c r="B851" s="24"/>
      <c r="C851" s="24"/>
      <c r="D851" s="24"/>
      <c r="E851" s="25"/>
      <c r="F851" s="29"/>
      <c r="G851" s="26"/>
      <c r="H851" s="26"/>
      <c r="I851" s="24"/>
      <c r="J851" s="24"/>
      <c r="K851" s="24"/>
      <c r="L851" s="24"/>
      <c r="M851" s="24"/>
      <c r="N851" s="25"/>
    </row>
    <row r="852" spans="2:14" x14ac:dyDescent="0.25">
      <c r="B852" s="24"/>
      <c r="C852" s="24"/>
      <c r="D852" s="24"/>
      <c r="E852" s="25"/>
      <c r="F852" s="29"/>
      <c r="G852" s="26"/>
      <c r="H852" s="26"/>
      <c r="I852" s="24"/>
      <c r="J852" s="24"/>
      <c r="K852" s="24"/>
      <c r="L852" s="24"/>
      <c r="M852" s="24"/>
      <c r="N852" s="25"/>
    </row>
    <row r="853" spans="2:14" x14ac:dyDescent="0.25">
      <c r="B853" s="24"/>
      <c r="C853" s="24"/>
      <c r="D853" s="24"/>
      <c r="E853" s="25"/>
      <c r="F853" s="29"/>
      <c r="G853" s="26"/>
      <c r="H853" s="26"/>
      <c r="I853" s="24"/>
      <c r="J853" s="24"/>
      <c r="K853" s="24"/>
      <c r="L853" s="24"/>
      <c r="M853" s="24"/>
      <c r="N853" s="25"/>
    </row>
    <row r="854" spans="2:14" x14ac:dyDescent="0.25">
      <c r="B854" s="24"/>
      <c r="C854" s="24"/>
      <c r="D854" s="24"/>
      <c r="E854" s="25"/>
      <c r="F854" s="29"/>
      <c r="G854" s="26"/>
      <c r="H854" s="26"/>
      <c r="I854" s="24"/>
      <c r="J854" s="24"/>
      <c r="K854" s="24"/>
      <c r="L854" s="24"/>
      <c r="M854" s="24"/>
      <c r="N854" s="25"/>
    </row>
    <row r="855" spans="2:14" x14ac:dyDescent="0.25">
      <c r="B855" s="24"/>
      <c r="C855" s="24"/>
      <c r="D855" s="24"/>
      <c r="E855" s="25"/>
      <c r="F855" s="29"/>
      <c r="G855" s="26"/>
      <c r="H855" s="26"/>
      <c r="I855" s="24"/>
      <c r="J855" s="24"/>
      <c r="K855" s="24"/>
      <c r="L855" s="24"/>
      <c r="M855" s="24"/>
      <c r="N855" s="25"/>
    </row>
    <row r="856" spans="2:14" x14ac:dyDescent="0.25">
      <c r="B856" s="24"/>
      <c r="C856" s="24"/>
      <c r="D856" s="24"/>
      <c r="E856" s="25"/>
      <c r="F856" s="29"/>
      <c r="G856" s="26"/>
      <c r="H856" s="26"/>
      <c r="I856" s="24"/>
      <c r="J856" s="24"/>
      <c r="K856" s="24"/>
      <c r="L856" s="24"/>
      <c r="M856" s="24"/>
      <c r="N856" s="25"/>
    </row>
    <row r="857" spans="2:14" x14ac:dyDescent="0.25">
      <c r="B857" s="24"/>
      <c r="C857" s="24"/>
      <c r="D857" s="24"/>
      <c r="E857" s="25"/>
      <c r="F857" s="29"/>
      <c r="G857" s="26"/>
      <c r="H857" s="26"/>
      <c r="I857" s="24"/>
      <c r="J857" s="24"/>
      <c r="K857" s="24"/>
      <c r="L857" s="24"/>
      <c r="M857" s="24"/>
      <c r="N857" s="25"/>
    </row>
    <row r="858" spans="2:14" x14ac:dyDescent="0.25">
      <c r="B858" s="24"/>
      <c r="C858" s="24"/>
      <c r="D858" s="24"/>
      <c r="E858" s="25"/>
      <c r="F858" s="29"/>
      <c r="G858" s="26"/>
      <c r="H858" s="26"/>
      <c r="I858" s="24"/>
      <c r="J858" s="24"/>
      <c r="K858" s="24"/>
      <c r="L858" s="24"/>
      <c r="M858" s="24"/>
      <c r="N858" s="25"/>
    </row>
    <row r="859" spans="2:14" x14ac:dyDescent="0.25">
      <c r="B859" s="24"/>
      <c r="C859" s="24"/>
      <c r="D859" s="24"/>
      <c r="E859" s="25"/>
      <c r="F859" s="29"/>
      <c r="G859" s="26"/>
      <c r="H859" s="26"/>
      <c r="I859" s="24"/>
      <c r="J859" s="24"/>
      <c r="K859" s="24"/>
      <c r="L859" s="24"/>
      <c r="M859" s="24"/>
      <c r="N859" s="25"/>
    </row>
    <row r="860" spans="2:14" x14ac:dyDescent="0.25">
      <c r="B860" s="24"/>
      <c r="C860" s="24"/>
      <c r="D860" s="24"/>
      <c r="E860" s="25"/>
      <c r="F860" s="29"/>
      <c r="G860" s="26"/>
      <c r="H860" s="26"/>
      <c r="I860" s="24"/>
      <c r="J860" s="24"/>
      <c r="K860" s="24"/>
      <c r="L860" s="24"/>
      <c r="M860" s="24"/>
      <c r="N860" s="25"/>
    </row>
    <row r="861" spans="2:14" x14ac:dyDescent="0.25">
      <c r="B861" s="24"/>
      <c r="C861" s="24"/>
      <c r="D861" s="24"/>
      <c r="E861" s="25"/>
      <c r="F861" s="29"/>
      <c r="G861" s="26"/>
      <c r="H861" s="26"/>
      <c r="I861" s="24"/>
      <c r="J861" s="24"/>
      <c r="K861" s="24"/>
      <c r="L861" s="24"/>
      <c r="M861" s="24"/>
      <c r="N861" s="25"/>
    </row>
    <row r="862" spans="2:14" x14ac:dyDescent="0.25">
      <c r="B862" s="24"/>
      <c r="C862" s="24"/>
      <c r="D862" s="24"/>
      <c r="E862" s="25"/>
      <c r="F862" s="29"/>
      <c r="G862" s="26"/>
      <c r="H862" s="26"/>
      <c r="I862" s="24"/>
      <c r="J862" s="24"/>
      <c r="K862" s="24"/>
      <c r="L862" s="24"/>
      <c r="M862" s="24"/>
      <c r="N862" s="25"/>
    </row>
    <row r="863" spans="2:14" x14ac:dyDescent="0.25">
      <c r="B863" s="24"/>
      <c r="C863" s="24"/>
      <c r="D863" s="24"/>
      <c r="E863" s="25"/>
      <c r="F863" s="29"/>
      <c r="G863" s="26"/>
      <c r="H863" s="26"/>
      <c r="I863" s="24"/>
      <c r="J863" s="24"/>
      <c r="K863" s="24"/>
      <c r="L863" s="24"/>
      <c r="M863" s="24"/>
      <c r="N863" s="25"/>
    </row>
    <row r="864" spans="2:14" x14ac:dyDescent="0.25">
      <c r="B864" s="24"/>
      <c r="C864" s="24"/>
      <c r="D864" s="24"/>
      <c r="E864" s="25"/>
      <c r="F864" s="29"/>
      <c r="G864" s="26"/>
      <c r="H864" s="26"/>
      <c r="I864" s="24"/>
      <c r="J864" s="24"/>
      <c r="K864" s="24"/>
      <c r="L864" s="24"/>
      <c r="M864" s="24"/>
      <c r="N864" s="25"/>
    </row>
    <row r="865" spans="2:14" x14ac:dyDescent="0.25">
      <c r="B865" s="24"/>
      <c r="C865" s="24"/>
      <c r="D865" s="24"/>
      <c r="E865" s="25"/>
      <c r="F865" s="29"/>
      <c r="G865" s="26"/>
      <c r="H865" s="26"/>
      <c r="I865" s="24"/>
      <c r="J865" s="24"/>
      <c r="K865" s="24"/>
      <c r="L865" s="24"/>
      <c r="M865" s="24"/>
      <c r="N865" s="25"/>
    </row>
    <row r="866" spans="2:14" x14ac:dyDescent="0.25">
      <c r="B866" s="24"/>
      <c r="C866" s="24"/>
      <c r="D866" s="24"/>
      <c r="E866" s="25"/>
      <c r="F866" s="29"/>
      <c r="G866" s="26"/>
      <c r="H866" s="26"/>
      <c r="I866" s="24"/>
      <c r="J866" s="24"/>
      <c r="K866" s="24"/>
      <c r="L866" s="24"/>
      <c r="M866" s="24"/>
      <c r="N866" s="25"/>
    </row>
    <row r="867" spans="2:14" x14ac:dyDescent="0.25">
      <c r="B867" s="24"/>
      <c r="C867" s="24"/>
      <c r="D867" s="24"/>
      <c r="E867" s="25"/>
      <c r="F867" s="29"/>
      <c r="G867" s="26"/>
      <c r="H867" s="26"/>
      <c r="I867" s="24"/>
      <c r="J867" s="24"/>
      <c r="K867" s="24"/>
      <c r="L867" s="24"/>
      <c r="M867" s="24"/>
      <c r="N867" s="25"/>
    </row>
    <row r="868" spans="2:14" x14ac:dyDescent="0.25">
      <c r="B868" s="24"/>
      <c r="C868" s="24"/>
      <c r="D868" s="24"/>
      <c r="E868" s="25"/>
      <c r="F868" s="29"/>
      <c r="G868" s="26"/>
      <c r="H868" s="26"/>
      <c r="I868" s="24"/>
      <c r="J868" s="24"/>
      <c r="K868" s="24"/>
      <c r="L868" s="24"/>
      <c r="M868" s="24"/>
      <c r="N868" s="25"/>
    </row>
    <row r="869" spans="2:14" x14ac:dyDescent="0.25">
      <c r="B869" s="24"/>
      <c r="C869" s="24"/>
      <c r="D869" s="24"/>
      <c r="E869" s="25"/>
      <c r="F869" s="29"/>
      <c r="G869" s="26"/>
      <c r="H869" s="26"/>
      <c r="I869" s="24"/>
      <c r="J869" s="24"/>
      <c r="K869" s="24"/>
      <c r="L869" s="24"/>
      <c r="M869" s="24"/>
      <c r="N869" s="25"/>
    </row>
    <row r="870" spans="2:14" x14ac:dyDescent="0.25">
      <c r="B870" s="24"/>
      <c r="C870" s="24"/>
      <c r="D870" s="24"/>
      <c r="E870" s="25"/>
      <c r="F870" s="29"/>
      <c r="G870" s="26"/>
      <c r="H870" s="26"/>
      <c r="I870" s="24"/>
      <c r="J870" s="24"/>
      <c r="K870" s="24"/>
      <c r="L870" s="24"/>
      <c r="M870" s="24"/>
      <c r="N870" s="25"/>
    </row>
    <row r="871" spans="2:14" x14ac:dyDescent="0.25">
      <c r="B871" s="24"/>
      <c r="C871" s="24"/>
      <c r="D871" s="24"/>
      <c r="E871" s="25"/>
      <c r="F871" s="29"/>
      <c r="G871" s="26"/>
      <c r="H871" s="26"/>
      <c r="I871" s="24"/>
      <c r="J871" s="24"/>
      <c r="K871" s="24"/>
      <c r="L871" s="24"/>
      <c r="M871" s="24"/>
      <c r="N871" s="25"/>
    </row>
    <row r="872" spans="2:14" x14ac:dyDescent="0.25">
      <c r="B872" s="24"/>
      <c r="C872" s="24"/>
      <c r="D872" s="24"/>
      <c r="E872" s="25"/>
      <c r="F872" s="29"/>
      <c r="G872" s="26"/>
      <c r="H872" s="26"/>
      <c r="I872" s="24"/>
      <c r="J872" s="24"/>
      <c r="K872" s="24"/>
      <c r="L872" s="24"/>
      <c r="M872" s="24"/>
      <c r="N872" s="25"/>
    </row>
    <row r="873" spans="2:14" x14ac:dyDescent="0.25">
      <c r="B873" s="24"/>
      <c r="C873" s="24"/>
      <c r="D873" s="24"/>
      <c r="E873" s="25"/>
      <c r="F873" s="29"/>
      <c r="G873" s="26"/>
      <c r="H873" s="26"/>
      <c r="I873" s="24"/>
      <c r="J873" s="24"/>
      <c r="K873" s="24"/>
      <c r="L873" s="24"/>
      <c r="M873" s="24"/>
      <c r="N873" s="25"/>
    </row>
    <row r="874" spans="2:14" x14ac:dyDescent="0.25">
      <c r="B874" s="24"/>
      <c r="C874" s="24"/>
      <c r="D874" s="24"/>
      <c r="E874" s="25"/>
      <c r="F874" s="29"/>
      <c r="G874" s="26"/>
      <c r="H874" s="26"/>
      <c r="I874" s="24"/>
      <c r="J874" s="24"/>
      <c r="K874" s="24"/>
      <c r="L874" s="24"/>
      <c r="M874" s="24"/>
      <c r="N874" s="25"/>
    </row>
    <row r="875" spans="2:14" x14ac:dyDescent="0.25">
      <c r="B875" s="24"/>
      <c r="C875" s="24"/>
      <c r="D875" s="24"/>
      <c r="E875" s="25"/>
      <c r="F875" s="29"/>
      <c r="G875" s="26"/>
      <c r="H875" s="26"/>
      <c r="I875" s="24"/>
      <c r="J875" s="24"/>
      <c r="K875" s="24"/>
      <c r="L875" s="24"/>
      <c r="M875" s="24"/>
      <c r="N875" s="25"/>
    </row>
    <row r="876" spans="2:14" x14ac:dyDescent="0.25">
      <c r="B876" s="24"/>
      <c r="C876" s="24"/>
      <c r="D876" s="24"/>
      <c r="E876" s="25"/>
      <c r="F876" s="29"/>
      <c r="G876" s="26"/>
      <c r="H876" s="26"/>
      <c r="I876" s="24"/>
      <c r="J876" s="24"/>
      <c r="K876" s="24"/>
      <c r="L876" s="24"/>
      <c r="M876" s="24"/>
      <c r="N876" s="25"/>
    </row>
    <row r="877" spans="2:14" x14ac:dyDescent="0.25">
      <c r="B877" s="24"/>
      <c r="C877" s="24"/>
      <c r="D877" s="24"/>
      <c r="E877" s="25"/>
      <c r="F877" s="29"/>
      <c r="G877" s="26"/>
      <c r="H877" s="26"/>
      <c r="I877" s="24"/>
      <c r="J877" s="24"/>
      <c r="K877" s="24"/>
      <c r="L877" s="24"/>
      <c r="M877" s="24"/>
      <c r="N877" s="25"/>
    </row>
    <row r="878" spans="2:14" x14ac:dyDescent="0.25">
      <c r="B878" s="24"/>
      <c r="C878" s="24"/>
      <c r="D878" s="24"/>
      <c r="E878" s="25"/>
      <c r="F878" s="29"/>
      <c r="G878" s="26"/>
      <c r="H878" s="26"/>
      <c r="I878" s="24"/>
      <c r="J878" s="24"/>
      <c r="K878" s="24"/>
      <c r="L878" s="24"/>
      <c r="M878" s="24"/>
      <c r="N878" s="25"/>
    </row>
    <row r="879" spans="2:14" x14ac:dyDescent="0.25">
      <c r="B879" s="24"/>
      <c r="C879" s="24"/>
      <c r="D879" s="24"/>
      <c r="E879" s="25"/>
      <c r="F879" s="29"/>
      <c r="G879" s="26"/>
      <c r="H879" s="26"/>
      <c r="I879" s="24"/>
      <c r="J879" s="24"/>
      <c r="K879" s="24"/>
      <c r="L879" s="24"/>
      <c r="M879" s="24"/>
      <c r="N879" s="25"/>
    </row>
    <row r="880" spans="2:14" x14ac:dyDescent="0.25">
      <c r="B880" s="24"/>
      <c r="C880" s="24"/>
      <c r="D880" s="24"/>
      <c r="E880" s="25"/>
      <c r="F880" s="29"/>
      <c r="G880" s="26"/>
      <c r="H880" s="26"/>
      <c r="I880" s="24"/>
      <c r="J880" s="24"/>
      <c r="K880" s="24"/>
      <c r="L880" s="24"/>
      <c r="M880" s="24"/>
      <c r="N880" s="25"/>
    </row>
    <row r="881" spans="2:14" x14ac:dyDescent="0.25">
      <c r="B881" s="24"/>
      <c r="C881" s="24"/>
      <c r="D881" s="24"/>
      <c r="E881" s="25"/>
      <c r="F881" s="29"/>
      <c r="G881" s="26"/>
      <c r="H881" s="26"/>
      <c r="I881" s="24"/>
      <c r="J881" s="24"/>
      <c r="K881" s="24"/>
      <c r="L881" s="24"/>
      <c r="M881" s="24"/>
      <c r="N881" s="25"/>
    </row>
    <row r="882" spans="2:14" x14ac:dyDescent="0.25">
      <c r="B882" s="24"/>
      <c r="C882" s="24"/>
      <c r="D882" s="24"/>
      <c r="E882" s="25"/>
      <c r="F882" s="29"/>
      <c r="G882" s="26"/>
      <c r="H882" s="26"/>
      <c r="I882" s="24"/>
      <c r="J882" s="24"/>
      <c r="K882" s="24"/>
      <c r="L882" s="24"/>
      <c r="M882" s="24"/>
      <c r="N882" s="25"/>
    </row>
    <row r="883" spans="2:14" x14ac:dyDescent="0.25">
      <c r="B883" s="24"/>
      <c r="C883" s="24"/>
      <c r="D883" s="24"/>
      <c r="E883" s="25"/>
      <c r="F883" s="29"/>
      <c r="G883" s="26"/>
      <c r="H883" s="26"/>
      <c r="I883" s="24"/>
      <c r="J883" s="24"/>
      <c r="K883" s="24"/>
      <c r="L883" s="24"/>
      <c r="M883" s="24"/>
      <c r="N883" s="25"/>
    </row>
    <row r="884" spans="2:14" x14ac:dyDescent="0.25">
      <c r="B884" s="24"/>
      <c r="C884" s="24"/>
      <c r="D884" s="24"/>
      <c r="E884" s="25"/>
      <c r="F884" s="29"/>
      <c r="G884" s="26"/>
      <c r="H884" s="26"/>
      <c r="I884" s="24"/>
      <c r="J884" s="24"/>
      <c r="K884" s="24"/>
      <c r="L884" s="24"/>
      <c r="M884" s="24"/>
      <c r="N884" s="25"/>
    </row>
    <row r="885" spans="2:14" x14ac:dyDescent="0.25">
      <c r="B885" s="24"/>
      <c r="C885" s="24"/>
      <c r="D885" s="24"/>
      <c r="E885" s="25"/>
      <c r="F885" s="29"/>
      <c r="G885" s="26"/>
      <c r="H885" s="26"/>
      <c r="I885" s="24"/>
      <c r="J885" s="24"/>
      <c r="K885" s="24"/>
      <c r="L885" s="24"/>
      <c r="M885" s="24"/>
      <c r="N885" s="25"/>
    </row>
    <row r="886" spans="2:14" x14ac:dyDescent="0.25">
      <c r="B886" s="24"/>
      <c r="C886" s="24"/>
      <c r="D886" s="24"/>
      <c r="E886" s="25"/>
      <c r="F886" s="29"/>
      <c r="G886" s="26"/>
      <c r="H886" s="26"/>
      <c r="I886" s="24"/>
      <c r="J886" s="24"/>
      <c r="K886" s="24"/>
      <c r="L886" s="24"/>
      <c r="M886" s="24"/>
      <c r="N886" s="25"/>
    </row>
    <row r="887" spans="2:14" x14ac:dyDescent="0.25">
      <c r="B887" s="24"/>
      <c r="C887" s="24"/>
      <c r="D887" s="24"/>
      <c r="E887" s="25"/>
      <c r="F887" s="29"/>
      <c r="G887" s="26"/>
      <c r="H887" s="26"/>
      <c r="I887" s="24"/>
      <c r="J887" s="24"/>
      <c r="K887" s="24"/>
      <c r="L887" s="24"/>
      <c r="M887" s="24"/>
      <c r="N887" s="25"/>
    </row>
    <row r="888" spans="2:14" x14ac:dyDescent="0.25">
      <c r="B888" s="24"/>
      <c r="C888" s="24"/>
      <c r="D888" s="24"/>
      <c r="E888" s="25"/>
      <c r="F888" s="29"/>
      <c r="G888" s="26"/>
      <c r="H888" s="26"/>
      <c r="I888" s="24"/>
      <c r="J888" s="24"/>
      <c r="K888" s="24"/>
      <c r="L888" s="24"/>
      <c r="M888" s="24"/>
      <c r="N888" s="25"/>
    </row>
    <row r="889" spans="2:14" x14ac:dyDescent="0.25">
      <c r="B889" s="24"/>
      <c r="C889" s="24"/>
      <c r="D889" s="24"/>
      <c r="E889" s="25"/>
      <c r="F889" s="29"/>
      <c r="G889" s="26"/>
      <c r="H889" s="26"/>
      <c r="I889" s="24"/>
      <c r="J889" s="24"/>
      <c r="K889" s="24"/>
      <c r="L889" s="24"/>
      <c r="M889" s="24"/>
      <c r="N889" s="25"/>
    </row>
    <row r="890" spans="2:14" x14ac:dyDescent="0.25">
      <c r="B890" s="24"/>
      <c r="C890" s="24"/>
      <c r="D890" s="24"/>
      <c r="E890" s="25"/>
      <c r="F890" s="29"/>
      <c r="G890" s="26"/>
      <c r="H890" s="26"/>
      <c r="I890" s="24"/>
      <c r="J890" s="24"/>
      <c r="K890" s="24"/>
      <c r="L890" s="24"/>
      <c r="M890" s="24"/>
      <c r="N890" s="25"/>
    </row>
    <row r="891" spans="2:14" x14ac:dyDescent="0.25">
      <c r="B891" s="24"/>
      <c r="C891" s="24"/>
      <c r="D891" s="24"/>
      <c r="E891" s="25"/>
      <c r="F891" s="29"/>
      <c r="G891" s="26"/>
      <c r="H891" s="26"/>
      <c r="I891" s="24"/>
      <c r="J891" s="24"/>
      <c r="K891" s="24"/>
      <c r="L891" s="24"/>
      <c r="M891" s="24"/>
      <c r="N891" s="25"/>
    </row>
    <row r="892" spans="2:14" x14ac:dyDescent="0.25">
      <c r="B892" s="24"/>
      <c r="C892" s="24"/>
      <c r="D892" s="24"/>
      <c r="E892" s="25"/>
      <c r="F892" s="29"/>
      <c r="G892" s="26"/>
      <c r="H892" s="26"/>
      <c r="I892" s="24"/>
      <c r="J892" s="24"/>
      <c r="K892" s="24"/>
      <c r="L892" s="24"/>
      <c r="M892" s="24"/>
      <c r="N892" s="25"/>
    </row>
    <row r="893" spans="2:14" x14ac:dyDescent="0.25">
      <c r="B893" s="24"/>
      <c r="C893" s="24"/>
      <c r="D893" s="24"/>
      <c r="E893" s="25"/>
      <c r="F893" s="29"/>
      <c r="G893" s="26"/>
      <c r="H893" s="26"/>
      <c r="I893" s="24"/>
      <c r="J893" s="24"/>
      <c r="K893" s="24"/>
      <c r="L893" s="24"/>
      <c r="M893" s="24"/>
      <c r="N893" s="25"/>
    </row>
    <row r="894" spans="2:14" x14ac:dyDescent="0.25">
      <c r="B894" s="24"/>
      <c r="C894" s="24"/>
      <c r="D894" s="24"/>
      <c r="E894" s="25"/>
      <c r="F894" s="29"/>
      <c r="G894" s="26"/>
      <c r="H894" s="26"/>
      <c r="I894" s="24"/>
      <c r="J894" s="24"/>
      <c r="K894" s="24"/>
      <c r="L894" s="24"/>
      <c r="M894" s="24"/>
      <c r="N894" s="25"/>
    </row>
    <row r="895" spans="2:14" x14ac:dyDescent="0.25">
      <c r="B895" s="24"/>
      <c r="C895" s="24"/>
      <c r="D895" s="24"/>
      <c r="E895" s="25"/>
      <c r="F895" s="29"/>
      <c r="G895" s="26"/>
      <c r="H895" s="26"/>
      <c r="I895" s="24"/>
      <c r="J895" s="24"/>
      <c r="K895" s="24"/>
      <c r="L895" s="24"/>
      <c r="M895" s="24"/>
      <c r="N895" s="25"/>
    </row>
    <row r="896" spans="2:14" x14ac:dyDescent="0.25">
      <c r="B896" s="24"/>
      <c r="C896" s="24"/>
      <c r="D896" s="24"/>
      <c r="E896" s="25"/>
      <c r="F896" s="29"/>
      <c r="G896" s="26"/>
      <c r="H896" s="26"/>
      <c r="I896" s="24"/>
      <c r="J896" s="24"/>
      <c r="K896" s="24"/>
      <c r="L896" s="24"/>
      <c r="M896" s="24"/>
      <c r="N896" s="25"/>
    </row>
    <row r="897" spans="2:14" x14ac:dyDescent="0.25">
      <c r="B897" s="24"/>
      <c r="C897" s="24"/>
      <c r="D897" s="24"/>
      <c r="E897" s="25"/>
      <c r="F897" s="29"/>
      <c r="G897" s="26"/>
      <c r="H897" s="26"/>
      <c r="I897" s="24"/>
      <c r="J897" s="24"/>
      <c r="K897" s="24"/>
      <c r="L897" s="24"/>
      <c r="M897" s="24"/>
      <c r="N897" s="25"/>
    </row>
    <row r="898" spans="2:14" x14ac:dyDescent="0.25">
      <c r="B898" s="24"/>
      <c r="C898" s="24"/>
      <c r="D898" s="24"/>
      <c r="E898" s="25"/>
      <c r="F898" s="29"/>
      <c r="G898" s="26"/>
      <c r="H898" s="26"/>
      <c r="I898" s="24"/>
      <c r="J898" s="24"/>
      <c r="K898" s="24"/>
      <c r="L898" s="24"/>
      <c r="M898" s="24"/>
      <c r="N898" s="25"/>
    </row>
    <row r="899" spans="2:14" x14ac:dyDescent="0.25">
      <c r="B899" s="24"/>
      <c r="C899" s="24"/>
      <c r="D899" s="24"/>
      <c r="E899" s="25"/>
      <c r="F899" s="29"/>
      <c r="G899" s="26"/>
      <c r="H899" s="26"/>
      <c r="I899" s="24"/>
      <c r="J899" s="24"/>
      <c r="K899" s="24"/>
      <c r="L899" s="24"/>
      <c r="M899" s="24"/>
      <c r="N899" s="25"/>
    </row>
    <row r="900" spans="2:14" x14ac:dyDescent="0.25">
      <c r="B900" s="24"/>
      <c r="C900" s="24"/>
      <c r="D900" s="24"/>
      <c r="E900" s="25"/>
      <c r="F900" s="29"/>
      <c r="G900" s="26"/>
      <c r="H900" s="26"/>
      <c r="I900" s="24"/>
      <c r="J900" s="24"/>
      <c r="K900" s="24"/>
      <c r="L900" s="24"/>
      <c r="M900" s="24"/>
      <c r="N900" s="25"/>
    </row>
    <row r="901" spans="2:14" x14ac:dyDescent="0.25">
      <c r="B901" s="24"/>
      <c r="C901" s="24"/>
      <c r="D901" s="24"/>
      <c r="E901" s="25"/>
      <c r="F901" s="29"/>
      <c r="G901" s="26"/>
      <c r="H901" s="26"/>
      <c r="I901" s="24"/>
      <c r="J901" s="24"/>
      <c r="K901" s="24"/>
      <c r="L901" s="24"/>
      <c r="M901" s="24"/>
      <c r="N901" s="25"/>
    </row>
    <row r="902" spans="2:14" x14ac:dyDescent="0.25">
      <c r="B902" s="24"/>
      <c r="C902" s="24"/>
      <c r="D902" s="24"/>
      <c r="E902" s="25"/>
      <c r="F902" s="29"/>
      <c r="G902" s="26"/>
      <c r="H902" s="26"/>
      <c r="I902" s="24"/>
      <c r="J902" s="24"/>
      <c r="K902" s="24"/>
      <c r="L902" s="24"/>
      <c r="M902" s="24"/>
      <c r="N902" s="25"/>
    </row>
    <row r="903" spans="2:14" x14ac:dyDescent="0.25">
      <c r="B903" s="24"/>
      <c r="C903" s="24"/>
      <c r="D903" s="24"/>
      <c r="E903" s="25"/>
      <c r="F903" s="29"/>
      <c r="G903" s="26"/>
      <c r="H903" s="26"/>
      <c r="I903" s="24"/>
      <c r="J903" s="24"/>
      <c r="K903" s="24"/>
      <c r="L903" s="24"/>
      <c r="M903" s="24"/>
      <c r="N903" s="25"/>
    </row>
    <row r="904" spans="2:14" x14ac:dyDescent="0.25">
      <c r="B904" s="24"/>
      <c r="C904" s="24"/>
      <c r="D904" s="24"/>
      <c r="E904" s="25"/>
      <c r="F904" s="29"/>
      <c r="G904" s="26"/>
      <c r="H904" s="26"/>
      <c r="I904" s="24"/>
      <c r="J904" s="24"/>
      <c r="K904" s="24"/>
      <c r="L904" s="24"/>
      <c r="M904" s="24"/>
      <c r="N904" s="25"/>
    </row>
    <row r="905" spans="2:14" x14ac:dyDescent="0.25">
      <c r="B905" s="24"/>
      <c r="C905" s="24"/>
      <c r="D905" s="24"/>
      <c r="E905" s="25"/>
      <c r="F905" s="29"/>
      <c r="G905" s="26"/>
      <c r="H905" s="26"/>
      <c r="I905" s="24"/>
      <c r="J905" s="24"/>
      <c r="K905" s="24"/>
      <c r="L905" s="24"/>
      <c r="M905" s="24"/>
      <c r="N905" s="25"/>
    </row>
    <row r="906" spans="2:14" x14ac:dyDescent="0.25">
      <c r="B906" s="24"/>
      <c r="C906" s="24"/>
      <c r="D906" s="24"/>
      <c r="E906" s="25"/>
      <c r="F906" s="29"/>
      <c r="G906" s="26"/>
      <c r="H906" s="26"/>
      <c r="I906" s="24"/>
      <c r="J906" s="24"/>
      <c r="K906" s="24"/>
      <c r="L906" s="24"/>
      <c r="M906" s="24"/>
      <c r="N906" s="25"/>
    </row>
    <row r="907" spans="2:14" x14ac:dyDescent="0.25">
      <c r="B907" s="24"/>
      <c r="C907" s="24"/>
      <c r="D907" s="24"/>
      <c r="E907" s="25"/>
      <c r="F907" s="29"/>
      <c r="G907" s="26"/>
      <c r="H907" s="26"/>
      <c r="I907" s="24"/>
      <c r="J907" s="24"/>
      <c r="K907" s="24"/>
      <c r="L907" s="24"/>
      <c r="M907" s="24"/>
      <c r="N907" s="25"/>
    </row>
    <row r="908" spans="2:14" x14ac:dyDescent="0.25">
      <c r="B908" s="24"/>
      <c r="C908" s="24"/>
      <c r="D908" s="24"/>
      <c r="E908" s="25"/>
      <c r="F908" s="29"/>
      <c r="G908" s="26"/>
      <c r="H908" s="26"/>
      <c r="I908" s="24"/>
      <c r="J908" s="24"/>
      <c r="K908" s="24"/>
      <c r="L908" s="24"/>
      <c r="M908" s="24"/>
      <c r="N908" s="25"/>
    </row>
    <row r="909" spans="2:14" x14ac:dyDescent="0.25">
      <c r="B909" s="24"/>
      <c r="C909" s="24"/>
      <c r="D909" s="24"/>
      <c r="E909" s="25"/>
      <c r="F909" s="29"/>
      <c r="G909" s="26"/>
      <c r="H909" s="26"/>
      <c r="I909" s="24"/>
      <c r="J909" s="24"/>
      <c r="K909" s="24"/>
      <c r="L909" s="24"/>
      <c r="M909" s="24"/>
      <c r="N909" s="25"/>
    </row>
    <row r="910" spans="2:14" x14ac:dyDescent="0.25">
      <c r="B910" s="24"/>
      <c r="C910" s="24"/>
      <c r="D910" s="24"/>
      <c r="E910" s="25"/>
      <c r="F910" s="29"/>
      <c r="G910" s="26"/>
      <c r="H910" s="26"/>
      <c r="I910" s="24"/>
      <c r="J910" s="24"/>
      <c r="K910" s="24"/>
      <c r="L910" s="24"/>
      <c r="M910" s="24"/>
      <c r="N910" s="25"/>
    </row>
    <row r="911" spans="2:14" x14ac:dyDescent="0.25">
      <c r="B911" s="24"/>
      <c r="C911" s="24"/>
      <c r="D911" s="28"/>
      <c r="E911" s="25"/>
      <c r="F911" s="29"/>
      <c r="G911" s="26"/>
      <c r="H911" s="26"/>
      <c r="I911" s="24"/>
      <c r="J911" s="24"/>
      <c r="K911" s="24"/>
      <c r="L911" s="24"/>
      <c r="M911" s="24"/>
      <c r="N911" s="25"/>
    </row>
    <row r="912" spans="2:14" x14ac:dyDescent="0.25">
      <c r="B912" s="24"/>
      <c r="C912" s="24"/>
      <c r="D912" s="24"/>
      <c r="E912" s="25"/>
      <c r="F912" s="29"/>
      <c r="G912" s="26"/>
      <c r="H912" s="26"/>
      <c r="I912" s="24"/>
      <c r="J912" s="24"/>
      <c r="K912" s="24"/>
      <c r="L912" s="24"/>
      <c r="M912" s="24"/>
      <c r="N912" s="25"/>
    </row>
    <row r="913" spans="2:14" x14ac:dyDescent="0.25">
      <c r="B913" s="24"/>
      <c r="C913" s="24"/>
      <c r="D913" s="24"/>
      <c r="E913" s="25"/>
      <c r="F913" s="29"/>
      <c r="G913" s="26"/>
      <c r="H913" s="26"/>
      <c r="I913" s="24"/>
      <c r="J913" s="24"/>
      <c r="K913" s="24"/>
      <c r="L913" s="24"/>
      <c r="M913" s="24"/>
      <c r="N913" s="25"/>
    </row>
    <row r="914" spans="2:14" x14ac:dyDescent="0.25">
      <c r="B914" s="24"/>
      <c r="C914" s="24"/>
      <c r="D914" s="24"/>
      <c r="E914" s="25"/>
      <c r="F914" s="29"/>
      <c r="G914" s="26"/>
      <c r="H914" s="26"/>
      <c r="I914" s="24"/>
      <c r="J914" s="24"/>
      <c r="K914" s="24"/>
      <c r="L914" s="24"/>
      <c r="M914" s="24"/>
      <c r="N914" s="25"/>
    </row>
    <row r="915" spans="2:14" x14ac:dyDescent="0.25">
      <c r="B915" s="24"/>
      <c r="C915" s="24"/>
      <c r="D915" s="24"/>
      <c r="E915" s="25"/>
      <c r="F915" s="29"/>
      <c r="G915" s="26"/>
      <c r="H915" s="26"/>
      <c r="I915" s="24"/>
      <c r="J915" s="24"/>
      <c r="K915" s="24"/>
      <c r="L915" s="24"/>
      <c r="M915" s="24"/>
      <c r="N915" s="25"/>
    </row>
    <row r="916" spans="2:14" x14ac:dyDescent="0.25">
      <c r="B916" s="24"/>
      <c r="C916" s="24"/>
      <c r="D916" s="24"/>
      <c r="E916" s="25"/>
      <c r="F916" s="29"/>
      <c r="G916" s="26"/>
      <c r="H916" s="26"/>
      <c r="I916" s="24"/>
      <c r="J916" s="24"/>
      <c r="K916" s="24"/>
      <c r="L916" s="24"/>
      <c r="M916" s="24"/>
      <c r="N916" s="25"/>
    </row>
    <row r="917" spans="2:14" x14ac:dyDescent="0.25">
      <c r="B917" s="24"/>
      <c r="C917" s="24"/>
      <c r="D917" s="24"/>
      <c r="E917" s="25"/>
      <c r="F917" s="29"/>
      <c r="G917" s="26"/>
      <c r="H917" s="26"/>
      <c r="I917" s="24"/>
      <c r="J917" s="24"/>
      <c r="K917" s="24"/>
      <c r="L917" s="24"/>
      <c r="M917" s="24"/>
      <c r="N917" s="25"/>
    </row>
    <row r="918" spans="2:14" x14ac:dyDescent="0.25">
      <c r="B918" s="24"/>
      <c r="C918" s="24"/>
      <c r="D918" s="24"/>
      <c r="E918" s="25"/>
      <c r="F918" s="29"/>
      <c r="G918" s="26"/>
      <c r="H918" s="26"/>
      <c r="I918" s="24"/>
      <c r="J918" s="24"/>
      <c r="K918" s="24"/>
      <c r="L918" s="24"/>
      <c r="M918" s="24"/>
      <c r="N918" s="25"/>
    </row>
    <row r="919" spans="2:14" x14ac:dyDescent="0.25">
      <c r="B919" s="24"/>
      <c r="C919" s="24"/>
      <c r="D919" s="24"/>
      <c r="E919" s="25"/>
      <c r="F919" s="29"/>
      <c r="G919" s="26"/>
      <c r="H919" s="26"/>
      <c r="I919" s="24"/>
      <c r="J919" s="24"/>
      <c r="K919" s="24"/>
      <c r="L919" s="24"/>
      <c r="M919" s="24"/>
      <c r="N919" s="25"/>
    </row>
    <row r="920" spans="2:14" x14ac:dyDescent="0.25">
      <c r="B920" s="24"/>
      <c r="C920" s="24"/>
      <c r="D920" s="24"/>
      <c r="E920" s="25"/>
      <c r="F920" s="29"/>
      <c r="G920" s="26"/>
      <c r="H920" s="26"/>
      <c r="I920" s="24"/>
      <c r="J920" s="24"/>
      <c r="K920" s="24"/>
      <c r="L920" s="24"/>
      <c r="M920" s="24"/>
      <c r="N920" s="25"/>
    </row>
    <row r="921" spans="2:14" x14ac:dyDescent="0.25">
      <c r="B921" s="24"/>
      <c r="C921" s="24"/>
      <c r="D921" s="24"/>
      <c r="E921" s="25"/>
      <c r="F921" s="29"/>
      <c r="G921" s="26"/>
      <c r="H921" s="26"/>
      <c r="I921" s="24"/>
      <c r="J921" s="24"/>
      <c r="K921" s="24"/>
      <c r="L921" s="24"/>
      <c r="M921" s="24"/>
      <c r="N921" s="25"/>
    </row>
    <row r="922" spans="2:14" x14ac:dyDescent="0.25">
      <c r="B922" s="24"/>
      <c r="C922" s="24"/>
      <c r="D922" s="24"/>
      <c r="E922" s="25"/>
      <c r="F922" s="29"/>
      <c r="G922" s="26"/>
      <c r="H922" s="26"/>
      <c r="I922" s="24"/>
      <c r="J922" s="24"/>
      <c r="K922" s="24"/>
      <c r="L922" s="24"/>
      <c r="M922" s="24"/>
      <c r="N922" s="25"/>
    </row>
    <row r="923" spans="2:14" x14ac:dyDescent="0.25">
      <c r="B923" s="24"/>
      <c r="C923" s="24"/>
      <c r="D923" s="24"/>
      <c r="E923" s="25"/>
      <c r="F923" s="29"/>
      <c r="G923" s="26"/>
      <c r="H923" s="26"/>
      <c r="I923" s="24"/>
      <c r="J923" s="24"/>
      <c r="K923" s="24"/>
      <c r="L923" s="24"/>
      <c r="M923" s="24"/>
      <c r="N923" s="25"/>
    </row>
    <row r="924" spans="2:14" x14ac:dyDescent="0.25">
      <c r="B924" s="24"/>
      <c r="C924" s="24"/>
      <c r="D924" s="24"/>
      <c r="E924" s="25"/>
      <c r="F924" s="29"/>
      <c r="G924" s="26"/>
      <c r="H924" s="26"/>
      <c r="I924" s="24"/>
      <c r="J924" s="24"/>
      <c r="K924" s="24"/>
      <c r="L924" s="24"/>
      <c r="M924" s="24"/>
      <c r="N924" s="25"/>
    </row>
    <row r="925" spans="2:14" x14ac:dyDescent="0.25">
      <c r="B925" s="24"/>
      <c r="C925" s="24"/>
      <c r="D925" s="24"/>
      <c r="E925" s="25"/>
      <c r="F925" s="29"/>
      <c r="G925" s="26"/>
      <c r="H925" s="26"/>
      <c r="I925" s="24"/>
      <c r="J925" s="24"/>
      <c r="K925" s="24"/>
      <c r="L925" s="24"/>
      <c r="M925" s="24"/>
      <c r="N925" s="25"/>
    </row>
    <row r="926" spans="2:14" x14ac:dyDescent="0.25">
      <c r="B926" s="24"/>
      <c r="C926" s="24"/>
      <c r="D926" s="24"/>
      <c r="E926" s="25"/>
      <c r="F926" s="29"/>
      <c r="G926" s="26"/>
      <c r="H926" s="26"/>
      <c r="I926" s="24"/>
      <c r="J926" s="24"/>
      <c r="K926" s="24"/>
      <c r="L926" s="24"/>
      <c r="M926" s="24"/>
      <c r="N926" s="25"/>
    </row>
    <row r="927" spans="2:14" x14ac:dyDescent="0.25">
      <c r="B927" s="24"/>
      <c r="C927" s="24"/>
      <c r="D927" s="24"/>
      <c r="E927" s="25"/>
      <c r="F927" s="29"/>
      <c r="G927" s="26"/>
      <c r="H927" s="26"/>
      <c r="I927" s="24"/>
      <c r="J927" s="24"/>
      <c r="K927" s="24"/>
      <c r="L927" s="24"/>
      <c r="M927" s="24"/>
      <c r="N927" s="25"/>
    </row>
    <row r="928" spans="2:14" x14ac:dyDescent="0.25">
      <c r="B928" s="24"/>
      <c r="C928" s="24"/>
      <c r="D928" s="24"/>
      <c r="E928" s="25"/>
      <c r="F928" s="29"/>
      <c r="G928" s="26"/>
      <c r="H928" s="26"/>
      <c r="I928" s="24"/>
      <c r="J928" s="24"/>
      <c r="K928" s="24"/>
      <c r="L928" s="24"/>
      <c r="M928" s="24"/>
      <c r="N928" s="25"/>
    </row>
    <row r="929" spans="2:14" x14ac:dyDescent="0.25">
      <c r="B929" s="24"/>
      <c r="C929" s="24"/>
      <c r="D929" s="24"/>
      <c r="E929" s="25"/>
      <c r="F929" s="29"/>
      <c r="G929" s="26"/>
      <c r="H929" s="26"/>
      <c r="I929" s="24"/>
      <c r="J929" s="24"/>
      <c r="K929" s="24"/>
      <c r="L929" s="24"/>
      <c r="M929" s="24"/>
      <c r="N929" s="25"/>
    </row>
    <row r="930" spans="2:14" x14ac:dyDescent="0.25">
      <c r="B930" s="24"/>
      <c r="C930" s="24"/>
      <c r="D930" s="24"/>
      <c r="E930" s="25"/>
      <c r="F930" s="29"/>
      <c r="G930" s="26"/>
      <c r="H930" s="26"/>
      <c r="I930" s="24"/>
      <c r="J930" s="24"/>
      <c r="K930" s="24"/>
      <c r="L930" s="24"/>
      <c r="M930" s="24"/>
      <c r="N930" s="25"/>
    </row>
    <row r="931" spans="2:14" x14ac:dyDescent="0.25">
      <c r="B931" s="24"/>
      <c r="C931" s="24"/>
      <c r="D931" s="24"/>
      <c r="E931" s="25"/>
      <c r="F931" s="29"/>
      <c r="G931" s="26"/>
      <c r="H931" s="26"/>
      <c r="I931" s="24"/>
      <c r="J931" s="24"/>
      <c r="K931" s="24"/>
      <c r="L931" s="24"/>
      <c r="M931" s="24"/>
      <c r="N931" s="25"/>
    </row>
    <row r="932" spans="2:14" x14ac:dyDescent="0.25">
      <c r="B932" s="24"/>
      <c r="C932" s="24"/>
      <c r="D932" s="24"/>
      <c r="E932" s="25"/>
      <c r="F932" s="29"/>
      <c r="G932" s="26"/>
      <c r="H932" s="26"/>
      <c r="I932" s="24"/>
      <c r="J932" s="24"/>
      <c r="K932" s="24"/>
      <c r="L932" s="24"/>
      <c r="M932" s="24"/>
      <c r="N932" s="25"/>
    </row>
    <row r="933" spans="2:14" x14ac:dyDescent="0.25">
      <c r="B933" s="24"/>
      <c r="C933" s="24"/>
      <c r="D933" s="24"/>
      <c r="E933" s="25"/>
      <c r="F933" s="29"/>
      <c r="G933" s="26"/>
      <c r="H933" s="26"/>
      <c r="I933" s="24"/>
      <c r="J933" s="24"/>
      <c r="K933" s="24"/>
      <c r="L933" s="24"/>
      <c r="M933" s="24"/>
      <c r="N933" s="25"/>
    </row>
    <row r="934" spans="2:14" x14ac:dyDescent="0.25">
      <c r="B934" s="24"/>
      <c r="C934" s="24"/>
      <c r="D934" s="24"/>
      <c r="E934" s="25"/>
      <c r="F934" s="29"/>
      <c r="G934" s="26"/>
      <c r="H934" s="26"/>
      <c r="I934" s="24"/>
      <c r="J934" s="24"/>
      <c r="K934" s="24"/>
      <c r="L934" s="24"/>
      <c r="M934" s="24"/>
      <c r="N934" s="25"/>
    </row>
    <row r="935" spans="2:14" x14ac:dyDescent="0.25">
      <c r="B935" s="24"/>
      <c r="C935" s="24"/>
      <c r="D935" s="24"/>
      <c r="E935" s="25"/>
      <c r="F935" s="29"/>
      <c r="G935" s="26"/>
      <c r="H935" s="26"/>
      <c r="I935" s="24"/>
      <c r="J935" s="24"/>
      <c r="K935" s="24"/>
      <c r="L935" s="24"/>
      <c r="M935" s="24"/>
      <c r="N935" s="25"/>
    </row>
    <row r="936" spans="2:14" x14ac:dyDescent="0.25">
      <c r="B936" s="24"/>
      <c r="C936" s="24"/>
      <c r="D936" s="24"/>
      <c r="E936" s="25"/>
      <c r="F936" s="29"/>
      <c r="G936" s="26"/>
      <c r="H936" s="26"/>
      <c r="I936" s="24"/>
      <c r="J936" s="24"/>
      <c r="K936" s="24"/>
      <c r="L936" s="24"/>
      <c r="M936" s="24"/>
      <c r="N936" s="25"/>
    </row>
    <row r="937" spans="2:14" x14ac:dyDescent="0.25">
      <c r="B937" s="24"/>
      <c r="C937" s="24"/>
      <c r="D937" s="24"/>
      <c r="E937" s="25"/>
      <c r="F937" s="29"/>
      <c r="G937" s="26"/>
      <c r="H937" s="26"/>
      <c r="I937" s="24"/>
      <c r="J937" s="24"/>
      <c r="K937" s="24"/>
      <c r="L937" s="24"/>
      <c r="M937" s="24"/>
      <c r="N937" s="25"/>
    </row>
    <row r="938" spans="2:14" x14ac:dyDescent="0.25">
      <c r="B938" s="24"/>
      <c r="C938" s="24"/>
      <c r="D938" s="24"/>
      <c r="E938" s="25"/>
      <c r="F938" s="29"/>
      <c r="G938" s="26"/>
      <c r="H938" s="26"/>
      <c r="I938" s="24"/>
      <c r="J938" s="24"/>
      <c r="K938" s="24"/>
      <c r="L938" s="24"/>
      <c r="M938" s="24"/>
      <c r="N938" s="25"/>
    </row>
    <row r="939" spans="2:14" x14ac:dyDescent="0.25">
      <c r="B939" s="24"/>
      <c r="C939" s="24"/>
      <c r="D939" s="24"/>
      <c r="E939" s="25"/>
      <c r="F939" s="29"/>
      <c r="G939" s="26"/>
      <c r="H939" s="26"/>
      <c r="I939" s="24"/>
      <c r="J939" s="24"/>
      <c r="K939" s="24"/>
      <c r="L939" s="24"/>
      <c r="M939" s="24"/>
      <c r="N939" s="25"/>
    </row>
    <row r="940" spans="2:14" x14ac:dyDescent="0.25">
      <c r="B940" s="24"/>
      <c r="C940" s="24"/>
      <c r="D940" s="24"/>
      <c r="E940" s="25"/>
      <c r="F940" s="29"/>
      <c r="G940" s="26"/>
      <c r="H940" s="26"/>
      <c r="I940" s="24"/>
      <c r="J940" s="24"/>
      <c r="K940" s="24"/>
      <c r="L940" s="24"/>
      <c r="M940" s="24"/>
      <c r="N940" s="25"/>
    </row>
    <row r="941" spans="2:14" x14ac:dyDescent="0.25">
      <c r="B941" s="24"/>
      <c r="C941" s="24"/>
      <c r="D941" s="24"/>
      <c r="E941" s="25"/>
      <c r="F941" s="29"/>
      <c r="G941" s="26"/>
      <c r="H941" s="26"/>
      <c r="I941" s="24"/>
      <c r="J941" s="24"/>
      <c r="K941" s="24"/>
      <c r="L941" s="24"/>
      <c r="M941" s="24"/>
      <c r="N941" s="25"/>
    </row>
    <row r="942" spans="2:14" x14ac:dyDescent="0.25">
      <c r="B942" s="24"/>
      <c r="C942" s="24"/>
      <c r="D942" s="24"/>
      <c r="E942" s="25"/>
      <c r="F942" s="29"/>
      <c r="G942" s="26"/>
      <c r="H942" s="26"/>
      <c r="I942" s="24"/>
      <c r="J942" s="24"/>
      <c r="K942" s="24"/>
      <c r="L942" s="24"/>
      <c r="M942" s="24"/>
      <c r="N942" s="25"/>
    </row>
    <row r="943" spans="2:14" x14ac:dyDescent="0.25">
      <c r="B943" s="24"/>
      <c r="C943" s="24"/>
      <c r="D943" s="24"/>
      <c r="E943" s="25"/>
      <c r="F943" s="29"/>
      <c r="G943" s="26"/>
      <c r="H943" s="26"/>
      <c r="I943" s="24"/>
      <c r="J943" s="24"/>
      <c r="K943" s="24"/>
      <c r="L943" s="24"/>
      <c r="M943" s="24"/>
      <c r="N943" s="25"/>
    </row>
    <row r="944" spans="2:14" x14ac:dyDescent="0.25">
      <c r="B944" s="24"/>
      <c r="C944" s="24"/>
      <c r="D944" s="24"/>
      <c r="E944" s="25"/>
      <c r="F944" s="29"/>
      <c r="G944" s="26"/>
      <c r="H944" s="26"/>
      <c r="I944" s="24"/>
      <c r="J944" s="24"/>
      <c r="K944" s="24"/>
      <c r="L944" s="24"/>
      <c r="M944" s="24"/>
      <c r="N944" s="25"/>
    </row>
    <row r="945" spans="2:14" x14ac:dyDescent="0.25">
      <c r="B945" s="24"/>
      <c r="C945" s="24"/>
      <c r="D945" s="24"/>
      <c r="E945" s="25"/>
      <c r="F945" s="29"/>
      <c r="G945" s="26"/>
      <c r="H945" s="26"/>
      <c r="I945" s="24"/>
      <c r="J945" s="24"/>
      <c r="K945" s="24"/>
      <c r="L945" s="24"/>
      <c r="M945" s="24"/>
      <c r="N945" s="25"/>
    </row>
    <row r="946" spans="2:14" x14ac:dyDescent="0.25">
      <c r="B946" s="24"/>
      <c r="C946" s="24"/>
      <c r="D946" s="24"/>
      <c r="E946" s="25"/>
      <c r="F946" s="29"/>
      <c r="G946" s="26"/>
      <c r="H946" s="26"/>
      <c r="I946" s="24"/>
      <c r="J946" s="24"/>
      <c r="K946" s="24"/>
      <c r="L946" s="24"/>
      <c r="M946" s="24"/>
      <c r="N946" s="25"/>
    </row>
    <row r="947" spans="2:14" x14ac:dyDescent="0.25">
      <c r="B947" s="24"/>
      <c r="C947" s="24"/>
      <c r="D947" s="24"/>
      <c r="E947" s="25"/>
      <c r="F947" s="29"/>
      <c r="G947" s="26"/>
      <c r="H947" s="26"/>
      <c r="I947" s="24"/>
      <c r="J947" s="24"/>
      <c r="K947" s="24"/>
      <c r="L947" s="24"/>
      <c r="M947" s="24"/>
      <c r="N947" s="25"/>
    </row>
    <row r="948" spans="2:14" x14ac:dyDescent="0.25">
      <c r="B948" s="24"/>
      <c r="C948" s="24"/>
      <c r="D948" s="24"/>
      <c r="E948" s="25"/>
      <c r="F948" s="29"/>
      <c r="G948" s="26"/>
      <c r="H948" s="26"/>
      <c r="I948" s="24"/>
      <c r="J948" s="24"/>
      <c r="K948" s="24"/>
      <c r="L948" s="24"/>
      <c r="M948" s="24"/>
      <c r="N948" s="25"/>
    </row>
    <row r="949" spans="2:14" x14ac:dyDescent="0.25">
      <c r="B949" s="24"/>
      <c r="C949" s="24"/>
      <c r="D949" s="24"/>
      <c r="E949" s="25"/>
      <c r="F949" s="29"/>
      <c r="G949" s="26"/>
      <c r="H949" s="26"/>
      <c r="I949" s="24"/>
      <c r="J949" s="24"/>
      <c r="K949" s="24"/>
      <c r="L949" s="24"/>
      <c r="M949" s="24"/>
      <c r="N949" s="25"/>
    </row>
    <row r="950" spans="2:14" x14ac:dyDescent="0.25">
      <c r="B950" s="24"/>
      <c r="C950" s="24"/>
      <c r="D950" s="24"/>
      <c r="E950" s="25"/>
      <c r="F950" s="29"/>
      <c r="G950" s="26"/>
      <c r="H950" s="26"/>
      <c r="I950" s="24"/>
      <c r="J950" s="24"/>
      <c r="K950" s="24"/>
      <c r="L950" s="24"/>
      <c r="M950" s="24"/>
      <c r="N950" s="25"/>
    </row>
    <row r="951" spans="2:14" x14ac:dyDescent="0.25">
      <c r="B951" s="24"/>
      <c r="C951" s="24"/>
      <c r="D951" s="24"/>
      <c r="E951" s="25"/>
      <c r="F951" s="29"/>
      <c r="G951" s="26"/>
      <c r="H951" s="26"/>
      <c r="I951" s="24"/>
      <c r="J951" s="24"/>
      <c r="K951" s="24"/>
      <c r="L951" s="24"/>
      <c r="M951" s="24"/>
      <c r="N951" s="25"/>
    </row>
    <row r="952" spans="2:14" x14ac:dyDescent="0.25">
      <c r="B952" s="24"/>
      <c r="C952" s="24"/>
      <c r="D952" s="24"/>
      <c r="E952" s="25"/>
      <c r="F952" s="29"/>
      <c r="G952" s="26"/>
      <c r="H952" s="26"/>
      <c r="I952" s="24"/>
      <c r="J952" s="24"/>
      <c r="K952" s="24"/>
      <c r="L952" s="24"/>
      <c r="M952" s="24"/>
      <c r="N952" s="25"/>
    </row>
    <row r="953" spans="2:14" x14ac:dyDescent="0.25">
      <c r="B953" s="24"/>
      <c r="C953" s="24"/>
      <c r="D953" s="24"/>
      <c r="E953" s="25"/>
      <c r="F953" s="29"/>
      <c r="G953" s="26"/>
      <c r="H953" s="26"/>
      <c r="I953" s="24"/>
      <c r="J953" s="24"/>
      <c r="K953" s="24"/>
      <c r="L953" s="24"/>
      <c r="M953" s="24"/>
      <c r="N953" s="25"/>
    </row>
    <row r="954" spans="2:14" x14ac:dyDescent="0.25">
      <c r="B954" s="24"/>
      <c r="C954" s="24"/>
      <c r="D954" s="24"/>
      <c r="E954" s="25"/>
      <c r="F954" s="29"/>
      <c r="G954" s="26"/>
      <c r="H954" s="26"/>
      <c r="I954" s="24"/>
      <c r="J954" s="24"/>
      <c r="K954" s="24"/>
      <c r="L954" s="24"/>
      <c r="M954" s="24"/>
      <c r="N954" s="25"/>
    </row>
    <row r="955" spans="2:14" x14ac:dyDescent="0.25">
      <c r="B955" s="24"/>
      <c r="C955" s="24"/>
      <c r="D955" s="24"/>
      <c r="E955" s="25"/>
      <c r="F955" s="29"/>
      <c r="G955" s="26"/>
      <c r="H955" s="26"/>
      <c r="I955" s="24"/>
      <c r="J955" s="24"/>
      <c r="K955" s="24"/>
      <c r="L955" s="24"/>
      <c r="M955" s="24"/>
      <c r="N955" s="25"/>
    </row>
    <row r="956" spans="2:14" x14ac:dyDescent="0.25">
      <c r="B956" s="24"/>
      <c r="C956" s="24"/>
      <c r="D956" s="24"/>
      <c r="E956" s="25"/>
      <c r="F956" s="29"/>
      <c r="G956" s="26"/>
      <c r="H956" s="26"/>
      <c r="I956" s="24"/>
      <c r="J956" s="24"/>
      <c r="K956" s="24"/>
      <c r="L956" s="24"/>
      <c r="M956" s="24"/>
      <c r="N956" s="25"/>
    </row>
    <row r="957" spans="2:14" x14ac:dyDescent="0.25">
      <c r="B957" s="24"/>
      <c r="C957" s="24"/>
      <c r="D957" s="24"/>
      <c r="E957" s="25"/>
      <c r="F957" s="29"/>
      <c r="G957" s="26"/>
      <c r="H957" s="26"/>
      <c r="I957" s="24"/>
      <c r="J957" s="24"/>
      <c r="K957" s="24"/>
      <c r="L957" s="24"/>
      <c r="M957" s="24"/>
      <c r="N957" s="25"/>
    </row>
    <row r="958" spans="2:14" x14ac:dyDescent="0.25">
      <c r="B958" s="24"/>
      <c r="C958" s="24"/>
      <c r="D958" s="24"/>
      <c r="E958" s="25"/>
      <c r="F958" s="29"/>
      <c r="G958" s="26"/>
      <c r="H958" s="26"/>
      <c r="I958" s="24"/>
      <c r="J958" s="24"/>
      <c r="K958" s="24"/>
      <c r="L958" s="24"/>
      <c r="M958" s="24"/>
      <c r="N958" s="25"/>
    </row>
    <row r="959" spans="2:14" x14ac:dyDescent="0.25">
      <c r="B959" s="24"/>
      <c r="C959" s="24"/>
      <c r="D959" s="24"/>
      <c r="E959" s="25"/>
      <c r="F959" s="29"/>
      <c r="G959" s="26"/>
      <c r="H959" s="26"/>
      <c r="I959" s="24"/>
      <c r="J959" s="24"/>
      <c r="K959" s="24"/>
      <c r="L959" s="24"/>
      <c r="M959" s="24"/>
      <c r="N959" s="25"/>
    </row>
    <row r="960" spans="2:14" x14ac:dyDescent="0.25">
      <c r="B960" s="24"/>
      <c r="C960" s="24"/>
      <c r="D960" s="24"/>
      <c r="E960" s="25"/>
      <c r="F960" s="29"/>
      <c r="G960" s="26"/>
      <c r="H960" s="26"/>
      <c r="I960" s="24"/>
      <c r="J960" s="24"/>
      <c r="K960" s="24"/>
      <c r="L960" s="24"/>
      <c r="M960" s="24"/>
      <c r="N960" s="25"/>
    </row>
    <row r="961" spans="2:14" x14ac:dyDescent="0.25">
      <c r="B961" s="24"/>
      <c r="C961" s="24"/>
      <c r="D961" s="24"/>
      <c r="E961" s="25"/>
      <c r="F961" s="29"/>
      <c r="G961" s="26"/>
      <c r="H961" s="26"/>
      <c r="I961" s="24"/>
      <c r="J961" s="24"/>
      <c r="K961" s="24"/>
      <c r="L961" s="24"/>
      <c r="M961" s="24"/>
      <c r="N961" s="25"/>
    </row>
    <row r="962" spans="2:14" x14ac:dyDescent="0.25">
      <c r="B962" s="24"/>
      <c r="C962" s="24"/>
      <c r="D962" s="24"/>
      <c r="E962" s="25"/>
      <c r="F962" s="29"/>
      <c r="G962" s="26"/>
      <c r="H962" s="26"/>
      <c r="I962" s="24"/>
      <c r="J962" s="24"/>
      <c r="K962" s="24"/>
      <c r="L962" s="24"/>
      <c r="M962" s="24"/>
      <c r="N962" s="25"/>
    </row>
    <row r="963" spans="2:14" x14ac:dyDescent="0.25">
      <c r="B963" s="24"/>
      <c r="C963" s="24"/>
      <c r="D963" s="24"/>
      <c r="E963" s="25"/>
      <c r="F963" s="29"/>
      <c r="G963" s="26"/>
      <c r="H963" s="26"/>
      <c r="I963" s="24"/>
      <c r="J963" s="24"/>
      <c r="K963" s="24"/>
      <c r="L963" s="24"/>
      <c r="M963" s="24"/>
      <c r="N963" s="25"/>
    </row>
    <row r="964" spans="2:14" x14ac:dyDescent="0.25">
      <c r="B964" s="24"/>
      <c r="C964" s="24"/>
      <c r="D964" s="24"/>
      <c r="E964" s="25"/>
      <c r="F964" s="29"/>
      <c r="G964" s="26"/>
      <c r="H964" s="26"/>
      <c r="I964" s="24"/>
      <c r="J964" s="24"/>
      <c r="K964" s="24"/>
      <c r="L964" s="24"/>
      <c r="M964" s="24"/>
      <c r="N964" s="25"/>
    </row>
    <row r="965" spans="2:14" x14ac:dyDescent="0.25">
      <c r="B965" s="24"/>
      <c r="C965" s="24"/>
      <c r="D965" s="24"/>
      <c r="E965" s="25"/>
      <c r="F965" s="29"/>
      <c r="G965" s="26"/>
      <c r="H965" s="26"/>
      <c r="I965" s="24"/>
      <c r="J965" s="24"/>
      <c r="K965" s="24"/>
      <c r="L965" s="24"/>
      <c r="M965" s="24"/>
      <c r="N965" s="25"/>
    </row>
    <row r="966" spans="2:14" x14ac:dyDescent="0.25">
      <c r="B966" s="24"/>
      <c r="C966" s="24"/>
      <c r="D966" s="24"/>
      <c r="E966" s="25"/>
      <c r="F966" s="29"/>
      <c r="G966" s="26"/>
      <c r="H966" s="26"/>
      <c r="I966" s="24"/>
      <c r="J966" s="24"/>
      <c r="K966" s="24"/>
      <c r="L966" s="24"/>
      <c r="M966" s="24"/>
      <c r="N966" s="25"/>
    </row>
    <row r="967" spans="2:14" x14ac:dyDescent="0.25">
      <c r="B967" s="24"/>
      <c r="C967" s="24"/>
      <c r="D967" s="24"/>
      <c r="E967" s="25"/>
      <c r="F967" s="29"/>
      <c r="G967" s="26"/>
      <c r="H967" s="26"/>
      <c r="I967" s="24"/>
      <c r="J967" s="24"/>
      <c r="K967" s="24"/>
      <c r="L967" s="24"/>
      <c r="M967" s="24"/>
      <c r="N967" s="25"/>
    </row>
    <row r="968" spans="2:14" x14ac:dyDescent="0.25">
      <c r="B968" s="24"/>
      <c r="C968" s="24"/>
      <c r="D968" s="24"/>
      <c r="E968" s="25"/>
      <c r="F968" s="29"/>
      <c r="G968" s="26"/>
      <c r="H968" s="26"/>
      <c r="I968" s="24"/>
      <c r="J968" s="24"/>
      <c r="K968" s="24"/>
      <c r="L968" s="24"/>
      <c r="M968" s="24"/>
      <c r="N968" s="25"/>
    </row>
    <row r="969" spans="2:14" x14ac:dyDescent="0.25">
      <c r="B969" s="24"/>
      <c r="C969" s="24"/>
      <c r="D969" s="24"/>
      <c r="E969" s="25"/>
      <c r="F969" s="29"/>
      <c r="G969" s="26"/>
      <c r="H969" s="26"/>
      <c r="I969" s="24"/>
      <c r="J969" s="24"/>
      <c r="K969" s="24"/>
      <c r="L969" s="24"/>
      <c r="M969" s="24"/>
      <c r="N969" s="25"/>
    </row>
    <row r="970" spans="2:14" x14ac:dyDescent="0.25">
      <c r="B970" s="24"/>
      <c r="C970" s="24"/>
      <c r="D970" s="24"/>
      <c r="E970" s="25"/>
      <c r="F970" s="29"/>
      <c r="G970" s="26"/>
      <c r="H970" s="26"/>
      <c r="I970" s="24"/>
      <c r="J970" s="24"/>
      <c r="K970" s="24"/>
      <c r="L970" s="24"/>
      <c r="M970" s="24"/>
      <c r="N970" s="25"/>
    </row>
    <row r="971" spans="2:14" x14ac:dyDescent="0.25">
      <c r="B971" s="24"/>
      <c r="C971" s="24"/>
      <c r="D971" s="24"/>
      <c r="E971" s="25"/>
      <c r="F971" s="29"/>
      <c r="G971" s="26"/>
      <c r="H971" s="26"/>
      <c r="I971" s="24"/>
      <c r="J971" s="24"/>
      <c r="K971" s="24"/>
      <c r="L971" s="24"/>
      <c r="M971" s="24"/>
      <c r="N971" s="25"/>
    </row>
    <row r="972" spans="2:14" x14ac:dyDescent="0.25">
      <c r="B972" s="24"/>
      <c r="C972" s="24"/>
      <c r="D972" s="24"/>
      <c r="E972" s="25"/>
      <c r="F972" s="29"/>
      <c r="G972" s="26"/>
      <c r="H972" s="26"/>
      <c r="I972" s="24"/>
      <c r="J972" s="24"/>
      <c r="K972" s="24"/>
      <c r="L972" s="24"/>
      <c r="M972" s="24"/>
      <c r="N972" s="25"/>
    </row>
    <row r="973" spans="2:14" x14ac:dyDescent="0.25">
      <c r="B973" s="24"/>
      <c r="C973" s="24"/>
      <c r="D973" s="24"/>
      <c r="E973" s="25"/>
      <c r="F973" s="29"/>
      <c r="G973" s="26"/>
      <c r="H973" s="26"/>
      <c r="I973" s="24"/>
      <c r="J973" s="24"/>
      <c r="K973" s="24"/>
      <c r="L973" s="24"/>
      <c r="M973" s="24"/>
      <c r="N973" s="25"/>
    </row>
    <row r="974" spans="2:14" x14ac:dyDescent="0.25">
      <c r="B974" s="24"/>
      <c r="C974" s="24"/>
      <c r="D974" s="24"/>
      <c r="E974" s="25"/>
      <c r="F974" s="29"/>
      <c r="G974" s="26"/>
      <c r="H974" s="26"/>
      <c r="I974" s="24"/>
      <c r="J974" s="24"/>
      <c r="K974" s="24"/>
      <c r="L974" s="24"/>
      <c r="M974" s="24"/>
      <c r="N974" s="25"/>
    </row>
    <row r="975" spans="2:14" x14ac:dyDescent="0.25">
      <c r="B975" s="24"/>
      <c r="C975" s="24"/>
      <c r="D975" s="24"/>
      <c r="E975" s="25"/>
      <c r="F975" s="29"/>
      <c r="G975" s="26"/>
      <c r="H975" s="26"/>
      <c r="I975" s="24"/>
      <c r="J975" s="24"/>
      <c r="K975" s="24"/>
      <c r="L975" s="24"/>
      <c r="M975" s="24"/>
      <c r="N975" s="25"/>
    </row>
    <row r="976" spans="2:14" x14ac:dyDescent="0.25">
      <c r="B976" s="24"/>
      <c r="C976" s="24"/>
      <c r="D976" s="24"/>
      <c r="E976" s="25"/>
      <c r="F976" s="29"/>
      <c r="G976" s="26"/>
      <c r="H976" s="26"/>
      <c r="I976" s="24"/>
      <c r="J976" s="24"/>
      <c r="K976" s="24"/>
      <c r="L976" s="24"/>
      <c r="M976" s="24"/>
      <c r="N976" s="25"/>
    </row>
    <row r="977" spans="2:14" x14ac:dyDescent="0.25">
      <c r="B977" s="24"/>
      <c r="C977" s="24"/>
      <c r="D977" s="24"/>
      <c r="E977" s="25"/>
      <c r="F977" s="29"/>
      <c r="G977" s="26"/>
      <c r="H977" s="26"/>
      <c r="I977" s="24"/>
      <c r="J977" s="24"/>
      <c r="K977" s="24"/>
      <c r="L977" s="24"/>
      <c r="M977" s="24"/>
      <c r="N977" s="25"/>
    </row>
    <row r="978" spans="2:14" x14ac:dyDescent="0.25">
      <c r="B978" s="24"/>
      <c r="C978" s="24"/>
      <c r="D978" s="24"/>
      <c r="E978" s="25"/>
      <c r="F978" s="29"/>
      <c r="G978" s="26"/>
      <c r="H978" s="26"/>
      <c r="I978" s="24"/>
      <c r="J978" s="24"/>
      <c r="K978" s="24"/>
      <c r="L978" s="24"/>
      <c r="M978" s="24"/>
      <c r="N978" s="25"/>
    </row>
    <row r="979" spans="2:14" x14ac:dyDescent="0.25">
      <c r="B979" s="24"/>
      <c r="C979" s="24"/>
      <c r="D979" s="24"/>
      <c r="E979" s="25"/>
      <c r="F979" s="29"/>
      <c r="G979" s="26"/>
      <c r="H979" s="26"/>
      <c r="I979" s="24"/>
      <c r="J979" s="24"/>
      <c r="K979" s="24"/>
      <c r="L979" s="24"/>
      <c r="M979" s="24"/>
      <c r="N979" s="25"/>
    </row>
    <row r="980" spans="2:14" x14ac:dyDescent="0.25">
      <c r="B980" s="24"/>
      <c r="C980" s="24"/>
      <c r="D980" s="24"/>
      <c r="E980" s="25"/>
      <c r="F980" s="29"/>
      <c r="G980" s="26"/>
      <c r="H980" s="26"/>
      <c r="I980" s="24"/>
      <c r="J980" s="24"/>
      <c r="K980" s="24"/>
      <c r="L980" s="24"/>
      <c r="M980" s="24"/>
      <c r="N980" s="25"/>
    </row>
    <row r="981" spans="2:14" x14ac:dyDescent="0.25">
      <c r="B981" s="24"/>
      <c r="C981" s="24"/>
      <c r="D981" s="24"/>
      <c r="E981" s="25"/>
      <c r="F981" s="29"/>
      <c r="G981" s="26"/>
      <c r="H981" s="26"/>
      <c r="I981" s="24"/>
      <c r="J981" s="24"/>
      <c r="K981" s="24"/>
      <c r="L981" s="24"/>
      <c r="M981" s="24"/>
      <c r="N981" s="25"/>
    </row>
    <row r="982" spans="2:14" x14ac:dyDescent="0.25">
      <c r="B982" s="24"/>
      <c r="C982" s="24"/>
      <c r="D982" s="24"/>
      <c r="E982" s="25"/>
      <c r="F982" s="29"/>
      <c r="G982" s="26"/>
      <c r="H982" s="26"/>
      <c r="I982" s="24"/>
      <c r="J982" s="24"/>
      <c r="K982" s="24"/>
      <c r="L982" s="24"/>
      <c r="M982" s="24"/>
      <c r="N982" s="25"/>
    </row>
    <row r="983" spans="2:14" x14ac:dyDescent="0.25">
      <c r="B983" s="24"/>
      <c r="C983" s="24"/>
      <c r="D983" s="24"/>
      <c r="E983" s="25"/>
      <c r="F983" s="29"/>
      <c r="G983" s="26"/>
      <c r="H983" s="26"/>
      <c r="I983" s="24"/>
      <c r="J983" s="24"/>
      <c r="K983" s="24"/>
      <c r="L983" s="24"/>
      <c r="M983" s="24"/>
      <c r="N983" s="25"/>
    </row>
    <row r="984" spans="2:14" x14ac:dyDescent="0.25">
      <c r="B984" s="24"/>
      <c r="C984" s="24"/>
      <c r="D984" s="24"/>
      <c r="E984" s="25"/>
      <c r="F984" s="29"/>
      <c r="G984" s="26"/>
      <c r="H984" s="26"/>
      <c r="I984" s="24"/>
      <c r="J984" s="24"/>
      <c r="K984" s="24"/>
      <c r="L984" s="24"/>
      <c r="M984" s="24"/>
      <c r="N984" s="25"/>
    </row>
    <row r="985" spans="2:14" x14ac:dyDescent="0.25">
      <c r="B985" s="24"/>
      <c r="C985" s="24"/>
      <c r="D985" s="24"/>
      <c r="E985" s="25"/>
      <c r="F985" s="29"/>
      <c r="G985" s="26"/>
      <c r="H985" s="26"/>
      <c r="I985" s="24"/>
      <c r="J985" s="24"/>
      <c r="K985" s="24"/>
      <c r="L985" s="24"/>
      <c r="M985" s="24"/>
      <c r="N985" s="25"/>
    </row>
    <row r="986" spans="2:14" x14ac:dyDescent="0.25">
      <c r="B986" s="24"/>
      <c r="C986" s="24"/>
      <c r="D986" s="24"/>
      <c r="E986" s="25"/>
      <c r="F986" s="29"/>
      <c r="G986" s="26"/>
      <c r="H986" s="26"/>
      <c r="I986" s="24"/>
      <c r="J986" s="24"/>
      <c r="K986" s="24"/>
      <c r="L986" s="24"/>
      <c r="M986" s="24"/>
      <c r="N986" s="25"/>
    </row>
    <row r="987" spans="2:14" x14ac:dyDescent="0.25">
      <c r="B987" s="24"/>
      <c r="C987" s="24"/>
      <c r="D987" s="24"/>
      <c r="E987" s="25"/>
      <c r="F987" s="29"/>
      <c r="G987" s="26"/>
      <c r="H987" s="26"/>
      <c r="I987" s="24"/>
      <c r="J987" s="24"/>
      <c r="K987" s="24"/>
      <c r="L987" s="24"/>
      <c r="M987" s="24"/>
      <c r="N987" s="25"/>
    </row>
    <row r="988" spans="2:14" x14ac:dyDescent="0.25">
      <c r="B988" s="24"/>
      <c r="C988" s="24"/>
      <c r="D988" s="24"/>
      <c r="E988" s="25"/>
      <c r="F988" s="29"/>
      <c r="G988" s="26"/>
      <c r="H988" s="26"/>
      <c r="I988" s="24"/>
      <c r="J988" s="24"/>
      <c r="K988" s="24"/>
      <c r="L988" s="24"/>
      <c r="M988" s="24"/>
      <c r="N988" s="25"/>
    </row>
    <row r="989" spans="2:14" x14ac:dyDescent="0.25">
      <c r="B989" s="24"/>
      <c r="C989" s="24"/>
      <c r="D989" s="24"/>
      <c r="E989" s="25"/>
      <c r="F989" s="29"/>
      <c r="G989" s="26"/>
      <c r="H989" s="26"/>
      <c r="I989" s="24"/>
      <c r="J989" s="24"/>
      <c r="K989" s="24"/>
      <c r="L989" s="24"/>
      <c r="M989" s="24"/>
      <c r="N989" s="25"/>
    </row>
    <row r="990" spans="2:14" x14ac:dyDescent="0.25">
      <c r="B990" s="24"/>
      <c r="C990" s="24"/>
      <c r="D990" s="24"/>
      <c r="E990" s="25"/>
      <c r="F990" s="29"/>
      <c r="G990" s="26"/>
      <c r="H990" s="26"/>
      <c r="I990" s="24"/>
      <c r="J990" s="24"/>
      <c r="K990" s="24"/>
      <c r="L990" s="24"/>
      <c r="M990" s="24"/>
      <c r="N990" s="25"/>
    </row>
    <row r="991" spans="2:14" x14ac:dyDescent="0.25">
      <c r="B991" s="24"/>
      <c r="C991" s="24"/>
      <c r="D991" s="24"/>
      <c r="E991" s="25"/>
      <c r="F991" s="29"/>
      <c r="G991" s="26"/>
      <c r="H991" s="26"/>
      <c r="I991" s="24"/>
      <c r="J991" s="24"/>
      <c r="K991" s="24"/>
      <c r="L991" s="24"/>
      <c r="M991" s="24"/>
      <c r="N991" s="25"/>
    </row>
    <row r="992" spans="2:14" x14ac:dyDescent="0.25">
      <c r="B992" s="24"/>
      <c r="C992" s="24"/>
      <c r="D992" s="24"/>
      <c r="E992" s="25"/>
      <c r="F992" s="29"/>
      <c r="G992" s="26"/>
      <c r="H992" s="26"/>
      <c r="I992" s="24"/>
      <c r="J992" s="24"/>
      <c r="K992" s="24"/>
      <c r="L992" s="24"/>
      <c r="M992" s="24"/>
      <c r="N992" s="25"/>
    </row>
    <row r="993" spans="2:14" x14ac:dyDescent="0.25">
      <c r="B993" s="24"/>
      <c r="C993" s="24"/>
      <c r="D993" s="24"/>
      <c r="E993" s="25"/>
      <c r="F993" s="29"/>
      <c r="G993" s="26"/>
      <c r="H993" s="26"/>
      <c r="I993" s="24"/>
      <c r="J993" s="24"/>
      <c r="K993" s="24"/>
      <c r="L993" s="24"/>
      <c r="M993" s="24"/>
      <c r="N993" s="25"/>
    </row>
    <row r="994" spans="2:14" x14ac:dyDescent="0.25">
      <c r="B994" s="24"/>
      <c r="C994" s="24"/>
      <c r="D994" s="24"/>
      <c r="E994" s="25"/>
      <c r="F994" s="29"/>
      <c r="G994" s="26"/>
      <c r="H994" s="26"/>
      <c r="I994" s="24"/>
      <c r="J994" s="24"/>
      <c r="K994" s="24"/>
      <c r="L994" s="24"/>
      <c r="M994" s="24"/>
      <c r="N994" s="25"/>
    </row>
    <row r="995" spans="2:14" x14ac:dyDescent="0.25">
      <c r="B995" s="24"/>
      <c r="C995" s="24"/>
      <c r="D995" s="24"/>
      <c r="E995" s="25"/>
      <c r="F995" s="29"/>
      <c r="G995" s="26"/>
      <c r="H995" s="26"/>
      <c r="I995" s="24"/>
      <c r="J995" s="24"/>
      <c r="K995" s="24"/>
      <c r="L995" s="24"/>
      <c r="M995" s="24"/>
      <c r="N995" s="25"/>
    </row>
    <row r="996" spans="2:14" x14ac:dyDescent="0.25">
      <c r="B996" s="24"/>
      <c r="C996" s="24"/>
      <c r="D996" s="24"/>
      <c r="E996" s="25"/>
      <c r="F996" s="29"/>
      <c r="G996" s="26"/>
      <c r="H996" s="26"/>
      <c r="I996" s="24"/>
      <c r="J996" s="24"/>
      <c r="K996" s="24"/>
      <c r="L996" s="24"/>
      <c r="M996" s="24"/>
      <c r="N996" s="25"/>
    </row>
    <row r="997" spans="2:14" x14ac:dyDescent="0.25">
      <c r="B997" s="24"/>
      <c r="C997" s="24"/>
      <c r="D997" s="24"/>
      <c r="E997" s="25"/>
      <c r="F997" s="29"/>
      <c r="G997" s="26"/>
      <c r="H997" s="26"/>
      <c r="I997" s="24"/>
      <c r="J997" s="24"/>
      <c r="K997" s="24"/>
      <c r="L997" s="24"/>
      <c r="M997" s="24"/>
      <c r="N997" s="25"/>
    </row>
    <row r="998" spans="2:14" x14ac:dyDescent="0.25">
      <c r="B998" s="24"/>
      <c r="C998" s="24"/>
      <c r="D998" s="24"/>
      <c r="E998" s="25"/>
      <c r="F998" s="29"/>
      <c r="G998" s="26"/>
      <c r="H998" s="26"/>
      <c r="I998" s="24"/>
      <c r="J998" s="24"/>
      <c r="K998" s="24"/>
      <c r="L998" s="24"/>
      <c r="M998" s="24"/>
      <c r="N998" s="25"/>
    </row>
    <row r="999" spans="2:14" x14ac:dyDescent="0.25">
      <c r="B999" s="24"/>
      <c r="C999" s="24"/>
      <c r="D999" s="24"/>
      <c r="E999" s="25"/>
      <c r="F999" s="29"/>
      <c r="G999" s="26"/>
      <c r="H999" s="26"/>
      <c r="I999" s="24"/>
      <c r="J999" s="24"/>
      <c r="K999" s="24"/>
      <c r="L999" s="24"/>
      <c r="M999" s="24"/>
      <c r="N999" s="25"/>
    </row>
    <row r="1000" spans="2:14" x14ac:dyDescent="0.25">
      <c r="B1000" s="24"/>
      <c r="C1000" s="24"/>
      <c r="D1000" s="24"/>
      <c r="E1000" s="25"/>
      <c r="F1000" s="29"/>
      <c r="G1000" s="26"/>
      <c r="H1000" s="26"/>
      <c r="I1000" s="24"/>
      <c r="J1000" s="24"/>
      <c r="K1000" s="24"/>
      <c r="L1000" s="24"/>
      <c r="M1000" s="24"/>
      <c r="N1000" s="25"/>
    </row>
    <row r="1001" spans="2:14" x14ac:dyDescent="0.25">
      <c r="B1001" s="24"/>
      <c r="C1001" s="24"/>
      <c r="D1001" s="24"/>
      <c r="E1001" s="25"/>
      <c r="F1001" s="29"/>
      <c r="G1001" s="26"/>
      <c r="H1001" s="26"/>
      <c r="I1001" s="24"/>
      <c r="J1001" s="24"/>
      <c r="K1001" s="24"/>
      <c r="L1001" s="24"/>
      <c r="M1001" s="24"/>
      <c r="N1001" s="25"/>
    </row>
    <row r="1002" spans="2:14" x14ac:dyDescent="0.25">
      <c r="B1002" s="24"/>
      <c r="C1002" s="24"/>
      <c r="D1002" s="24"/>
      <c r="E1002" s="25"/>
      <c r="F1002" s="29"/>
      <c r="G1002" s="26"/>
      <c r="H1002" s="26"/>
      <c r="I1002" s="24"/>
      <c r="J1002" s="24"/>
      <c r="K1002" s="24"/>
      <c r="L1002" s="24"/>
      <c r="M1002" s="24"/>
      <c r="N1002" s="25"/>
    </row>
    <row r="1003" spans="2:14" x14ac:dyDescent="0.25">
      <c r="B1003" s="24"/>
      <c r="C1003" s="24"/>
      <c r="D1003" s="24"/>
      <c r="E1003" s="25"/>
      <c r="F1003" s="29"/>
      <c r="G1003" s="26"/>
      <c r="H1003" s="26"/>
      <c r="I1003" s="24"/>
      <c r="J1003" s="24"/>
      <c r="K1003" s="24"/>
      <c r="L1003" s="24"/>
      <c r="M1003" s="24"/>
      <c r="N1003" s="25"/>
    </row>
    <row r="1004" spans="2:14" x14ac:dyDescent="0.25">
      <c r="B1004" s="24"/>
      <c r="C1004" s="24"/>
      <c r="D1004" s="24"/>
      <c r="E1004" s="25"/>
      <c r="F1004" s="29"/>
      <c r="G1004" s="26"/>
      <c r="H1004" s="26"/>
      <c r="I1004" s="24"/>
      <c r="J1004" s="24"/>
      <c r="K1004" s="24"/>
      <c r="L1004" s="24"/>
      <c r="M1004" s="24"/>
      <c r="N1004" s="25"/>
    </row>
    <row r="1005" spans="2:14" x14ac:dyDescent="0.25">
      <c r="B1005" s="24"/>
      <c r="C1005" s="24"/>
      <c r="D1005" s="24"/>
      <c r="E1005" s="25"/>
      <c r="F1005" s="29"/>
      <c r="G1005" s="26"/>
      <c r="H1005" s="26"/>
      <c r="I1005" s="24"/>
      <c r="J1005" s="24"/>
      <c r="K1005" s="24"/>
      <c r="L1005" s="24"/>
      <c r="M1005" s="24"/>
      <c r="N1005" s="25"/>
    </row>
    <row r="1006" spans="2:14" x14ac:dyDescent="0.25">
      <c r="B1006" s="24"/>
      <c r="C1006" s="24"/>
      <c r="D1006" s="24"/>
      <c r="E1006" s="25"/>
      <c r="F1006" s="29"/>
      <c r="G1006" s="26"/>
      <c r="H1006" s="26"/>
      <c r="I1006" s="24"/>
      <c r="J1006" s="24"/>
      <c r="K1006" s="24"/>
      <c r="L1006" s="24"/>
      <c r="M1006" s="24"/>
      <c r="N1006" s="25"/>
    </row>
    <row r="1007" spans="2:14" x14ac:dyDescent="0.25">
      <c r="B1007" s="24"/>
      <c r="C1007" s="24"/>
      <c r="D1007" s="24"/>
      <c r="E1007" s="25"/>
      <c r="F1007" s="29"/>
      <c r="G1007" s="26"/>
      <c r="H1007" s="26"/>
      <c r="I1007" s="24"/>
      <c r="J1007" s="24"/>
      <c r="K1007" s="24"/>
      <c r="L1007" s="24"/>
      <c r="M1007" s="24"/>
      <c r="N1007" s="25"/>
    </row>
    <row r="1008" spans="2:14" x14ac:dyDescent="0.25">
      <c r="B1008" s="24"/>
      <c r="C1008" s="24"/>
      <c r="D1008" s="24"/>
      <c r="E1008" s="25"/>
      <c r="F1008" s="29"/>
      <c r="G1008" s="26"/>
      <c r="H1008" s="26"/>
      <c r="I1008" s="24"/>
      <c r="J1008" s="24"/>
      <c r="K1008" s="24"/>
      <c r="L1008" s="24"/>
      <c r="M1008" s="24"/>
      <c r="N1008" s="25"/>
    </row>
    <row r="1009" spans="2:14" x14ac:dyDescent="0.25">
      <c r="B1009" s="24"/>
      <c r="C1009" s="24"/>
      <c r="D1009" s="24"/>
      <c r="E1009" s="25"/>
      <c r="F1009" s="29"/>
      <c r="G1009" s="26"/>
      <c r="H1009" s="26"/>
      <c r="I1009" s="24"/>
      <c r="J1009" s="24"/>
      <c r="K1009" s="24"/>
      <c r="L1009" s="24"/>
      <c r="M1009" s="24"/>
      <c r="N1009" s="25"/>
    </row>
    <row r="1010" spans="2:14" x14ac:dyDescent="0.25">
      <c r="B1010" s="24"/>
      <c r="C1010" s="24"/>
      <c r="D1010" s="28"/>
      <c r="E1010" s="25"/>
      <c r="F1010" s="29"/>
      <c r="G1010" s="26"/>
      <c r="H1010" s="26"/>
      <c r="I1010" s="24"/>
      <c r="J1010" s="24"/>
      <c r="K1010" s="24"/>
      <c r="L1010" s="24"/>
      <c r="M1010" s="24"/>
      <c r="N1010" s="25"/>
    </row>
    <row r="1011" spans="2:14" x14ac:dyDescent="0.25">
      <c r="B1011" s="24"/>
      <c r="C1011" s="24"/>
      <c r="D1011" s="24"/>
      <c r="E1011" s="25"/>
      <c r="F1011" s="29"/>
      <c r="G1011" s="26"/>
      <c r="H1011" s="26"/>
      <c r="I1011" s="24"/>
      <c r="J1011" s="24"/>
      <c r="K1011" s="24"/>
      <c r="L1011" s="24"/>
      <c r="M1011" s="24"/>
      <c r="N1011" s="25"/>
    </row>
    <row r="1012" spans="2:14" x14ac:dyDescent="0.25">
      <c r="B1012" s="24"/>
      <c r="C1012" s="24"/>
      <c r="D1012" s="24"/>
      <c r="E1012" s="25"/>
      <c r="F1012" s="29"/>
      <c r="G1012" s="26"/>
      <c r="H1012" s="26"/>
      <c r="I1012" s="24"/>
      <c r="J1012" s="24"/>
      <c r="K1012" s="24"/>
      <c r="L1012" s="24"/>
      <c r="M1012" s="24"/>
      <c r="N1012" s="25"/>
    </row>
    <row r="1013" spans="2:14" x14ac:dyDescent="0.25">
      <c r="B1013" s="24"/>
      <c r="C1013" s="24"/>
      <c r="D1013" s="24"/>
      <c r="E1013" s="25"/>
      <c r="F1013" s="29"/>
      <c r="G1013" s="26"/>
      <c r="H1013" s="26"/>
      <c r="I1013" s="24"/>
      <c r="J1013" s="24"/>
      <c r="K1013" s="24"/>
      <c r="L1013" s="24"/>
      <c r="M1013" s="24"/>
      <c r="N1013" s="25"/>
    </row>
    <row r="1014" spans="2:14" x14ac:dyDescent="0.25">
      <c r="B1014" s="24"/>
      <c r="C1014" s="24"/>
      <c r="D1014" s="24"/>
      <c r="E1014" s="25"/>
      <c r="F1014" s="29"/>
      <c r="G1014" s="26"/>
      <c r="H1014" s="26"/>
      <c r="I1014" s="24"/>
      <c r="J1014" s="24"/>
      <c r="K1014" s="24"/>
      <c r="L1014" s="24"/>
      <c r="M1014" s="24"/>
      <c r="N1014" s="25"/>
    </row>
    <row r="1015" spans="2:14" x14ac:dyDescent="0.25">
      <c r="B1015" s="24"/>
      <c r="C1015" s="24"/>
      <c r="D1015" s="24"/>
      <c r="E1015" s="25"/>
      <c r="F1015" s="29"/>
      <c r="G1015" s="26"/>
      <c r="H1015" s="26"/>
      <c r="I1015" s="24"/>
      <c r="J1015" s="24"/>
      <c r="K1015" s="24"/>
      <c r="L1015" s="24"/>
      <c r="M1015" s="24"/>
      <c r="N1015" s="25"/>
    </row>
    <row r="1016" spans="2:14" x14ac:dyDescent="0.25">
      <c r="B1016" s="24"/>
      <c r="C1016" s="24"/>
      <c r="D1016" s="24"/>
      <c r="E1016" s="25"/>
      <c r="F1016" s="29"/>
      <c r="G1016" s="26"/>
      <c r="H1016" s="26"/>
      <c r="I1016" s="24"/>
      <c r="J1016" s="24"/>
      <c r="K1016" s="24"/>
      <c r="L1016" s="24"/>
      <c r="M1016" s="24"/>
      <c r="N1016" s="25"/>
    </row>
    <row r="1017" spans="2:14" x14ac:dyDescent="0.25">
      <c r="B1017" s="24"/>
      <c r="C1017" s="24"/>
      <c r="D1017" s="24"/>
      <c r="E1017" s="25"/>
      <c r="F1017" s="29"/>
      <c r="G1017" s="26"/>
      <c r="H1017" s="26"/>
      <c r="I1017" s="24"/>
      <c r="J1017" s="24"/>
      <c r="K1017" s="24"/>
      <c r="L1017" s="24"/>
      <c r="M1017" s="24"/>
      <c r="N1017" s="25"/>
    </row>
    <row r="1018" spans="2:14" x14ac:dyDescent="0.25">
      <c r="B1018" s="24"/>
      <c r="C1018" s="24"/>
      <c r="D1018" s="24"/>
      <c r="E1018" s="25"/>
      <c r="F1018" s="29"/>
      <c r="G1018" s="26"/>
      <c r="H1018" s="26"/>
      <c r="I1018" s="24"/>
      <c r="J1018" s="24"/>
      <c r="K1018" s="24"/>
      <c r="L1018" s="24"/>
      <c r="M1018" s="24"/>
      <c r="N1018" s="25"/>
    </row>
    <row r="1019" spans="2:14" x14ac:dyDescent="0.25">
      <c r="B1019" s="24"/>
      <c r="C1019" s="24"/>
      <c r="D1019" s="24"/>
      <c r="E1019" s="25"/>
      <c r="F1019" s="29"/>
      <c r="G1019" s="26"/>
      <c r="H1019" s="26"/>
      <c r="I1019" s="24"/>
      <c r="J1019" s="24"/>
      <c r="K1019" s="24"/>
      <c r="L1019" s="24"/>
      <c r="M1019" s="24"/>
      <c r="N1019" s="25"/>
    </row>
    <row r="1020" spans="2:14" x14ac:dyDescent="0.25">
      <c r="B1020" s="24"/>
      <c r="C1020" s="24"/>
      <c r="D1020" s="24"/>
      <c r="E1020" s="25"/>
      <c r="F1020" s="29"/>
      <c r="G1020" s="26"/>
      <c r="H1020" s="26"/>
      <c r="I1020" s="24"/>
      <c r="J1020" s="24"/>
      <c r="K1020" s="24"/>
      <c r="L1020" s="24"/>
      <c r="M1020" s="24"/>
      <c r="N1020" s="25"/>
    </row>
    <row r="1021" spans="2:14" x14ac:dyDescent="0.25">
      <c r="B1021" s="24"/>
      <c r="C1021" s="24"/>
      <c r="D1021" s="24"/>
      <c r="E1021" s="25"/>
      <c r="F1021" s="29"/>
      <c r="G1021" s="26"/>
      <c r="H1021" s="26"/>
      <c r="I1021" s="24"/>
      <c r="J1021" s="24"/>
      <c r="K1021" s="24"/>
      <c r="L1021" s="24"/>
      <c r="M1021" s="24"/>
      <c r="N1021" s="25"/>
    </row>
    <row r="1022" spans="2:14" x14ac:dyDescent="0.25">
      <c r="B1022" s="24"/>
      <c r="C1022" s="24"/>
      <c r="D1022" s="24"/>
      <c r="E1022" s="25"/>
      <c r="F1022" s="29"/>
      <c r="G1022" s="26"/>
      <c r="H1022" s="26"/>
      <c r="I1022" s="24"/>
      <c r="J1022" s="24"/>
      <c r="K1022" s="24"/>
      <c r="L1022" s="24"/>
      <c r="M1022" s="24"/>
      <c r="N1022" s="25"/>
    </row>
    <row r="1023" spans="2:14" x14ac:dyDescent="0.25">
      <c r="B1023" s="24"/>
      <c r="C1023" s="24"/>
      <c r="D1023" s="24"/>
      <c r="E1023" s="25"/>
      <c r="F1023" s="29"/>
      <c r="G1023" s="26"/>
      <c r="H1023" s="26"/>
      <c r="I1023" s="24"/>
      <c r="J1023" s="24"/>
      <c r="K1023" s="24"/>
      <c r="L1023" s="24"/>
      <c r="M1023" s="24"/>
      <c r="N1023" s="25"/>
    </row>
    <row r="1024" spans="2:14" x14ac:dyDescent="0.25">
      <c r="B1024" s="24"/>
      <c r="C1024" s="24"/>
      <c r="D1024" s="24"/>
      <c r="E1024" s="25"/>
      <c r="F1024" s="29"/>
      <c r="G1024" s="26"/>
      <c r="H1024" s="26"/>
      <c r="I1024" s="24"/>
      <c r="J1024" s="24"/>
      <c r="K1024" s="24"/>
      <c r="L1024" s="24"/>
      <c r="M1024" s="24"/>
      <c r="N1024" s="25"/>
    </row>
    <row r="1025" spans="2:14" x14ac:dyDescent="0.25">
      <c r="B1025" s="24"/>
      <c r="C1025" s="24"/>
      <c r="D1025" s="24"/>
      <c r="E1025" s="25"/>
      <c r="F1025" s="29"/>
      <c r="G1025" s="26"/>
      <c r="H1025" s="26"/>
      <c r="I1025" s="24"/>
      <c r="J1025" s="24"/>
      <c r="K1025" s="24"/>
      <c r="L1025" s="24"/>
      <c r="M1025" s="24"/>
      <c r="N1025" s="25"/>
    </row>
    <row r="1026" spans="2:14" x14ac:dyDescent="0.25">
      <c r="B1026" s="24"/>
      <c r="C1026" s="24"/>
      <c r="D1026" s="24"/>
      <c r="E1026" s="25"/>
      <c r="F1026" s="29"/>
      <c r="G1026" s="26"/>
      <c r="H1026" s="26"/>
      <c r="I1026" s="24"/>
      <c r="J1026" s="24"/>
      <c r="K1026" s="24"/>
      <c r="L1026" s="24"/>
      <c r="M1026" s="24"/>
      <c r="N1026" s="25"/>
    </row>
    <row r="1027" spans="2:14" x14ac:dyDescent="0.25">
      <c r="B1027" s="24"/>
      <c r="C1027" s="24"/>
      <c r="D1027" s="24"/>
      <c r="E1027" s="25"/>
      <c r="F1027" s="29"/>
      <c r="G1027" s="26"/>
      <c r="H1027" s="26"/>
      <c r="I1027" s="24"/>
      <c r="J1027" s="24"/>
      <c r="K1027" s="24"/>
      <c r="L1027" s="24"/>
      <c r="M1027" s="24"/>
      <c r="N1027" s="25"/>
    </row>
    <row r="1028" spans="2:14" x14ac:dyDescent="0.25">
      <c r="B1028" s="24"/>
      <c r="C1028" s="24"/>
      <c r="D1028" s="24"/>
      <c r="E1028" s="25"/>
      <c r="F1028" s="29"/>
      <c r="G1028" s="26"/>
      <c r="H1028" s="26"/>
      <c r="I1028" s="24"/>
      <c r="J1028" s="24"/>
      <c r="K1028" s="24"/>
      <c r="L1028" s="24"/>
      <c r="M1028" s="24"/>
      <c r="N1028" s="25"/>
    </row>
    <row r="1029" spans="2:14" x14ac:dyDescent="0.25">
      <c r="B1029" s="24"/>
      <c r="C1029" s="24"/>
      <c r="D1029" s="24"/>
      <c r="E1029" s="25"/>
      <c r="F1029" s="29"/>
      <c r="G1029" s="26"/>
      <c r="H1029" s="26"/>
      <c r="I1029" s="24"/>
      <c r="J1029" s="24"/>
      <c r="K1029" s="24"/>
      <c r="L1029" s="24"/>
      <c r="M1029" s="24"/>
      <c r="N1029" s="25"/>
    </row>
    <row r="1030" spans="2:14" x14ac:dyDescent="0.25">
      <c r="B1030" s="24"/>
      <c r="C1030" s="24"/>
      <c r="D1030" s="24"/>
      <c r="E1030" s="25"/>
      <c r="F1030" s="29"/>
      <c r="G1030" s="26"/>
      <c r="H1030" s="26"/>
      <c r="I1030" s="24"/>
      <c r="J1030" s="24"/>
      <c r="K1030" s="24"/>
      <c r="L1030" s="24"/>
      <c r="M1030" s="24"/>
      <c r="N1030" s="25"/>
    </row>
    <row r="1031" spans="2:14" x14ac:dyDescent="0.25">
      <c r="B1031" s="24"/>
      <c r="C1031" s="24"/>
      <c r="D1031" s="24"/>
      <c r="E1031" s="25"/>
      <c r="F1031" s="29"/>
      <c r="G1031" s="26"/>
      <c r="H1031" s="26"/>
      <c r="I1031" s="24"/>
      <c r="J1031" s="24"/>
      <c r="K1031" s="24"/>
      <c r="L1031" s="24"/>
      <c r="M1031" s="24"/>
      <c r="N1031" s="25"/>
    </row>
    <row r="1032" spans="2:14" x14ac:dyDescent="0.25">
      <c r="B1032" s="24"/>
      <c r="C1032" s="24"/>
      <c r="D1032" s="24"/>
      <c r="E1032" s="25"/>
      <c r="F1032" s="29"/>
      <c r="G1032" s="26"/>
      <c r="H1032" s="26"/>
      <c r="I1032" s="24"/>
      <c r="J1032" s="24"/>
      <c r="K1032" s="24"/>
      <c r="L1032" s="24"/>
      <c r="M1032" s="24"/>
      <c r="N1032" s="25"/>
    </row>
    <row r="1033" spans="2:14" x14ac:dyDescent="0.25">
      <c r="B1033" s="24"/>
      <c r="C1033" s="24"/>
      <c r="D1033" s="24"/>
      <c r="E1033" s="25"/>
      <c r="F1033" s="29"/>
      <c r="G1033" s="26"/>
      <c r="H1033" s="26"/>
      <c r="I1033" s="24"/>
      <c r="J1033" s="24"/>
      <c r="K1033" s="24"/>
      <c r="L1033" s="24"/>
      <c r="M1033" s="24"/>
      <c r="N1033" s="25"/>
    </row>
    <row r="1034" spans="2:14" x14ac:dyDescent="0.25">
      <c r="B1034" s="24"/>
      <c r="C1034" s="24"/>
      <c r="D1034" s="24"/>
      <c r="E1034" s="25"/>
      <c r="F1034" s="29"/>
      <c r="G1034" s="26"/>
      <c r="H1034" s="26"/>
      <c r="I1034" s="24"/>
      <c r="J1034" s="24"/>
      <c r="K1034" s="24"/>
      <c r="L1034" s="24"/>
      <c r="M1034" s="24"/>
      <c r="N1034" s="25"/>
    </row>
    <row r="1035" spans="2:14" x14ac:dyDescent="0.25">
      <c r="B1035" s="24"/>
      <c r="C1035" s="24"/>
      <c r="D1035" s="24"/>
      <c r="E1035" s="25"/>
      <c r="F1035" s="29"/>
      <c r="G1035" s="26"/>
      <c r="H1035" s="26"/>
      <c r="I1035" s="24"/>
      <c r="J1035" s="24"/>
      <c r="K1035" s="24"/>
      <c r="L1035" s="24"/>
      <c r="M1035" s="24"/>
      <c r="N1035" s="25"/>
    </row>
    <row r="1036" spans="2:14" x14ac:dyDescent="0.25">
      <c r="B1036" s="24"/>
      <c r="C1036" s="24"/>
      <c r="D1036" s="24"/>
      <c r="E1036" s="25"/>
      <c r="F1036" s="29"/>
      <c r="G1036" s="26"/>
      <c r="H1036" s="26"/>
      <c r="I1036" s="24"/>
      <c r="J1036" s="24"/>
      <c r="K1036" s="24"/>
      <c r="L1036" s="24"/>
      <c r="M1036" s="24"/>
      <c r="N1036" s="25"/>
    </row>
    <row r="1037" spans="2:14" x14ac:dyDescent="0.25">
      <c r="B1037" s="24"/>
      <c r="C1037" s="24"/>
      <c r="D1037" s="24"/>
      <c r="E1037" s="25"/>
      <c r="F1037" s="29"/>
      <c r="G1037" s="26"/>
      <c r="H1037" s="26"/>
      <c r="I1037" s="24"/>
      <c r="J1037" s="24"/>
      <c r="K1037" s="24"/>
      <c r="L1037" s="24"/>
      <c r="M1037" s="24"/>
      <c r="N1037" s="25"/>
    </row>
    <row r="1038" spans="2:14" x14ac:dyDescent="0.25">
      <c r="B1038" s="24"/>
      <c r="C1038" s="24"/>
      <c r="D1038" s="24"/>
      <c r="E1038" s="25"/>
      <c r="F1038" s="29"/>
      <c r="G1038" s="26"/>
      <c r="H1038" s="26"/>
      <c r="I1038" s="24"/>
      <c r="J1038" s="24"/>
      <c r="K1038" s="24"/>
      <c r="L1038" s="24"/>
      <c r="M1038" s="24"/>
      <c r="N1038" s="25"/>
    </row>
    <row r="1039" spans="2:14" x14ac:dyDescent="0.25">
      <c r="B1039" s="24"/>
      <c r="C1039" s="24"/>
      <c r="D1039" s="24"/>
      <c r="E1039" s="25"/>
      <c r="F1039" s="29"/>
      <c r="G1039" s="26"/>
      <c r="H1039" s="26"/>
      <c r="I1039" s="24"/>
      <c r="J1039" s="24"/>
      <c r="K1039" s="24"/>
      <c r="L1039" s="24"/>
      <c r="M1039" s="24"/>
      <c r="N1039" s="25"/>
    </row>
    <row r="1040" spans="2:14" x14ac:dyDescent="0.25">
      <c r="B1040" s="24"/>
      <c r="C1040" s="24"/>
      <c r="D1040" s="24"/>
      <c r="E1040" s="25"/>
      <c r="F1040" s="29"/>
      <c r="G1040" s="26"/>
      <c r="H1040" s="26"/>
      <c r="I1040" s="24"/>
      <c r="J1040" s="24"/>
      <c r="K1040" s="24"/>
      <c r="L1040" s="24"/>
      <c r="M1040" s="24"/>
      <c r="N1040" s="25"/>
    </row>
    <row r="1041" spans="2:14" x14ac:dyDescent="0.25">
      <c r="B1041" s="24"/>
      <c r="C1041" s="24"/>
      <c r="D1041" s="24"/>
      <c r="E1041" s="25"/>
      <c r="F1041" s="29"/>
      <c r="G1041" s="26"/>
      <c r="H1041" s="26"/>
      <c r="I1041" s="24"/>
      <c r="J1041" s="24"/>
      <c r="K1041" s="24"/>
      <c r="L1041" s="24"/>
      <c r="M1041" s="24"/>
      <c r="N1041" s="25"/>
    </row>
    <row r="1042" spans="2:14" x14ac:dyDescent="0.25">
      <c r="B1042" s="24"/>
      <c r="C1042" s="24"/>
      <c r="D1042" s="24"/>
      <c r="E1042" s="25"/>
      <c r="F1042" s="29"/>
      <c r="G1042" s="26"/>
      <c r="H1042" s="26"/>
      <c r="I1042" s="24"/>
      <c r="J1042" s="24"/>
      <c r="K1042" s="24"/>
      <c r="L1042" s="24"/>
      <c r="M1042" s="24"/>
      <c r="N1042" s="25"/>
    </row>
    <row r="1043" spans="2:14" x14ac:dyDescent="0.25">
      <c r="B1043" s="24"/>
      <c r="C1043" s="24"/>
      <c r="D1043" s="24"/>
      <c r="E1043" s="25"/>
      <c r="F1043" s="29"/>
      <c r="G1043" s="26"/>
      <c r="H1043" s="26"/>
      <c r="I1043" s="24"/>
      <c r="J1043" s="24"/>
      <c r="K1043" s="24"/>
      <c r="L1043" s="24"/>
      <c r="M1043" s="24"/>
      <c r="N1043" s="25"/>
    </row>
    <row r="1044" spans="2:14" x14ac:dyDescent="0.25">
      <c r="B1044" s="24"/>
      <c r="C1044" s="24"/>
      <c r="D1044" s="24"/>
      <c r="E1044" s="25"/>
      <c r="F1044" s="29"/>
      <c r="G1044" s="26"/>
      <c r="H1044" s="26"/>
      <c r="I1044" s="24"/>
      <c r="J1044" s="24"/>
      <c r="K1044" s="24"/>
      <c r="L1044" s="24"/>
      <c r="M1044" s="24"/>
      <c r="N1044" s="25"/>
    </row>
    <row r="1045" spans="2:14" x14ac:dyDescent="0.25">
      <c r="B1045" s="24"/>
      <c r="C1045" s="24"/>
      <c r="D1045" s="24"/>
      <c r="E1045" s="25"/>
      <c r="F1045" s="29"/>
      <c r="G1045" s="26"/>
      <c r="H1045" s="26"/>
      <c r="I1045" s="24"/>
      <c r="J1045" s="24"/>
      <c r="K1045" s="24"/>
      <c r="L1045" s="24"/>
      <c r="M1045" s="24"/>
      <c r="N1045" s="25"/>
    </row>
    <row r="1046" spans="2:14" x14ac:dyDescent="0.25">
      <c r="B1046" s="24"/>
      <c r="C1046" s="24"/>
      <c r="D1046" s="24"/>
      <c r="E1046" s="25"/>
      <c r="F1046" s="29"/>
      <c r="G1046" s="26"/>
      <c r="H1046" s="26"/>
      <c r="I1046" s="24"/>
      <c r="J1046" s="24"/>
      <c r="K1046" s="24"/>
      <c r="L1046" s="24"/>
      <c r="M1046" s="24"/>
      <c r="N1046" s="25"/>
    </row>
    <row r="1047" spans="2:14" x14ac:dyDescent="0.25">
      <c r="B1047" s="24"/>
      <c r="C1047" s="24"/>
      <c r="D1047" s="24"/>
      <c r="E1047" s="25"/>
      <c r="F1047" s="29"/>
      <c r="G1047" s="26"/>
      <c r="H1047" s="26"/>
      <c r="I1047" s="24"/>
      <c r="J1047" s="24"/>
      <c r="K1047" s="24"/>
      <c r="L1047" s="24"/>
      <c r="M1047" s="24"/>
      <c r="N1047" s="25"/>
    </row>
    <row r="1048" spans="2:14" x14ac:dyDescent="0.25">
      <c r="B1048" s="24"/>
      <c r="C1048" s="24"/>
      <c r="D1048" s="24"/>
      <c r="E1048" s="25"/>
      <c r="F1048" s="29"/>
      <c r="G1048" s="26"/>
      <c r="H1048" s="26"/>
      <c r="I1048" s="24"/>
      <c r="J1048" s="24"/>
      <c r="K1048" s="24"/>
      <c r="L1048" s="24"/>
      <c r="M1048" s="24"/>
      <c r="N1048" s="25"/>
    </row>
    <row r="1049" spans="2:14" x14ac:dyDescent="0.25">
      <c r="B1049" s="24"/>
      <c r="C1049" s="24"/>
      <c r="D1049" s="24"/>
      <c r="E1049" s="25"/>
      <c r="F1049" s="29"/>
      <c r="G1049" s="26"/>
      <c r="H1049" s="26"/>
      <c r="I1049" s="24"/>
      <c r="J1049" s="24"/>
      <c r="K1049" s="24"/>
      <c r="L1049" s="24"/>
      <c r="M1049" s="24"/>
      <c r="N1049" s="25"/>
    </row>
    <row r="1050" spans="2:14" x14ac:dyDescent="0.25">
      <c r="B1050" s="24"/>
      <c r="C1050" s="24"/>
      <c r="D1050" s="24"/>
      <c r="E1050" s="25"/>
      <c r="F1050" s="29"/>
      <c r="G1050" s="26"/>
      <c r="H1050" s="26"/>
      <c r="I1050" s="24"/>
      <c r="J1050" s="24"/>
      <c r="K1050" s="24"/>
      <c r="L1050" s="24"/>
      <c r="M1050" s="24"/>
      <c r="N1050" s="25"/>
    </row>
    <row r="1051" spans="2:14" x14ac:dyDescent="0.25">
      <c r="B1051" s="24"/>
      <c r="C1051" s="24"/>
      <c r="D1051" s="24"/>
      <c r="E1051" s="25"/>
      <c r="F1051" s="29"/>
      <c r="G1051" s="26"/>
      <c r="H1051" s="26"/>
      <c r="I1051" s="24"/>
      <c r="J1051" s="24"/>
      <c r="K1051" s="24"/>
      <c r="L1051" s="24"/>
      <c r="M1051" s="24"/>
      <c r="N1051" s="25"/>
    </row>
    <row r="1052" spans="2:14" x14ac:dyDescent="0.25">
      <c r="B1052" s="24"/>
      <c r="C1052" s="24"/>
      <c r="D1052" s="24"/>
      <c r="E1052" s="25"/>
      <c r="F1052" s="29"/>
      <c r="G1052" s="26"/>
      <c r="H1052" s="26"/>
      <c r="I1052" s="24"/>
      <c r="J1052" s="24"/>
      <c r="K1052" s="24"/>
      <c r="L1052" s="24"/>
      <c r="M1052" s="24"/>
      <c r="N1052" s="25"/>
    </row>
    <row r="1053" spans="2:14" x14ac:dyDescent="0.25">
      <c r="B1053" s="24"/>
      <c r="C1053" s="24"/>
      <c r="D1053" s="24"/>
      <c r="E1053" s="25"/>
      <c r="F1053" s="29"/>
      <c r="G1053" s="26"/>
      <c r="H1053" s="26"/>
      <c r="I1053" s="24"/>
      <c r="J1053" s="24"/>
      <c r="K1053" s="24"/>
      <c r="L1053" s="24"/>
      <c r="M1053" s="24"/>
      <c r="N1053" s="25"/>
    </row>
    <row r="1054" spans="2:14" x14ac:dyDescent="0.25">
      <c r="B1054" s="24"/>
      <c r="C1054" s="24"/>
      <c r="D1054" s="24"/>
      <c r="E1054" s="25"/>
      <c r="F1054" s="29"/>
      <c r="G1054" s="26"/>
      <c r="H1054" s="26"/>
      <c r="I1054" s="24"/>
      <c r="J1054" s="24"/>
      <c r="K1054" s="24"/>
      <c r="L1054" s="24"/>
      <c r="M1054" s="24"/>
      <c r="N1054" s="25"/>
    </row>
    <row r="1055" spans="2:14" x14ac:dyDescent="0.25">
      <c r="B1055" s="24"/>
      <c r="C1055" s="24"/>
      <c r="D1055" s="24"/>
      <c r="E1055" s="25"/>
      <c r="F1055" s="29"/>
      <c r="G1055" s="26"/>
      <c r="H1055" s="26"/>
      <c r="I1055" s="24"/>
      <c r="J1055" s="24"/>
      <c r="K1055" s="24"/>
      <c r="L1055" s="24"/>
      <c r="M1055" s="24"/>
      <c r="N1055" s="25"/>
    </row>
    <row r="1056" spans="2:14" x14ac:dyDescent="0.25">
      <c r="B1056" s="24"/>
      <c r="C1056" s="24"/>
      <c r="D1056" s="24"/>
      <c r="E1056" s="25"/>
      <c r="F1056" s="29"/>
      <c r="G1056" s="26"/>
      <c r="H1056" s="26"/>
      <c r="I1056" s="24"/>
      <c r="J1056" s="24"/>
      <c r="K1056" s="24"/>
      <c r="L1056" s="24"/>
      <c r="M1056" s="24"/>
      <c r="N1056" s="25"/>
    </row>
    <row r="1057" spans="2:14" x14ac:dyDescent="0.25">
      <c r="B1057" s="24"/>
      <c r="C1057" s="24"/>
      <c r="D1057" s="24"/>
      <c r="E1057" s="25"/>
      <c r="F1057" s="29"/>
      <c r="G1057" s="26"/>
      <c r="H1057" s="26"/>
      <c r="I1057" s="24"/>
      <c r="J1057" s="24"/>
      <c r="K1057" s="24"/>
      <c r="L1057" s="24"/>
      <c r="M1057" s="24"/>
      <c r="N1057" s="25"/>
    </row>
    <row r="1058" spans="2:14" x14ac:dyDescent="0.25">
      <c r="B1058" s="24"/>
      <c r="C1058" s="24"/>
      <c r="D1058" s="24"/>
      <c r="E1058" s="25"/>
      <c r="F1058" s="29"/>
      <c r="G1058" s="26"/>
      <c r="H1058" s="26"/>
      <c r="I1058" s="24"/>
      <c r="J1058" s="24"/>
      <c r="K1058" s="24"/>
      <c r="L1058" s="24"/>
      <c r="M1058" s="24"/>
      <c r="N1058" s="25"/>
    </row>
    <row r="1059" spans="2:14" x14ac:dyDescent="0.25">
      <c r="B1059" s="24"/>
      <c r="C1059" s="24"/>
      <c r="D1059" s="24"/>
      <c r="E1059" s="25"/>
      <c r="F1059" s="29"/>
      <c r="G1059" s="26"/>
      <c r="H1059" s="26"/>
      <c r="I1059" s="24"/>
      <c r="J1059" s="24"/>
      <c r="K1059" s="24"/>
      <c r="L1059" s="24"/>
      <c r="M1059" s="24"/>
      <c r="N1059" s="25"/>
    </row>
    <row r="1060" spans="2:14" x14ac:dyDescent="0.25">
      <c r="B1060" s="24"/>
      <c r="C1060" s="24"/>
      <c r="D1060" s="24"/>
      <c r="E1060" s="25"/>
      <c r="F1060" s="29"/>
      <c r="G1060" s="26"/>
      <c r="H1060" s="26"/>
      <c r="I1060" s="24"/>
      <c r="J1060" s="24"/>
      <c r="K1060" s="24"/>
      <c r="L1060" s="24"/>
      <c r="M1060" s="24"/>
      <c r="N1060" s="25"/>
    </row>
    <row r="1061" spans="2:14" x14ac:dyDescent="0.25">
      <c r="B1061" s="24"/>
      <c r="C1061" s="24"/>
      <c r="D1061" s="24"/>
      <c r="E1061" s="25"/>
      <c r="F1061" s="29"/>
      <c r="G1061" s="26"/>
      <c r="H1061" s="26"/>
      <c r="I1061" s="24"/>
      <c r="J1061" s="24"/>
      <c r="K1061" s="24"/>
      <c r="L1061" s="24"/>
      <c r="M1061" s="24"/>
      <c r="N1061" s="25"/>
    </row>
    <row r="1062" spans="2:14" x14ac:dyDescent="0.25">
      <c r="B1062" s="24"/>
      <c r="C1062" s="24"/>
      <c r="D1062" s="24"/>
      <c r="E1062" s="25"/>
      <c r="F1062" s="29"/>
      <c r="G1062" s="26"/>
      <c r="H1062" s="26"/>
      <c r="I1062" s="24"/>
      <c r="J1062" s="24"/>
      <c r="K1062" s="24"/>
      <c r="L1062" s="24"/>
      <c r="M1062" s="24"/>
      <c r="N1062" s="25"/>
    </row>
    <row r="1063" spans="2:14" x14ac:dyDescent="0.25">
      <c r="B1063" s="24"/>
      <c r="C1063" s="24"/>
      <c r="D1063" s="24"/>
      <c r="E1063" s="25"/>
      <c r="F1063" s="29"/>
      <c r="G1063" s="26"/>
      <c r="H1063" s="26"/>
      <c r="I1063" s="24"/>
      <c r="J1063" s="24"/>
      <c r="K1063" s="24"/>
      <c r="L1063" s="24"/>
      <c r="M1063" s="24"/>
      <c r="N1063" s="25"/>
    </row>
    <row r="1064" spans="2:14" x14ac:dyDescent="0.25">
      <c r="B1064" s="24"/>
      <c r="C1064" s="24"/>
      <c r="D1064" s="24"/>
      <c r="E1064" s="25"/>
      <c r="F1064" s="29"/>
      <c r="G1064" s="26"/>
      <c r="H1064" s="26"/>
      <c r="I1064" s="24"/>
      <c r="J1064" s="24"/>
      <c r="K1064" s="24"/>
      <c r="L1064" s="24"/>
      <c r="M1064" s="24"/>
      <c r="N1064" s="25"/>
    </row>
    <row r="1065" spans="2:14" x14ac:dyDescent="0.25">
      <c r="B1065" s="24"/>
      <c r="C1065" s="24"/>
      <c r="D1065" s="24"/>
      <c r="E1065" s="25"/>
      <c r="F1065" s="29"/>
      <c r="G1065" s="26"/>
      <c r="H1065" s="26"/>
      <c r="I1065" s="24"/>
      <c r="J1065" s="24"/>
      <c r="K1065" s="24"/>
      <c r="L1065" s="24"/>
      <c r="M1065" s="24"/>
      <c r="N1065" s="25"/>
    </row>
    <row r="1066" spans="2:14" x14ac:dyDescent="0.25">
      <c r="B1066" s="24"/>
      <c r="C1066" s="24"/>
      <c r="D1066" s="24"/>
      <c r="E1066" s="25"/>
      <c r="F1066" s="29"/>
      <c r="G1066" s="26"/>
      <c r="H1066" s="26"/>
      <c r="I1066" s="24"/>
      <c r="J1066" s="24"/>
      <c r="K1066" s="24"/>
      <c r="L1066" s="24"/>
      <c r="M1066" s="24"/>
      <c r="N1066" s="25"/>
    </row>
    <row r="1067" spans="2:14" x14ac:dyDescent="0.25">
      <c r="B1067" s="24"/>
      <c r="C1067" s="24"/>
      <c r="D1067" s="24"/>
      <c r="E1067" s="25"/>
      <c r="F1067" s="29"/>
      <c r="G1067" s="26"/>
      <c r="H1067" s="26"/>
      <c r="I1067" s="24"/>
      <c r="J1067" s="24"/>
      <c r="K1067" s="24"/>
      <c r="L1067" s="24"/>
      <c r="M1067" s="24"/>
      <c r="N1067" s="25"/>
    </row>
    <row r="1068" spans="2:14" x14ac:dyDescent="0.25">
      <c r="B1068" s="24"/>
      <c r="C1068" s="24"/>
      <c r="D1068" s="24"/>
      <c r="E1068" s="25"/>
      <c r="F1068" s="29"/>
      <c r="G1068" s="26"/>
      <c r="H1068" s="26"/>
      <c r="I1068" s="24"/>
      <c r="J1068" s="24"/>
      <c r="K1068" s="24"/>
      <c r="L1068" s="24"/>
      <c r="M1068" s="24"/>
      <c r="N1068" s="25"/>
    </row>
    <row r="1069" spans="2:14" x14ac:dyDescent="0.25">
      <c r="B1069" s="24"/>
      <c r="C1069" s="24"/>
      <c r="D1069" s="24"/>
      <c r="E1069" s="25"/>
      <c r="F1069" s="29"/>
      <c r="G1069" s="26"/>
      <c r="H1069" s="26"/>
      <c r="I1069" s="24"/>
      <c r="J1069" s="24"/>
      <c r="K1069" s="24"/>
      <c r="L1069" s="24"/>
      <c r="M1069" s="24"/>
      <c r="N1069" s="25"/>
    </row>
    <row r="1070" spans="2:14" x14ac:dyDescent="0.25">
      <c r="B1070" s="24"/>
      <c r="C1070" s="24"/>
      <c r="D1070" s="24"/>
      <c r="E1070" s="25"/>
      <c r="F1070" s="29"/>
      <c r="G1070" s="26"/>
      <c r="H1070" s="26"/>
      <c r="I1070" s="24"/>
      <c r="J1070" s="24"/>
      <c r="K1070" s="24"/>
      <c r="L1070" s="24"/>
      <c r="M1070" s="24"/>
      <c r="N1070" s="25"/>
    </row>
    <row r="1071" spans="2:14" x14ac:dyDescent="0.25">
      <c r="B1071" s="24"/>
      <c r="C1071" s="24"/>
      <c r="D1071" s="24"/>
      <c r="E1071" s="25"/>
      <c r="F1071" s="29"/>
      <c r="G1071" s="26"/>
      <c r="H1071" s="26"/>
      <c r="I1071" s="24"/>
      <c r="J1071" s="24"/>
      <c r="K1071" s="24"/>
      <c r="L1071" s="24"/>
      <c r="M1071" s="24"/>
      <c r="N1071" s="25"/>
    </row>
    <row r="1072" spans="2:14" x14ac:dyDescent="0.25">
      <c r="B1072" s="24"/>
      <c r="C1072" s="24"/>
      <c r="D1072" s="24"/>
      <c r="E1072" s="25"/>
      <c r="F1072" s="29"/>
      <c r="G1072" s="26"/>
      <c r="H1072" s="26"/>
      <c r="I1072" s="24"/>
      <c r="J1072" s="24"/>
      <c r="K1072" s="24"/>
      <c r="L1072" s="24"/>
      <c r="M1072" s="24"/>
      <c r="N1072" s="25"/>
    </row>
    <row r="1073" spans="2:14" x14ac:dyDescent="0.25">
      <c r="B1073" s="24"/>
      <c r="C1073" s="24"/>
      <c r="D1073" s="24"/>
      <c r="E1073" s="25"/>
      <c r="F1073" s="29"/>
      <c r="G1073" s="26"/>
      <c r="H1073" s="26"/>
      <c r="I1073" s="24"/>
      <c r="J1073" s="24"/>
      <c r="K1073" s="24"/>
      <c r="L1073" s="24"/>
      <c r="M1073" s="24"/>
      <c r="N1073" s="25"/>
    </row>
    <row r="1074" spans="2:14" x14ac:dyDescent="0.25">
      <c r="B1074" s="24"/>
      <c r="C1074" s="24"/>
      <c r="D1074" s="24"/>
      <c r="E1074" s="25"/>
      <c r="F1074" s="29"/>
      <c r="G1074" s="26"/>
      <c r="H1074" s="26"/>
      <c r="I1074" s="24"/>
      <c r="J1074" s="24"/>
      <c r="K1074" s="24"/>
      <c r="L1074" s="24"/>
      <c r="M1074" s="24"/>
      <c r="N1074" s="25"/>
    </row>
    <row r="1075" spans="2:14" x14ac:dyDescent="0.25">
      <c r="B1075" s="24"/>
      <c r="C1075" s="24"/>
      <c r="D1075" s="24"/>
      <c r="E1075" s="25"/>
      <c r="F1075" s="29"/>
      <c r="G1075" s="26"/>
      <c r="H1075" s="26"/>
      <c r="I1075" s="24"/>
      <c r="J1075" s="24"/>
      <c r="K1075" s="24"/>
      <c r="L1075" s="24"/>
      <c r="M1075" s="24"/>
      <c r="N1075" s="25"/>
    </row>
    <row r="1076" spans="2:14" x14ac:dyDescent="0.25">
      <c r="B1076" s="24"/>
      <c r="C1076" s="24"/>
      <c r="D1076" s="24"/>
      <c r="E1076" s="25"/>
      <c r="F1076" s="29"/>
      <c r="G1076" s="26"/>
      <c r="H1076" s="26"/>
      <c r="I1076" s="24"/>
      <c r="J1076" s="24"/>
      <c r="K1076" s="24"/>
      <c r="L1076" s="24"/>
      <c r="M1076" s="24"/>
      <c r="N1076" s="25"/>
    </row>
    <row r="1077" spans="2:14" x14ac:dyDescent="0.25">
      <c r="B1077" s="24"/>
      <c r="C1077" s="24"/>
      <c r="D1077" s="24"/>
      <c r="E1077" s="25"/>
      <c r="F1077" s="29"/>
      <c r="G1077" s="26"/>
      <c r="H1077" s="26"/>
      <c r="I1077" s="24"/>
      <c r="J1077" s="24"/>
      <c r="K1077" s="24"/>
      <c r="L1077" s="24"/>
      <c r="M1077" s="24"/>
      <c r="N1077" s="25"/>
    </row>
    <row r="1078" spans="2:14" x14ac:dyDescent="0.25">
      <c r="B1078" s="24"/>
      <c r="C1078" s="24"/>
      <c r="D1078" s="24"/>
      <c r="E1078" s="25"/>
      <c r="F1078" s="29"/>
      <c r="G1078" s="26"/>
      <c r="H1078" s="26"/>
      <c r="I1078" s="24"/>
      <c r="J1078" s="24"/>
      <c r="K1078" s="24"/>
      <c r="L1078" s="24"/>
      <c r="M1078" s="24"/>
      <c r="N1078" s="25"/>
    </row>
    <row r="1079" spans="2:14" x14ac:dyDescent="0.25">
      <c r="B1079" s="24"/>
      <c r="C1079" s="24"/>
      <c r="D1079" s="24"/>
      <c r="E1079" s="25"/>
      <c r="F1079" s="29"/>
      <c r="G1079" s="26"/>
      <c r="H1079" s="26"/>
      <c r="I1079" s="24"/>
      <c r="J1079" s="24"/>
      <c r="K1079" s="24"/>
      <c r="L1079" s="24"/>
      <c r="M1079" s="24"/>
      <c r="N1079" s="25"/>
    </row>
    <row r="1080" spans="2:14" x14ac:dyDescent="0.25">
      <c r="B1080" s="24"/>
      <c r="C1080" s="24"/>
      <c r="D1080" s="24"/>
      <c r="E1080" s="25"/>
      <c r="F1080" s="29"/>
      <c r="G1080" s="26"/>
      <c r="H1080" s="26"/>
      <c r="I1080" s="24"/>
      <c r="J1080" s="24"/>
      <c r="K1080" s="24"/>
      <c r="L1080" s="24"/>
      <c r="M1080" s="24"/>
      <c r="N1080" s="25"/>
    </row>
    <row r="1081" spans="2:14" x14ac:dyDescent="0.25">
      <c r="B1081" s="24"/>
      <c r="C1081" s="24"/>
      <c r="D1081" s="24"/>
      <c r="E1081" s="25"/>
      <c r="F1081" s="29"/>
      <c r="G1081" s="26"/>
      <c r="H1081" s="26"/>
      <c r="I1081" s="24"/>
      <c r="J1081" s="24"/>
      <c r="K1081" s="24"/>
      <c r="L1081" s="24"/>
      <c r="M1081" s="24"/>
      <c r="N1081" s="25"/>
    </row>
    <row r="1082" spans="2:14" x14ac:dyDescent="0.25">
      <c r="B1082" s="24"/>
      <c r="C1082" s="24"/>
      <c r="D1082" s="24"/>
      <c r="E1082" s="25"/>
      <c r="F1082" s="29"/>
      <c r="G1082" s="26"/>
      <c r="H1082" s="26"/>
      <c r="I1082" s="24"/>
      <c r="J1082" s="24"/>
      <c r="K1082" s="24"/>
      <c r="L1082" s="24"/>
      <c r="M1082" s="24"/>
      <c r="N1082" s="25"/>
    </row>
    <row r="1083" spans="2:14" x14ac:dyDescent="0.25">
      <c r="B1083" s="24"/>
      <c r="C1083" s="24"/>
      <c r="D1083" s="24"/>
      <c r="E1083" s="25"/>
      <c r="F1083" s="29"/>
      <c r="G1083" s="26"/>
      <c r="H1083" s="26"/>
      <c r="I1083" s="24"/>
      <c r="J1083" s="24"/>
      <c r="K1083" s="24"/>
      <c r="L1083" s="24"/>
      <c r="M1083" s="24"/>
      <c r="N1083" s="25"/>
    </row>
    <row r="1084" spans="2:14" x14ac:dyDescent="0.25">
      <c r="B1084" s="24"/>
      <c r="C1084" s="24"/>
      <c r="D1084" s="24"/>
      <c r="E1084" s="25"/>
      <c r="F1084" s="29"/>
      <c r="G1084" s="26"/>
      <c r="H1084" s="26"/>
      <c r="I1084" s="24"/>
      <c r="J1084" s="24"/>
      <c r="K1084" s="24"/>
      <c r="L1084" s="24"/>
      <c r="M1084" s="24"/>
      <c r="N1084" s="25"/>
    </row>
    <row r="1085" spans="2:14" x14ac:dyDescent="0.25">
      <c r="B1085" s="24"/>
      <c r="C1085" s="24"/>
      <c r="D1085" s="24"/>
      <c r="E1085" s="25"/>
      <c r="F1085" s="29"/>
      <c r="G1085" s="26"/>
      <c r="H1085" s="26"/>
      <c r="I1085" s="24"/>
      <c r="J1085" s="24"/>
      <c r="K1085" s="24"/>
      <c r="L1085" s="24"/>
      <c r="M1085" s="24"/>
      <c r="N1085" s="25"/>
    </row>
    <row r="1086" spans="2:14" x14ac:dyDescent="0.25">
      <c r="B1086" s="24"/>
      <c r="C1086" s="24"/>
      <c r="D1086" s="24"/>
      <c r="E1086" s="25"/>
      <c r="F1086" s="29"/>
      <c r="G1086" s="26"/>
      <c r="H1086" s="26"/>
      <c r="I1086" s="24"/>
      <c r="J1086" s="24"/>
      <c r="K1086" s="24"/>
      <c r="L1086" s="24"/>
      <c r="M1086" s="24"/>
      <c r="N1086" s="25"/>
    </row>
    <row r="1087" spans="2:14" x14ac:dyDescent="0.25">
      <c r="B1087" s="24"/>
      <c r="C1087" s="24"/>
      <c r="D1087" s="24"/>
      <c r="E1087" s="25"/>
      <c r="F1087" s="29"/>
      <c r="G1087" s="26"/>
      <c r="H1087" s="26"/>
      <c r="I1087" s="24"/>
      <c r="J1087" s="24"/>
      <c r="K1087" s="24"/>
      <c r="L1087" s="24"/>
      <c r="M1087" s="24"/>
      <c r="N1087" s="25"/>
    </row>
    <row r="1088" spans="2:14" x14ac:dyDescent="0.25">
      <c r="B1088" s="24"/>
      <c r="C1088" s="24"/>
      <c r="D1088" s="24"/>
      <c r="E1088" s="25"/>
      <c r="F1088" s="29"/>
      <c r="G1088" s="26"/>
      <c r="H1088" s="26"/>
      <c r="I1088" s="24"/>
      <c r="J1088" s="24"/>
      <c r="K1088" s="24"/>
      <c r="L1088" s="24"/>
      <c r="M1088" s="24"/>
      <c r="N1088" s="25"/>
    </row>
    <row r="1089" spans="2:14" x14ac:dyDescent="0.25">
      <c r="B1089" s="24"/>
      <c r="C1089" s="24"/>
      <c r="D1089" s="24"/>
      <c r="E1089" s="25"/>
      <c r="F1089" s="29"/>
      <c r="G1089" s="26"/>
      <c r="H1089" s="26"/>
      <c r="I1089" s="24"/>
      <c r="J1089" s="24"/>
      <c r="K1089" s="24"/>
      <c r="L1089" s="24"/>
      <c r="M1089" s="24"/>
      <c r="N1089" s="25"/>
    </row>
    <row r="1090" spans="2:14" x14ac:dyDescent="0.25">
      <c r="B1090" s="24"/>
      <c r="C1090" s="24"/>
      <c r="D1090" s="24"/>
      <c r="E1090" s="25"/>
      <c r="F1090" s="29"/>
      <c r="G1090" s="26"/>
      <c r="H1090" s="26"/>
      <c r="I1090" s="24"/>
      <c r="J1090" s="24"/>
      <c r="K1090" s="24"/>
      <c r="L1090" s="24"/>
      <c r="M1090" s="24"/>
      <c r="N1090" s="25"/>
    </row>
    <row r="1091" spans="2:14" x14ac:dyDescent="0.25">
      <c r="B1091" s="24"/>
      <c r="C1091" s="24"/>
      <c r="D1091" s="24"/>
      <c r="E1091" s="25"/>
      <c r="F1091" s="29"/>
      <c r="G1091" s="26"/>
      <c r="H1091" s="26"/>
      <c r="I1091" s="24"/>
      <c r="J1091" s="24"/>
      <c r="K1091" s="24"/>
      <c r="L1091" s="24"/>
      <c r="M1091" s="24"/>
      <c r="N1091" s="25"/>
    </row>
    <row r="1092" spans="2:14" x14ac:dyDescent="0.25">
      <c r="B1092" s="24"/>
      <c r="C1092" s="24"/>
      <c r="D1092" s="24"/>
      <c r="E1092" s="25"/>
      <c r="F1092" s="29"/>
      <c r="G1092" s="26"/>
      <c r="H1092" s="26"/>
      <c r="I1092" s="24"/>
      <c r="J1092" s="24"/>
      <c r="K1092" s="24"/>
      <c r="L1092" s="24"/>
      <c r="M1092" s="24"/>
      <c r="N1092" s="25"/>
    </row>
    <row r="1093" spans="2:14" x14ac:dyDescent="0.25">
      <c r="B1093" s="24"/>
      <c r="C1093" s="24"/>
      <c r="D1093" s="24"/>
      <c r="E1093" s="25"/>
      <c r="F1093" s="29"/>
      <c r="G1093" s="26"/>
      <c r="H1093" s="26"/>
      <c r="I1093" s="24"/>
      <c r="J1093" s="24"/>
      <c r="K1093" s="24"/>
      <c r="L1093" s="24"/>
      <c r="M1093" s="24"/>
      <c r="N1093" s="25"/>
    </row>
    <row r="1094" spans="2:14" x14ac:dyDescent="0.25">
      <c r="B1094" s="24"/>
      <c r="C1094" s="24"/>
      <c r="D1094" s="24"/>
      <c r="E1094" s="25"/>
      <c r="F1094" s="29"/>
      <c r="G1094" s="26"/>
      <c r="H1094" s="26"/>
      <c r="I1094" s="24"/>
      <c r="J1094" s="24"/>
      <c r="K1094" s="24"/>
      <c r="L1094" s="24"/>
      <c r="M1094" s="24"/>
      <c r="N1094" s="25"/>
    </row>
    <row r="1095" spans="2:14" x14ac:dyDescent="0.25">
      <c r="B1095" s="24"/>
      <c r="C1095" s="24"/>
      <c r="D1095" s="24"/>
      <c r="E1095" s="25"/>
      <c r="F1095" s="29"/>
      <c r="G1095" s="26"/>
      <c r="H1095" s="26"/>
      <c r="I1095" s="24"/>
      <c r="J1095" s="24"/>
      <c r="K1095" s="24"/>
      <c r="L1095" s="24"/>
      <c r="M1095" s="24"/>
      <c r="N1095" s="25"/>
    </row>
    <row r="1096" spans="2:14" x14ac:dyDescent="0.25">
      <c r="B1096" s="24"/>
      <c r="C1096" s="24"/>
      <c r="D1096" s="24"/>
      <c r="E1096" s="25"/>
      <c r="F1096" s="29"/>
      <c r="G1096" s="26"/>
      <c r="H1096" s="26"/>
      <c r="I1096" s="24"/>
      <c r="J1096" s="24"/>
      <c r="K1096" s="24"/>
      <c r="L1096" s="24"/>
      <c r="M1096" s="24"/>
      <c r="N1096" s="25"/>
    </row>
    <row r="1097" spans="2:14" x14ac:dyDescent="0.25">
      <c r="B1097" s="24"/>
      <c r="C1097" s="24"/>
      <c r="D1097" s="24"/>
      <c r="E1097" s="25"/>
      <c r="F1097" s="29"/>
      <c r="G1097" s="26"/>
      <c r="H1097" s="26"/>
      <c r="I1097" s="24"/>
      <c r="J1097" s="24"/>
      <c r="K1097" s="24"/>
      <c r="L1097" s="24"/>
      <c r="M1097" s="24"/>
      <c r="N1097" s="25"/>
    </row>
    <row r="1098" spans="2:14" x14ac:dyDescent="0.25">
      <c r="B1098" s="24"/>
      <c r="C1098" s="24"/>
      <c r="D1098" s="24"/>
      <c r="E1098" s="25"/>
      <c r="F1098" s="29"/>
      <c r="G1098" s="26"/>
      <c r="H1098" s="26"/>
      <c r="I1098" s="24"/>
      <c r="J1098" s="24"/>
      <c r="K1098" s="24"/>
      <c r="L1098" s="24"/>
      <c r="M1098" s="24"/>
      <c r="N1098" s="25"/>
    </row>
    <row r="1099" spans="2:14" x14ac:dyDescent="0.25">
      <c r="B1099" s="24"/>
      <c r="C1099" s="24"/>
      <c r="D1099" s="24"/>
      <c r="E1099" s="25"/>
      <c r="F1099" s="29"/>
      <c r="G1099" s="26"/>
      <c r="H1099" s="26"/>
      <c r="I1099" s="24"/>
      <c r="J1099" s="24"/>
      <c r="K1099" s="24"/>
      <c r="L1099" s="24"/>
      <c r="M1099" s="24"/>
      <c r="N1099" s="25"/>
    </row>
    <row r="1100" spans="2:14" x14ac:dyDescent="0.25">
      <c r="B1100" s="24"/>
      <c r="C1100" s="24"/>
      <c r="D1100" s="24"/>
      <c r="E1100" s="25"/>
      <c r="F1100" s="29"/>
      <c r="G1100" s="26"/>
      <c r="H1100" s="26"/>
      <c r="I1100" s="24"/>
      <c r="J1100" s="24"/>
      <c r="K1100" s="24"/>
      <c r="L1100" s="24"/>
      <c r="M1100" s="24"/>
      <c r="N1100" s="25"/>
    </row>
    <row r="1101" spans="2:14" x14ac:dyDescent="0.25">
      <c r="B1101" s="24"/>
      <c r="C1101" s="24"/>
      <c r="D1101" s="24"/>
      <c r="E1101" s="25"/>
      <c r="F1101" s="29"/>
      <c r="G1101" s="26"/>
      <c r="H1101" s="26"/>
      <c r="I1101" s="24"/>
      <c r="J1101" s="24"/>
      <c r="K1101" s="24"/>
      <c r="L1101" s="24"/>
      <c r="M1101" s="24"/>
      <c r="N1101" s="25"/>
    </row>
    <row r="1102" spans="2:14" x14ac:dyDescent="0.25">
      <c r="B1102" s="24"/>
      <c r="C1102" s="24"/>
      <c r="D1102" s="24"/>
      <c r="E1102" s="25"/>
      <c r="F1102" s="29"/>
      <c r="G1102" s="26"/>
      <c r="H1102" s="26"/>
      <c r="I1102" s="24"/>
      <c r="J1102" s="24"/>
      <c r="K1102" s="24"/>
      <c r="L1102" s="24"/>
      <c r="M1102" s="24"/>
      <c r="N1102" s="25"/>
    </row>
    <row r="1103" spans="2:14" x14ac:dyDescent="0.25">
      <c r="B1103" s="24"/>
      <c r="C1103" s="24"/>
      <c r="D1103" s="24"/>
      <c r="E1103" s="25"/>
      <c r="F1103" s="29"/>
      <c r="G1103" s="26"/>
      <c r="H1103" s="26"/>
      <c r="I1103" s="24"/>
      <c r="J1103" s="24"/>
      <c r="K1103" s="24"/>
      <c r="L1103" s="24"/>
      <c r="M1103" s="24"/>
      <c r="N1103" s="25"/>
    </row>
    <row r="1104" spans="2:14" x14ac:dyDescent="0.25">
      <c r="B1104" s="24"/>
      <c r="C1104" s="24"/>
      <c r="D1104" s="24"/>
      <c r="E1104" s="25"/>
      <c r="F1104" s="29"/>
      <c r="G1104" s="26"/>
      <c r="H1104" s="26"/>
      <c r="I1104" s="24"/>
      <c r="J1104" s="24"/>
      <c r="K1104" s="24"/>
      <c r="L1104" s="24"/>
      <c r="M1104" s="24"/>
      <c r="N1104" s="25"/>
    </row>
    <row r="1105" spans="2:14" x14ac:dyDescent="0.25">
      <c r="B1105" s="24"/>
      <c r="C1105" s="24"/>
      <c r="D1105" s="24"/>
      <c r="E1105" s="25"/>
      <c r="F1105" s="29"/>
      <c r="G1105" s="26"/>
      <c r="H1105" s="26"/>
      <c r="I1105" s="24"/>
      <c r="J1105" s="24"/>
      <c r="K1105" s="24"/>
      <c r="L1105" s="24"/>
      <c r="M1105" s="24"/>
      <c r="N1105" s="25"/>
    </row>
    <row r="1106" spans="2:14" x14ac:dyDescent="0.25">
      <c r="B1106" s="24"/>
      <c r="C1106" s="24"/>
      <c r="D1106" s="24"/>
      <c r="E1106" s="25"/>
      <c r="F1106" s="29"/>
      <c r="G1106" s="26"/>
      <c r="H1106" s="26"/>
      <c r="I1106" s="24"/>
      <c r="J1106" s="24"/>
      <c r="K1106" s="24"/>
      <c r="L1106" s="24"/>
      <c r="M1106" s="24"/>
      <c r="N1106" s="25"/>
    </row>
    <row r="1107" spans="2:14" x14ac:dyDescent="0.25">
      <c r="B1107" s="24"/>
      <c r="C1107" s="24"/>
      <c r="D1107" s="24"/>
      <c r="E1107" s="25"/>
      <c r="F1107" s="29"/>
      <c r="G1107" s="26"/>
      <c r="H1107" s="26"/>
      <c r="I1107" s="24"/>
      <c r="J1107" s="24"/>
      <c r="K1107" s="24"/>
      <c r="L1107" s="24"/>
      <c r="M1107" s="24"/>
      <c r="N1107" s="25"/>
    </row>
    <row r="1108" spans="2:14" x14ac:dyDescent="0.25">
      <c r="B1108" s="24"/>
      <c r="C1108" s="24"/>
      <c r="D1108" s="24"/>
      <c r="E1108" s="25"/>
      <c r="F1108" s="29"/>
      <c r="G1108" s="26"/>
      <c r="H1108" s="26"/>
      <c r="I1108" s="24"/>
      <c r="J1108" s="24"/>
      <c r="K1108" s="24"/>
      <c r="L1108" s="24"/>
      <c r="M1108" s="24"/>
      <c r="N1108" s="25"/>
    </row>
    <row r="1109" spans="2:14" x14ac:dyDescent="0.25">
      <c r="B1109" s="24"/>
      <c r="C1109" s="24"/>
      <c r="D1109" s="24"/>
      <c r="E1109" s="25"/>
      <c r="F1109" s="29"/>
      <c r="G1109" s="26"/>
      <c r="H1109" s="26"/>
      <c r="I1109" s="24"/>
      <c r="J1109" s="24"/>
      <c r="K1109" s="24"/>
      <c r="L1109" s="24"/>
      <c r="M1109" s="24"/>
      <c r="N1109" s="25"/>
    </row>
    <row r="1110" spans="2:14" x14ac:dyDescent="0.25">
      <c r="B1110" s="24"/>
      <c r="C1110" s="24"/>
      <c r="D1110" s="24"/>
      <c r="E1110" s="25"/>
      <c r="F1110" s="29"/>
      <c r="G1110" s="26"/>
      <c r="H1110" s="26"/>
      <c r="I1110" s="24"/>
      <c r="J1110" s="24"/>
      <c r="K1110" s="24"/>
      <c r="L1110" s="24"/>
      <c r="M1110" s="24"/>
      <c r="N1110" s="25"/>
    </row>
    <row r="1111" spans="2:14" x14ac:dyDescent="0.25">
      <c r="B1111" s="24"/>
      <c r="C1111" s="24"/>
      <c r="D1111" s="24"/>
      <c r="E1111" s="25"/>
      <c r="F1111" s="29"/>
      <c r="G1111" s="26"/>
      <c r="H1111" s="26"/>
      <c r="I1111" s="24"/>
      <c r="J1111" s="24"/>
      <c r="K1111" s="24"/>
      <c r="L1111" s="24"/>
      <c r="M1111" s="24"/>
      <c r="N1111" s="25"/>
    </row>
    <row r="1112" spans="2:14" x14ac:dyDescent="0.25">
      <c r="B1112" s="24"/>
      <c r="C1112" s="24"/>
      <c r="D1112" s="24"/>
      <c r="E1112" s="25"/>
      <c r="F1112" s="29"/>
      <c r="G1112" s="26"/>
      <c r="H1112" s="26"/>
      <c r="I1112" s="24"/>
      <c r="J1112" s="24"/>
      <c r="K1112" s="24"/>
      <c r="L1112" s="24"/>
      <c r="M1112" s="24"/>
      <c r="N1112" s="25"/>
    </row>
    <row r="1113" spans="2:14" x14ac:dyDescent="0.25">
      <c r="B1113" s="24"/>
      <c r="C1113" s="24"/>
      <c r="D1113" s="24"/>
      <c r="E1113" s="25"/>
      <c r="F1113" s="29"/>
      <c r="G1113" s="26"/>
      <c r="H1113" s="26"/>
      <c r="I1113" s="24"/>
      <c r="J1113" s="24"/>
      <c r="K1113" s="24"/>
      <c r="L1113" s="24"/>
      <c r="M1113" s="24"/>
      <c r="N1113" s="25"/>
    </row>
    <row r="1114" spans="2:14" x14ac:dyDescent="0.25">
      <c r="B1114" s="24"/>
      <c r="C1114" s="24"/>
      <c r="D1114" s="24"/>
      <c r="E1114" s="25"/>
      <c r="F1114" s="29"/>
      <c r="G1114" s="26"/>
      <c r="H1114" s="26"/>
      <c r="I1114" s="24"/>
      <c r="J1114" s="24"/>
      <c r="K1114" s="24"/>
      <c r="L1114" s="24"/>
      <c r="M1114" s="24"/>
      <c r="N1114" s="25"/>
    </row>
    <row r="1115" spans="2:14" x14ac:dyDescent="0.25">
      <c r="B1115" s="24"/>
      <c r="C1115" s="24"/>
      <c r="D1115" s="24"/>
      <c r="E1115" s="25"/>
      <c r="F1115" s="29"/>
      <c r="G1115" s="26"/>
      <c r="H1115" s="26"/>
      <c r="I1115" s="24"/>
      <c r="J1115" s="24"/>
      <c r="K1115" s="24"/>
      <c r="L1115" s="24"/>
      <c r="M1115" s="24"/>
      <c r="N1115" s="25"/>
    </row>
    <row r="1116" spans="2:14" x14ac:dyDescent="0.25">
      <c r="B1116" s="24"/>
      <c r="C1116" s="24"/>
      <c r="D1116" s="24"/>
      <c r="E1116" s="25"/>
      <c r="F1116" s="29"/>
      <c r="G1116" s="26"/>
      <c r="H1116" s="26"/>
      <c r="I1116" s="24"/>
      <c r="J1116" s="24"/>
      <c r="K1116" s="24"/>
      <c r="L1116" s="24"/>
      <c r="M1116" s="24"/>
      <c r="N1116" s="25"/>
    </row>
    <row r="1117" spans="2:14" x14ac:dyDescent="0.25">
      <c r="B1117" s="24"/>
      <c r="C1117" s="24"/>
      <c r="D1117" s="24"/>
      <c r="E1117" s="25"/>
      <c r="F1117" s="29"/>
      <c r="G1117" s="26"/>
      <c r="H1117" s="26"/>
      <c r="I1117" s="24"/>
      <c r="J1117" s="24"/>
      <c r="K1117" s="24"/>
      <c r="L1117" s="24"/>
      <c r="M1117" s="24"/>
      <c r="N1117" s="25"/>
    </row>
    <row r="1118" spans="2:14" x14ac:dyDescent="0.25">
      <c r="B1118" s="24"/>
      <c r="C1118" s="24"/>
      <c r="D1118" s="24"/>
      <c r="E1118" s="25"/>
      <c r="F1118" s="29"/>
      <c r="G1118" s="26"/>
      <c r="H1118" s="26"/>
      <c r="I1118" s="24"/>
      <c r="J1118" s="24"/>
      <c r="K1118" s="24"/>
      <c r="L1118" s="24"/>
      <c r="M1118" s="24"/>
      <c r="N1118" s="25"/>
    </row>
    <row r="1119" spans="2:14" x14ac:dyDescent="0.25">
      <c r="B1119" s="24"/>
      <c r="C1119" s="24"/>
      <c r="D1119" s="24"/>
      <c r="E1119" s="25"/>
      <c r="F1119" s="29"/>
      <c r="G1119" s="26"/>
      <c r="H1119" s="26"/>
      <c r="I1119" s="24"/>
      <c r="J1119" s="24"/>
      <c r="K1119" s="24"/>
      <c r="L1119" s="24"/>
      <c r="M1119" s="24"/>
      <c r="N1119" s="25"/>
    </row>
    <row r="1120" spans="2:14" x14ac:dyDescent="0.25">
      <c r="B1120" s="24"/>
      <c r="C1120" s="24"/>
      <c r="D1120" s="24"/>
      <c r="E1120" s="25"/>
      <c r="F1120" s="29"/>
      <c r="G1120" s="26"/>
      <c r="H1120" s="26"/>
      <c r="I1120" s="24"/>
      <c r="J1120" s="24"/>
      <c r="K1120" s="24"/>
      <c r="L1120" s="24"/>
      <c r="M1120" s="24"/>
      <c r="N1120" s="25"/>
    </row>
    <row r="1121" spans="2:14" x14ac:dyDescent="0.25">
      <c r="B1121" s="24"/>
      <c r="C1121" s="24"/>
      <c r="D1121" s="24"/>
      <c r="E1121" s="25"/>
      <c r="F1121" s="29"/>
      <c r="G1121" s="26"/>
      <c r="H1121" s="26"/>
      <c r="I1121" s="24"/>
      <c r="J1121" s="24"/>
      <c r="K1121" s="24"/>
      <c r="L1121" s="24"/>
      <c r="M1121" s="24"/>
      <c r="N1121" s="25"/>
    </row>
    <row r="1122" spans="2:14" x14ac:dyDescent="0.25">
      <c r="B1122" s="24"/>
      <c r="C1122" s="24"/>
      <c r="D1122" s="24"/>
      <c r="E1122" s="25"/>
      <c r="F1122" s="29"/>
      <c r="G1122" s="26"/>
      <c r="H1122" s="26"/>
      <c r="I1122" s="24"/>
      <c r="J1122" s="24"/>
      <c r="K1122" s="24"/>
      <c r="L1122" s="24"/>
      <c r="M1122" s="24"/>
      <c r="N1122" s="25"/>
    </row>
    <row r="1123" spans="2:14" x14ac:dyDescent="0.25">
      <c r="B1123" s="24"/>
      <c r="C1123" s="24"/>
      <c r="D1123" s="24"/>
      <c r="E1123" s="25"/>
      <c r="F1123" s="29"/>
      <c r="G1123" s="26"/>
      <c r="H1123" s="26"/>
      <c r="I1123" s="24"/>
      <c r="J1123" s="24"/>
      <c r="K1123" s="24"/>
      <c r="L1123" s="24"/>
      <c r="M1123" s="24"/>
      <c r="N1123" s="25"/>
    </row>
    <row r="1124" spans="2:14" x14ac:dyDescent="0.25">
      <c r="B1124" s="24"/>
      <c r="C1124" s="24"/>
      <c r="D1124" s="24"/>
      <c r="E1124" s="25"/>
      <c r="F1124" s="29"/>
      <c r="G1124" s="26"/>
      <c r="H1124" s="26"/>
      <c r="I1124" s="24"/>
      <c r="J1124" s="24"/>
      <c r="K1124" s="24"/>
      <c r="L1124" s="24"/>
      <c r="M1124" s="24"/>
      <c r="N1124" s="25"/>
    </row>
    <row r="1125" spans="2:14" x14ac:dyDescent="0.25">
      <c r="B1125" s="24"/>
      <c r="C1125" s="24"/>
      <c r="D1125" s="24"/>
      <c r="E1125" s="25"/>
      <c r="F1125" s="29"/>
      <c r="G1125" s="26"/>
      <c r="H1125" s="26"/>
      <c r="I1125" s="24"/>
      <c r="J1125" s="24"/>
      <c r="K1125" s="24"/>
      <c r="L1125" s="24"/>
      <c r="M1125" s="24"/>
      <c r="N1125" s="25"/>
    </row>
    <row r="1126" spans="2:14" x14ac:dyDescent="0.25">
      <c r="B1126" s="24"/>
      <c r="C1126" s="24"/>
      <c r="D1126" s="24"/>
      <c r="E1126" s="25"/>
      <c r="F1126" s="29"/>
      <c r="G1126" s="26"/>
      <c r="H1126" s="26"/>
      <c r="I1126" s="24"/>
      <c r="J1126" s="24"/>
      <c r="K1126" s="24"/>
      <c r="L1126" s="24"/>
      <c r="M1126" s="24"/>
      <c r="N1126" s="25"/>
    </row>
    <row r="1127" spans="2:14" x14ac:dyDescent="0.25">
      <c r="B1127" s="24"/>
      <c r="C1127" s="24"/>
      <c r="D1127" s="24"/>
      <c r="E1127" s="25"/>
      <c r="F1127" s="29"/>
      <c r="G1127" s="26"/>
      <c r="H1127" s="26"/>
      <c r="I1127" s="24"/>
      <c r="J1127" s="24"/>
      <c r="K1127" s="24"/>
      <c r="L1127" s="24"/>
      <c r="M1127" s="24"/>
      <c r="N1127" s="25"/>
    </row>
    <row r="1128" spans="2:14" x14ac:dyDescent="0.25">
      <c r="B1128" s="24"/>
      <c r="C1128" s="24"/>
      <c r="D1128" s="24"/>
      <c r="E1128" s="25"/>
      <c r="F1128" s="29"/>
      <c r="G1128" s="26"/>
      <c r="H1128" s="26"/>
      <c r="I1128" s="24"/>
      <c r="J1128" s="24"/>
      <c r="K1128" s="24"/>
      <c r="L1128" s="24"/>
      <c r="M1128" s="24"/>
      <c r="N1128" s="25"/>
    </row>
    <row r="1129" spans="2:14" x14ac:dyDescent="0.25">
      <c r="B1129" s="24"/>
      <c r="C1129" s="24"/>
      <c r="D1129" s="24"/>
      <c r="E1129" s="25"/>
      <c r="F1129" s="29"/>
      <c r="G1129" s="26"/>
      <c r="H1129" s="26"/>
      <c r="I1129" s="24"/>
      <c r="J1129" s="24"/>
      <c r="K1129" s="24"/>
      <c r="L1129" s="24"/>
      <c r="M1129" s="24"/>
      <c r="N1129" s="25"/>
    </row>
    <row r="1130" spans="2:14" x14ac:dyDescent="0.25">
      <c r="B1130" s="24"/>
      <c r="C1130" s="24"/>
      <c r="D1130" s="24"/>
      <c r="E1130" s="25"/>
      <c r="F1130" s="29"/>
      <c r="G1130" s="26"/>
      <c r="H1130" s="26"/>
      <c r="I1130" s="24"/>
      <c r="J1130" s="24"/>
      <c r="K1130" s="24"/>
      <c r="L1130" s="24"/>
      <c r="M1130" s="24"/>
      <c r="N1130" s="25"/>
    </row>
    <row r="1131" spans="2:14" x14ac:dyDescent="0.25">
      <c r="B1131" s="24"/>
      <c r="C1131" s="24"/>
      <c r="D1131" s="24"/>
      <c r="E1131" s="25"/>
      <c r="F1131" s="29"/>
      <c r="G1131" s="26"/>
      <c r="H1131" s="26"/>
      <c r="I1131" s="24"/>
      <c r="J1131" s="24"/>
      <c r="K1131" s="24"/>
      <c r="L1131" s="24"/>
      <c r="M1131" s="24"/>
      <c r="N1131" s="25"/>
    </row>
    <row r="1132" spans="2:14" x14ac:dyDescent="0.25">
      <c r="B1132" s="24"/>
      <c r="C1132" s="24"/>
      <c r="D1132" s="24"/>
      <c r="E1132" s="25"/>
      <c r="F1132" s="29"/>
      <c r="G1132" s="26"/>
      <c r="H1132" s="26"/>
      <c r="I1132" s="24"/>
      <c r="J1132" s="24"/>
      <c r="K1132" s="24"/>
      <c r="L1132" s="24"/>
      <c r="M1132" s="24"/>
      <c r="N1132" s="25"/>
    </row>
    <row r="1133" spans="2:14" x14ac:dyDescent="0.25">
      <c r="B1133" s="24"/>
      <c r="C1133" s="24"/>
      <c r="D1133" s="24"/>
      <c r="E1133" s="25"/>
      <c r="F1133" s="29"/>
      <c r="G1133" s="26"/>
      <c r="H1133" s="26"/>
      <c r="I1133" s="24"/>
      <c r="J1133" s="24"/>
      <c r="K1133" s="24"/>
      <c r="L1133" s="24"/>
      <c r="M1133" s="24"/>
      <c r="N1133" s="25"/>
    </row>
    <row r="1134" spans="2:14" x14ac:dyDescent="0.25">
      <c r="B1134" s="24"/>
      <c r="C1134" s="24"/>
      <c r="D1134" s="24"/>
      <c r="E1134" s="25"/>
      <c r="F1134" s="29"/>
      <c r="G1134" s="26"/>
      <c r="H1134" s="26"/>
      <c r="I1134" s="24"/>
      <c r="J1134" s="24"/>
      <c r="K1134" s="24"/>
      <c r="L1134" s="24"/>
      <c r="M1134" s="24"/>
      <c r="N1134" s="25"/>
    </row>
    <row r="1135" spans="2:14" x14ac:dyDescent="0.25">
      <c r="B1135" s="24"/>
      <c r="C1135" s="24"/>
      <c r="D1135" s="24"/>
      <c r="E1135" s="25"/>
      <c r="F1135" s="29"/>
      <c r="G1135" s="26"/>
      <c r="H1135" s="26"/>
      <c r="I1135" s="24"/>
      <c r="J1135" s="24"/>
      <c r="K1135" s="24"/>
      <c r="L1135" s="24"/>
      <c r="M1135" s="24"/>
      <c r="N1135" s="25"/>
    </row>
    <row r="1136" spans="2:14" x14ac:dyDescent="0.25">
      <c r="B1136" s="24"/>
      <c r="C1136" s="24"/>
      <c r="D1136" s="24"/>
      <c r="E1136" s="25"/>
      <c r="F1136" s="29"/>
      <c r="G1136" s="26"/>
      <c r="H1136" s="26"/>
      <c r="I1136" s="24"/>
      <c r="J1136" s="24"/>
      <c r="K1136" s="24"/>
      <c r="L1136" s="24"/>
      <c r="M1136" s="24"/>
      <c r="N1136" s="25"/>
    </row>
    <row r="1137" spans="2:14" x14ac:dyDescent="0.25">
      <c r="B1137" s="24"/>
      <c r="C1137" s="24"/>
      <c r="D1137" s="24"/>
      <c r="E1137" s="25"/>
      <c r="F1137" s="29"/>
      <c r="G1137" s="26"/>
      <c r="H1137" s="26"/>
      <c r="I1137" s="24"/>
      <c r="J1137" s="24"/>
      <c r="K1137" s="24"/>
      <c r="L1137" s="24"/>
      <c r="M1137" s="24"/>
      <c r="N1137" s="25"/>
    </row>
    <row r="1138" spans="2:14" x14ac:dyDescent="0.25">
      <c r="B1138" s="24"/>
      <c r="C1138" s="24"/>
      <c r="D1138" s="24"/>
      <c r="E1138" s="25"/>
      <c r="F1138" s="29"/>
      <c r="G1138" s="26"/>
      <c r="H1138" s="26"/>
      <c r="I1138" s="24"/>
      <c r="J1138" s="24"/>
      <c r="K1138" s="24"/>
      <c r="L1138" s="24"/>
      <c r="M1138" s="24"/>
      <c r="N1138" s="25"/>
    </row>
    <row r="1139" spans="2:14" x14ac:dyDescent="0.25">
      <c r="B1139" s="24"/>
      <c r="C1139" s="24"/>
      <c r="D1139" s="24"/>
      <c r="E1139" s="25"/>
      <c r="F1139" s="29"/>
      <c r="G1139" s="26"/>
      <c r="H1139" s="26"/>
      <c r="I1139" s="24"/>
      <c r="J1139" s="24"/>
      <c r="K1139" s="24"/>
      <c r="L1139" s="24"/>
      <c r="M1139" s="24"/>
      <c r="N1139" s="25"/>
    </row>
    <row r="1140" spans="2:14" x14ac:dyDescent="0.25">
      <c r="B1140" s="24"/>
      <c r="C1140" s="24"/>
      <c r="D1140" s="24"/>
      <c r="E1140" s="25"/>
      <c r="F1140" s="29"/>
      <c r="G1140" s="26"/>
      <c r="H1140" s="26"/>
      <c r="I1140" s="24"/>
      <c r="J1140" s="24"/>
      <c r="K1140" s="24"/>
      <c r="L1140" s="24"/>
      <c r="M1140" s="24"/>
      <c r="N1140" s="25"/>
    </row>
    <row r="1141" spans="2:14" x14ac:dyDescent="0.25">
      <c r="B1141" s="24"/>
      <c r="C1141" s="24"/>
      <c r="D1141" s="24"/>
      <c r="E1141" s="25"/>
      <c r="F1141" s="29"/>
      <c r="G1141" s="26"/>
      <c r="H1141" s="26"/>
      <c r="I1141" s="24"/>
      <c r="J1141" s="24"/>
      <c r="K1141" s="24"/>
      <c r="L1141" s="24"/>
      <c r="M1141" s="24"/>
      <c r="N1141" s="25"/>
    </row>
    <row r="1142" spans="2:14" x14ac:dyDescent="0.25">
      <c r="B1142" s="24"/>
      <c r="C1142" s="24"/>
      <c r="D1142" s="24"/>
      <c r="E1142" s="25"/>
      <c r="F1142" s="29"/>
      <c r="G1142" s="26"/>
      <c r="H1142" s="26"/>
      <c r="I1142" s="24"/>
      <c r="J1142" s="24"/>
      <c r="K1142" s="24"/>
      <c r="L1142" s="24"/>
      <c r="M1142" s="24"/>
      <c r="N1142" s="25"/>
    </row>
    <row r="1143" spans="2:14" x14ac:dyDescent="0.25">
      <c r="B1143" s="24"/>
      <c r="C1143" s="24"/>
      <c r="D1143" s="24"/>
      <c r="E1143" s="25"/>
      <c r="F1143" s="29"/>
      <c r="G1143" s="26"/>
      <c r="H1143" s="26"/>
      <c r="I1143" s="24"/>
      <c r="J1143" s="24"/>
      <c r="K1143" s="24"/>
      <c r="L1143" s="24"/>
      <c r="M1143" s="24"/>
      <c r="N1143" s="25"/>
    </row>
    <row r="1144" spans="2:14" x14ac:dyDescent="0.25">
      <c r="B1144" s="24"/>
      <c r="C1144" s="24"/>
      <c r="D1144" s="24"/>
      <c r="E1144" s="25"/>
      <c r="F1144" s="29"/>
      <c r="G1144" s="26"/>
      <c r="H1144" s="26"/>
      <c r="I1144" s="24"/>
      <c r="J1144" s="24"/>
      <c r="K1144" s="24"/>
      <c r="L1144" s="24"/>
      <c r="M1144" s="24"/>
      <c r="N1144" s="25"/>
    </row>
    <row r="1145" spans="2:14" x14ac:dyDescent="0.25">
      <c r="B1145" s="24"/>
      <c r="C1145" s="24"/>
      <c r="D1145" s="24"/>
      <c r="E1145" s="25"/>
      <c r="F1145" s="29"/>
      <c r="G1145" s="26"/>
      <c r="H1145" s="26"/>
      <c r="I1145" s="24"/>
      <c r="J1145" s="24"/>
      <c r="K1145" s="24"/>
      <c r="L1145" s="24"/>
      <c r="M1145" s="24"/>
      <c r="N1145" s="25"/>
    </row>
    <row r="1146" spans="2:14" x14ac:dyDescent="0.25">
      <c r="B1146" s="24"/>
      <c r="C1146" s="24"/>
      <c r="D1146" s="24"/>
      <c r="E1146" s="25"/>
      <c r="F1146" s="29"/>
      <c r="G1146" s="26"/>
      <c r="H1146" s="26"/>
      <c r="I1146" s="24"/>
      <c r="J1146" s="24"/>
      <c r="K1146" s="24"/>
      <c r="L1146" s="24"/>
      <c r="M1146" s="24"/>
      <c r="N1146" s="25"/>
    </row>
    <row r="1147" spans="2:14" x14ac:dyDescent="0.25">
      <c r="B1147" s="24"/>
      <c r="C1147" s="24"/>
      <c r="D1147" s="24"/>
      <c r="E1147" s="25"/>
      <c r="F1147" s="29"/>
      <c r="G1147" s="26"/>
      <c r="H1147" s="26"/>
      <c r="I1147" s="24"/>
      <c r="J1147" s="24"/>
      <c r="K1147" s="24"/>
      <c r="L1147" s="24"/>
      <c r="M1147" s="24"/>
      <c r="N1147" s="25"/>
    </row>
    <row r="1148" spans="2:14" x14ac:dyDescent="0.25">
      <c r="B1148" s="24"/>
      <c r="C1148" s="24"/>
      <c r="D1148" s="24"/>
      <c r="E1148" s="25"/>
      <c r="F1148" s="29"/>
      <c r="G1148" s="26"/>
      <c r="H1148" s="26"/>
      <c r="I1148" s="24"/>
      <c r="J1148" s="24"/>
      <c r="K1148" s="24"/>
      <c r="L1148" s="24"/>
      <c r="M1148" s="24"/>
      <c r="N1148" s="25"/>
    </row>
    <row r="1149" spans="2:14" x14ac:dyDescent="0.25">
      <c r="B1149" s="24"/>
      <c r="C1149" s="24"/>
      <c r="D1149" s="24"/>
      <c r="E1149" s="25"/>
      <c r="F1149" s="29"/>
      <c r="G1149" s="26"/>
      <c r="H1149" s="26"/>
      <c r="I1149" s="24"/>
      <c r="J1149" s="24"/>
      <c r="K1149" s="24"/>
      <c r="L1149" s="24"/>
      <c r="M1149" s="24"/>
      <c r="N1149" s="25"/>
    </row>
    <row r="1150" spans="2:14" x14ac:dyDescent="0.25">
      <c r="B1150" s="24"/>
      <c r="C1150" s="24"/>
      <c r="D1150" s="24"/>
      <c r="E1150" s="25"/>
      <c r="F1150" s="29"/>
      <c r="G1150" s="26"/>
      <c r="H1150" s="26"/>
      <c r="I1150" s="24"/>
      <c r="J1150" s="24"/>
      <c r="K1150" s="24"/>
      <c r="L1150" s="24"/>
      <c r="M1150" s="24"/>
      <c r="N1150" s="25"/>
    </row>
    <row r="1151" spans="2:14" x14ac:dyDescent="0.25">
      <c r="B1151" s="24"/>
      <c r="C1151" s="24"/>
      <c r="D1151" s="24"/>
      <c r="E1151" s="25"/>
      <c r="F1151" s="29"/>
      <c r="G1151" s="26"/>
      <c r="H1151" s="26"/>
      <c r="I1151" s="24"/>
      <c r="J1151" s="24"/>
      <c r="K1151" s="24"/>
      <c r="L1151" s="24"/>
      <c r="M1151" s="24"/>
      <c r="N1151" s="25"/>
    </row>
    <row r="1152" spans="2:14" x14ac:dyDescent="0.25">
      <c r="B1152" s="24"/>
      <c r="C1152" s="24"/>
      <c r="D1152" s="24"/>
      <c r="E1152" s="25"/>
      <c r="F1152" s="29"/>
      <c r="G1152" s="26"/>
      <c r="H1152" s="26"/>
      <c r="I1152" s="24"/>
      <c r="J1152" s="24"/>
      <c r="K1152" s="24"/>
      <c r="L1152" s="24"/>
      <c r="M1152" s="24"/>
      <c r="N1152" s="25"/>
    </row>
    <row r="1153" spans="2:14" x14ac:dyDescent="0.25">
      <c r="B1153" s="24"/>
      <c r="C1153" s="24"/>
      <c r="D1153" s="24"/>
      <c r="E1153" s="25"/>
      <c r="F1153" s="29"/>
      <c r="G1153" s="26"/>
      <c r="H1153" s="26"/>
      <c r="I1153" s="24"/>
      <c r="J1153" s="24"/>
      <c r="K1153" s="24"/>
      <c r="L1153" s="24"/>
      <c r="M1153" s="24"/>
      <c r="N1153" s="25"/>
    </row>
    <row r="1154" spans="2:14" x14ac:dyDescent="0.25">
      <c r="B1154" s="24"/>
      <c r="C1154" s="24"/>
      <c r="D1154" s="24"/>
      <c r="E1154" s="25"/>
      <c r="F1154" s="29"/>
      <c r="G1154" s="26"/>
      <c r="H1154" s="26"/>
      <c r="I1154" s="24"/>
      <c r="J1154" s="24"/>
      <c r="K1154" s="24"/>
      <c r="L1154" s="24"/>
      <c r="M1154" s="24"/>
      <c r="N1154" s="25"/>
    </row>
    <row r="1155" spans="2:14" x14ac:dyDescent="0.25">
      <c r="B1155" s="24"/>
      <c r="C1155" s="24"/>
      <c r="D1155" s="24"/>
      <c r="E1155" s="25"/>
      <c r="F1155" s="29"/>
      <c r="G1155" s="26"/>
      <c r="H1155" s="26"/>
      <c r="I1155" s="24"/>
      <c r="J1155" s="24"/>
      <c r="K1155" s="24"/>
      <c r="L1155" s="24"/>
      <c r="M1155" s="24"/>
      <c r="N1155" s="25"/>
    </row>
    <row r="1156" spans="2:14" x14ac:dyDescent="0.25">
      <c r="B1156" s="24"/>
      <c r="C1156" s="24"/>
      <c r="D1156" s="24"/>
      <c r="E1156" s="25"/>
      <c r="F1156" s="29"/>
      <c r="G1156" s="26"/>
      <c r="H1156" s="26"/>
      <c r="I1156" s="24"/>
      <c r="J1156" s="24"/>
      <c r="K1156" s="24"/>
      <c r="L1156" s="24"/>
      <c r="M1156" s="24"/>
      <c r="N1156" s="25"/>
    </row>
    <row r="1157" spans="2:14" x14ac:dyDescent="0.25">
      <c r="B1157" s="24"/>
      <c r="C1157" s="24"/>
      <c r="D1157" s="24"/>
      <c r="E1157" s="25"/>
      <c r="F1157" s="29"/>
      <c r="G1157" s="26"/>
      <c r="H1157" s="26"/>
      <c r="I1157" s="24"/>
      <c r="J1157" s="24"/>
      <c r="K1157" s="24"/>
      <c r="L1157" s="24"/>
      <c r="M1157" s="24"/>
      <c r="N1157" s="25"/>
    </row>
    <row r="1158" spans="2:14" x14ac:dyDescent="0.25">
      <c r="B1158" s="24"/>
      <c r="C1158" s="24"/>
      <c r="D1158" s="24"/>
      <c r="E1158" s="25"/>
      <c r="F1158" s="29"/>
      <c r="G1158" s="26"/>
      <c r="H1158" s="26"/>
      <c r="I1158" s="24"/>
      <c r="J1158" s="24"/>
      <c r="K1158" s="24"/>
      <c r="L1158" s="24"/>
      <c r="M1158" s="24"/>
      <c r="N1158" s="25"/>
    </row>
    <row r="1159" spans="2:14" x14ac:dyDescent="0.25">
      <c r="B1159" s="24"/>
      <c r="C1159" s="24"/>
      <c r="D1159" s="24"/>
      <c r="E1159" s="25"/>
      <c r="F1159" s="29"/>
      <c r="G1159" s="26"/>
      <c r="H1159" s="26"/>
      <c r="I1159" s="24"/>
      <c r="J1159" s="24"/>
      <c r="K1159" s="24"/>
      <c r="L1159" s="24"/>
      <c r="M1159" s="24"/>
      <c r="N1159" s="25"/>
    </row>
    <row r="1160" spans="2:14" x14ac:dyDescent="0.25">
      <c r="B1160" s="24"/>
      <c r="C1160" s="24"/>
      <c r="D1160" s="24"/>
      <c r="E1160" s="25"/>
      <c r="F1160" s="29"/>
      <c r="G1160" s="26"/>
      <c r="H1160" s="26"/>
      <c r="I1160" s="24"/>
      <c r="J1160" s="24"/>
      <c r="K1160" s="24"/>
      <c r="L1160" s="24"/>
      <c r="M1160" s="24"/>
      <c r="N1160" s="25"/>
    </row>
    <row r="1161" spans="2:14" x14ac:dyDescent="0.25">
      <c r="B1161" s="24"/>
      <c r="C1161" s="24"/>
      <c r="D1161" s="24"/>
      <c r="E1161" s="25"/>
      <c r="F1161" s="29"/>
      <c r="G1161" s="26"/>
      <c r="H1161" s="26"/>
      <c r="I1161" s="24"/>
      <c r="J1161" s="24"/>
      <c r="K1161" s="24"/>
      <c r="L1161" s="24"/>
      <c r="M1161" s="24"/>
      <c r="N1161" s="25"/>
    </row>
    <row r="1162" spans="2:14" x14ac:dyDescent="0.25">
      <c r="B1162" s="24"/>
      <c r="C1162" s="24"/>
      <c r="D1162" s="24"/>
      <c r="E1162" s="25"/>
      <c r="F1162" s="29"/>
      <c r="G1162" s="26"/>
      <c r="H1162" s="26"/>
      <c r="I1162" s="24"/>
      <c r="J1162" s="24"/>
      <c r="K1162" s="24"/>
      <c r="L1162" s="24"/>
      <c r="M1162" s="24"/>
      <c r="N1162" s="25"/>
    </row>
    <row r="1163" spans="2:14" x14ac:dyDescent="0.25">
      <c r="B1163" s="24"/>
      <c r="C1163" s="24"/>
      <c r="D1163" s="24"/>
      <c r="E1163" s="25"/>
      <c r="F1163" s="29"/>
      <c r="G1163" s="26"/>
      <c r="H1163" s="26"/>
      <c r="I1163" s="24"/>
      <c r="J1163" s="24"/>
      <c r="K1163" s="24"/>
      <c r="L1163" s="24"/>
      <c r="M1163" s="24"/>
      <c r="N1163" s="25"/>
    </row>
    <row r="1164" spans="2:14" x14ac:dyDescent="0.25">
      <c r="B1164" s="24"/>
      <c r="C1164" s="24"/>
      <c r="D1164" s="24"/>
      <c r="E1164" s="25"/>
      <c r="F1164" s="29"/>
      <c r="G1164" s="26"/>
      <c r="H1164" s="26"/>
      <c r="I1164" s="24"/>
      <c r="J1164" s="24"/>
      <c r="K1164" s="24"/>
      <c r="L1164" s="24"/>
      <c r="M1164" s="24"/>
      <c r="N1164" s="25"/>
    </row>
    <row r="1165" spans="2:14" x14ac:dyDescent="0.25">
      <c r="B1165" s="24"/>
      <c r="C1165" s="24"/>
      <c r="D1165" s="24"/>
      <c r="E1165" s="25"/>
      <c r="F1165" s="29"/>
      <c r="G1165" s="26"/>
      <c r="H1165" s="26"/>
      <c r="I1165" s="24"/>
      <c r="J1165" s="24"/>
      <c r="K1165" s="24"/>
      <c r="L1165" s="24"/>
      <c r="M1165" s="24"/>
      <c r="N1165" s="25"/>
    </row>
    <row r="1166" spans="2:14" x14ac:dyDescent="0.25">
      <c r="B1166" s="24"/>
      <c r="C1166" s="24"/>
      <c r="D1166" s="24"/>
      <c r="E1166" s="25"/>
      <c r="F1166" s="29"/>
      <c r="G1166" s="26"/>
      <c r="H1166" s="26"/>
      <c r="I1166" s="24"/>
      <c r="J1166" s="24"/>
      <c r="K1166" s="24"/>
      <c r="L1166" s="24"/>
      <c r="M1166" s="24"/>
      <c r="N1166" s="25"/>
    </row>
    <row r="1167" spans="2:14" x14ac:dyDescent="0.25">
      <c r="B1167" s="24"/>
      <c r="C1167" s="24"/>
      <c r="D1167" s="24"/>
      <c r="E1167" s="25"/>
      <c r="F1167" s="29"/>
      <c r="G1167" s="26"/>
      <c r="H1167" s="26"/>
      <c r="I1167" s="24"/>
      <c r="J1167" s="24"/>
      <c r="K1167" s="24"/>
      <c r="L1167" s="24"/>
      <c r="M1167" s="24"/>
      <c r="N1167" s="25"/>
    </row>
    <row r="1168" spans="2:14" x14ac:dyDescent="0.25">
      <c r="B1168" s="24"/>
      <c r="C1168" s="24"/>
      <c r="D1168" s="24"/>
      <c r="E1168" s="25"/>
      <c r="F1168" s="29"/>
      <c r="G1168" s="26"/>
      <c r="H1168" s="26"/>
      <c r="I1168" s="24"/>
      <c r="J1168" s="24"/>
      <c r="K1168" s="24"/>
      <c r="L1168" s="24"/>
      <c r="M1168" s="24"/>
      <c r="N1168" s="25"/>
    </row>
    <row r="1169" spans="2:14" x14ac:dyDescent="0.25">
      <c r="B1169" s="24"/>
      <c r="C1169" s="24"/>
      <c r="D1169" s="24"/>
      <c r="E1169" s="25"/>
      <c r="F1169" s="29"/>
      <c r="G1169" s="26"/>
      <c r="H1169" s="26"/>
      <c r="I1169" s="24"/>
      <c r="J1169" s="24"/>
      <c r="K1169" s="24"/>
      <c r="L1169" s="24"/>
      <c r="M1169" s="24"/>
      <c r="N1169" s="25"/>
    </row>
    <row r="1170" spans="2:14" x14ac:dyDescent="0.25">
      <c r="B1170" s="24"/>
      <c r="C1170" s="24"/>
      <c r="D1170" s="24"/>
      <c r="E1170" s="25"/>
      <c r="F1170" s="29"/>
      <c r="G1170" s="26"/>
      <c r="H1170" s="26"/>
      <c r="I1170" s="24"/>
      <c r="J1170" s="24"/>
      <c r="K1170" s="24"/>
      <c r="L1170" s="24"/>
      <c r="M1170" s="24"/>
      <c r="N1170" s="25"/>
    </row>
    <row r="1171" spans="2:14" x14ac:dyDescent="0.25">
      <c r="B1171" s="24"/>
      <c r="C1171" s="24"/>
      <c r="D1171" s="24"/>
      <c r="E1171" s="25"/>
      <c r="F1171" s="29"/>
      <c r="G1171" s="26"/>
      <c r="H1171" s="26"/>
      <c r="I1171" s="24"/>
      <c r="J1171" s="24"/>
      <c r="K1171" s="24"/>
      <c r="L1171" s="24"/>
      <c r="M1171" s="24"/>
      <c r="N1171" s="25"/>
    </row>
    <row r="1172" spans="2:14" x14ac:dyDescent="0.25">
      <c r="B1172" s="24"/>
      <c r="C1172" s="24"/>
      <c r="D1172" s="24"/>
      <c r="E1172" s="25"/>
      <c r="F1172" s="29"/>
      <c r="G1172" s="26"/>
      <c r="H1172" s="26"/>
      <c r="I1172" s="24"/>
      <c r="J1172" s="24"/>
      <c r="K1172" s="24"/>
      <c r="L1172" s="24"/>
      <c r="M1172" s="24"/>
      <c r="N1172" s="25"/>
    </row>
    <row r="1173" spans="2:14" x14ac:dyDescent="0.25">
      <c r="B1173" s="24"/>
      <c r="C1173" s="24"/>
      <c r="D1173" s="24"/>
      <c r="E1173" s="25"/>
      <c r="F1173" s="29"/>
      <c r="G1173" s="26"/>
      <c r="H1173" s="26"/>
      <c r="I1173" s="24"/>
      <c r="J1173" s="24"/>
      <c r="K1173" s="24"/>
      <c r="L1173" s="24"/>
      <c r="M1173" s="24"/>
      <c r="N1173" s="25"/>
    </row>
    <row r="1174" spans="2:14" x14ac:dyDescent="0.25">
      <c r="B1174" s="24"/>
      <c r="C1174" s="24"/>
      <c r="D1174" s="28"/>
      <c r="E1174" s="25"/>
      <c r="F1174" s="29"/>
      <c r="G1174" s="26"/>
      <c r="H1174" s="26"/>
      <c r="I1174" s="24"/>
      <c r="J1174" s="24"/>
      <c r="K1174" s="24"/>
      <c r="L1174" s="24"/>
      <c r="M1174" s="24"/>
      <c r="N1174" s="25"/>
    </row>
    <row r="1175" spans="2:14" x14ac:dyDescent="0.25">
      <c r="B1175" s="24"/>
      <c r="C1175" s="24"/>
      <c r="D1175" s="24"/>
      <c r="E1175" s="25"/>
      <c r="F1175" s="29"/>
      <c r="G1175" s="26"/>
      <c r="H1175" s="26"/>
      <c r="I1175" s="24"/>
      <c r="J1175" s="24"/>
      <c r="K1175" s="24"/>
      <c r="L1175" s="24"/>
      <c r="M1175" s="24"/>
      <c r="N1175" s="25"/>
    </row>
    <row r="1176" spans="2:14" x14ac:dyDescent="0.25">
      <c r="B1176" s="24"/>
      <c r="C1176" s="24"/>
      <c r="D1176" s="24"/>
      <c r="E1176" s="25"/>
      <c r="F1176" s="29"/>
      <c r="G1176" s="26"/>
      <c r="H1176" s="26"/>
      <c r="I1176" s="24"/>
      <c r="J1176" s="24"/>
      <c r="K1176" s="24"/>
      <c r="L1176" s="24"/>
      <c r="M1176" s="24"/>
      <c r="N1176" s="25"/>
    </row>
    <row r="1177" spans="2:14" x14ac:dyDescent="0.25">
      <c r="B1177" s="24"/>
      <c r="C1177" s="24"/>
      <c r="D1177" s="24"/>
      <c r="E1177" s="25"/>
      <c r="F1177" s="29"/>
      <c r="G1177" s="26"/>
      <c r="H1177" s="26"/>
      <c r="I1177" s="24"/>
      <c r="J1177" s="24"/>
      <c r="K1177" s="24"/>
      <c r="L1177" s="24"/>
      <c r="M1177" s="24"/>
      <c r="N1177" s="25"/>
    </row>
    <row r="1178" spans="2:14" x14ac:dyDescent="0.25">
      <c r="B1178" s="24"/>
      <c r="C1178" s="24"/>
      <c r="D1178" s="24"/>
      <c r="E1178" s="25"/>
      <c r="F1178" s="29"/>
      <c r="G1178" s="26"/>
      <c r="H1178" s="26"/>
      <c r="I1178" s="24"/>
      <c r="J1178" s="24"/>
      <c r="K1178" s="24"/>
      <c r="L1178" s="24"/>
      <c r="M1178" s="24"/>
      <c r="N1178" s="25"/>
    </row>
    <row r="1179" spans="2:14" x14ac:dyDescent="0.25">
      <c r="B1179" s="24"/>
      <c r="C1179" s="24"/>
      <c r="D1179" s="24"/>
      <c r="E1179" s="25"/>
      <c r="F1179" s="29"/>
      <c r="G1179" s="26"/>
      <c r="H1179" s="26"/>
      <c r="I1179" s="24"/>
      <c r="J1179" s="24"/>
      <c r="K1179" s="24"/>
      <c r="L1179" s="24"/>
      <c r="M1179" s="24"/>
      <c r="N1179" s="25"/>
    </row>
    <row r="1180" spans="2:14" x14ac:dyDescent="0.25">
      <c r="B1180" s="24"/>
      <c r="C1180" s="24"/>
      <c r="D1180" s="24"/>
      <c r="E1180" s="25"/>
      <c r="F1180" s="29"/>
      <c r="G1180" s="26"/>
      <c r="H1180" s="26"/>
      <c r="I1180" s="24"/>
      <c r="J1180" s="24"/>
      <c r="K1180" s="24"/>
      <c r="L1180" s="24"/>
      <c r="M1180" s="24"/>
      <c r="N1180" s="25"/>
    </row>
    <row r="1181" spans="2:14" x14ac:dyDescent="0.25">
      <c r="B1181" s="24"/>
      <c r="C1181" s="24"/>
      <c r="D1181" s="24"/>
      <c r="E1181" s="25"/>
      <c r="F1181" s="29"/>
      <c r="G1181" s="26"/>
      <c r="H1181" s="26"/>
      <c r="I1181" s="24"/>
      <c r="J1181" s="24"/>
      <c r="K1181" s="24"/>
      <c r="L1181" s="24"/>
      <c r="M1181" s="24"/>
      <c r="N1181" s="25"/>
    </row>
    <row r="1182" spans="2:14" x14ac:dyDescent="0.25">
      <c r="B1182" s="24"/>
      <c r="C1182" s="24"/>
      <c r="D1182" s="24"/>
      <c r="E1182" s="25"/>
      <c r="F1182" s="29"/>
      <c r="G1182" s="26"/>
      <c r="H1182" s="26"/>
      <c r="I1182" s="24"/>
      <c r="J1182" s="24"/>
      <c r="K1182" s="24"/>
      <c r="L1182" s="24"/>
      <c r="M1182" s="24"/>
      <c r="N1182" s="25"/>
    </row>
    <row r="1183" spans="2:14" x14ac:dyDescent="0.25">
      <c r="B1183" s="24"/>
      <c r="C1183" s="24"/>
      <c r="D1183" s="24"/>
      <c r="E1183" s="25"/>
      <c r="F1183" s="29"/>
      <c r="G1183" s="26"/>
      <c r="H1183" s="26"/>
      <c r="I1183" s="24"/>
      <c r="J1183" s="24"/>
      <c r="K1183" s="24"/>
      <c r="L1183" s="24"/>
      <c r="M1183" s="24"/>
      <c r="N1183" s="25"/>
    </row>
    <row r="1184" spans="2:14" x14ac:dyDescent="0.25">
      <c r="B1184" s="24"/>
      <c r="C1184" s="24"/>
      <c r="D1184" s="24"/>
      <c r="E1184" s="25"/>
      <c r="F1184" s="29"/>
      <c r="G1184" s="26"/>
      <c r="H1184" s="26"/>
      <c r="I1184" s="24"/>
      <c r="J1184" s="24"/>
      <c r="K1184" s="24"/>
      <c r="L1184" s="24"/>
      <c r="M1184" s="24"/>
      <c r="N1184" s="25"/>
    </row>
    <row r="1185" spans="2:14" x14ac:dyDescent="0.25">
      <c r="B1185" s="24"/>
      <c r="C1185" s="24"/>
      <c r="D1185" s="24"/>
      <c r="E1185" s="25"/>
      <c r="F1185" s="29"/>
      <c r="G1185" s="26"/>
      <c r="H1185" s="26"/>
      <c r="I1185" s="24"/>
      <c r="J1185" s="24"/>
      <c r="K1185" s="24"/>
      <c r="L1185" s="24"/>
      <c r="M1185" s="24"/>
      <c r="N1185" s="25"/>
    </row>
    <row r="1186" spans="2:14" x14ac:dyDescent="0.25">
      <c r="B1186" s="24"/>
      <c r="C1186" s="24"/>
      <c r="D1186" s="24"/>
      <c r="E1186" s="25"/>
      <c r="F1186" s="29"/>
      <c r="G1186" s="26"/>
      <c r="H1186" s="26"/>
      <c r="I1186" s="24"/>
      <c r="J1186" s="24"/>
      <c r="K1186" s="24"/>
      <c r="L1186" s="24"/>
      <c r="M1186" s="24"/>
      <c r="N1186" s="25"/>
    </row>
    <row r="1187" spans="2:14" x14ac:dyDescent="0.25">
      <c r="B1187" s="24"/>
      <c r="C1187" s="24"/>
      <c r="D1187" s="24"/>
      <c r="E1187" s="25"/>
      <c r="F1187" s="29"/>
      <c r="G1187" s="26"/>
      <c r="H1187" s="26"/>
      <c r="I1187" s="24"/>
      <c r="J1187" s="24"/>
      <c r="K1187" s="24"/>
      <c r="L1187" s="24"/>
      <c r="M1187" s="24"/>
      <c r="N1187" s="25"/>
    </row>
    <row r="1188" spans="2:14" x14ac:dyDescent="0.25">
      <c r="B1188" s="24"/>
      <c r="C1188" s="24"/>
      <c r="D1188" s="24"/>
      <c r="E1188" s="25"/>
      <c r="F1188" s="29"/>
      <c r="G1188" s="26"/>
      <c r="H1188" s="26"/>
      <c r="I1188" s="24"/>
      <c r="J1188" s="24"/>
      <c r="K1188" s="24"/>
      <c r="L1188" s="24"/>
      <c r="M1188" s="24"/>
      <c r="N1188" s="25"/>
    </row>
    <row r="1189" spans="2:14" x14ac:dyDescent="0.25">
      <c r="B1189" s="24"/>
      <c r="C1189" s="24"/>
      <c r="D1189" s="24"/>
      <c r="E1189" s="25"/>
      <c r="F1189" s="29"/>
      <c r="G1189" s="26"/>
      <c r="H1189" s="26"/>
      <c r="I1189" s="24"/>
      <c r="J1189" s="24"/>
      <c r="K1189" s="24"/>
      <c r="L1189" s="24"/>
      <c r="M1189" s="24"/>
      <c r="N1189" s="25"/>
    </row>
    <row r="1190" spans="2:14" x14ac:dyDescent="0.25">
      <c r="B1190" s="24"/>
      <c r="C1190" s="24"/>
      <c r="D1190" s="24"/>
      <c r="E1190" s="25"/>
      <c r="F1190" s="29"/>
      <c r="G1190" s="26"/>
      <c r="H1190" s="26"/>
      <c r="I1190" s="24"/>
      <c r="J1190" s="24"/>
      <c r="K1190" s="24"/>
      <c r="L1190" s="24"/>
      <c r="M1190" s="24"/>
      <c r="N1190" s="25"/>
    </row>
    <row r="1191" spans="2:14" x14ac:dyDescent="0.25">
      <c r="B1191" s="24"/>
      <c r="C1191" s="24"/>
      <c r="D1191" s="24"/>
      <c r="E1191" s="25"/>
      <c r="F1191" s="29"/>
      <c r="G1191" s="26"/>
      <c r="H1191" s="26"/>
      <c r="I1191" s="24"/>
      <c r="J1191" s="24"/>
      <c r="K1191" s="24"/>
      <c r="L1191" s="24"/>
      <c r="M1191" s="24"/>
      <c r="N1191" s="25"/>
    </row>
    <row r="1192" spans="2:14" x14ac:dyDescent="0.25">
      <c r="B1192" s="24"/>
      <c r="C1192" s="24"/>
      <c r="D1192" s="24"/>
      <c r="E1192" s="25"/>
      <c r="F1192" s="29"/>
      <c r="G1192" s="26"/>
      <c r="H1192" s="26"/>
      <c r="I1192" s="24"/>
      <c r="J1192" s="24"/>
      <c r="K1192" s="24"/>
      <c r="L1192" s="24"/>
      <c r="M1192" s="24"/>
      <c r="N1192" s="25"/>
    </row>
    <row r="1193" spans="2:14" x14ac:dyDescent="0.25">
      <c r="B1193" s="24"/>
      <c r="C1193" s="24"/>
      <c r="D1193" s="24"/>
      <c r="E1193" s="25"/>
      <c r="F1193" s="29"/>
      <c r="G1193" s="26"/>
      <c r="H1193" s="26"/>
      <c r="I1193" s="24"/>
      <c r="J1193" s="24"/>
      <c r="K1193" s="24"/>
      <c r="L1193" s="24"/>
      <c r="M1193" s="24"/>
      <c r="N1193" s="25"/>
    </row>
    <row r="1194" spans="2:14" x14ac:dyDescent="0.25">
      <c r="B1194" s="24"/>
      <c r="C1194" s="24"/>
      <c r="D1194" s="24"/>
      <c r="E1194" s="25"/>
      <c r="F1194" s="29"/>
      <c r="G1194" s="26"/>
      <c r="H1194" s="26"/>
      <c r="I1194" s="24"/>
      <c r="J1194" s="24"/>
      <c r="K1194" s="24"/>
      <c r="L1194" s="24"/>
      <c r="M1194" s="24"/>
      <c r="N1194" s="25"/>
    </row>
    <row r="1195" spans="2:14" x14ac:dyDescent="0.25">
      <c r="B1195" s="24"/>
      <c r="C1195" s="24"/>
      <c r="D1195" s="24"/>
      <c r="E1195" s="25"/>
      <c r="F1195" s="29"/>
      <c r="G1195" s="26"/>
      <c r="H1195" s="26"/>
      <c r="I1195" s="24"/>
      <c r="J1195" s="24"/>
      <c r="K1195" s="24"/>
      <c r="L1195" s="24"/>
      <c r="M1195" s="24"/>
      <c r="N1195" s="25"/>
    </row>
    <row r="1196" spans="2:14" x14ac:dyDescent="0.25">
      <c r="B1196" s="24"/>
      <c r="C1196" s="24"/>
      <c r="D1196" s="24"/>
      <c r="E1196" s="25"/>
      <c r="F1196" s="29"/>
      <c r="G1196" s="26"/>
      <c r="H1196" s="26"/>
      <c r="I1196" s="24"/>
      <c r="J1196" s="24"/>
      <c r="K1196" s="24"/>
      <c r="L1196" s="24"/>
      <c r="M1196" s="24"/>
      <c r="N1196" s="25"/>
    </row>
    <row r="1197" spans="2:14" x14ac:dyDescent="0.25">
      <c r="B1197" s="24"/>
      <c r="C1197" s="24"/>
      <c r="D1197" s="24"/>
      <c r="E1197" s="25"/>
      <c r="F1197" s="29"/>
      <c r="G1197" s="26"/>
      <c r="H1197" s="26"/>
      <c r="I1197" s="24"/>
      <c r="J1197" s="24"/>
      <c r="K1197" s="24"/>
      <c r="L1197" s="24"/>
      <c r="M1197" s="24"/>
      <c r="N1197" s="25"/>
    </row>
    <row r="1198" spans="2:14" x14ac:dyDescent="0.25">
      <c r="B1198" s="24"/>
      <c r="C1198" s="24"/>
      <c r="D1198" s="28"/>
      <c r="E1198" s="25"/>
      <c r="F1198" s="29"/>
      <c r="G1198" s="26"/>
      <c r="H1198" s="26"/>
      <c r="I1198" s="24"/>
      <c r="J1198" s="24"/>
      <c r="K1198" s="24"/>
      <c r="L1198" s="24"/>
      <c r="M1198" s="24"/>
      <c r="N1198" s="25"/>
    </row>
    <row r="1199" spans="2:14" x14ac:dyDescent="0.25">
      <c r="B1199" s="24"/>
      <c r="C1199" s="24"/>
      <c r="D1199" s="24"/>
      <c r="E1199" s="25"/>
      <c r="F1199" s="29"/>
      <c r="G1199" s="26"/>
      <c r="H1199" s="26"/>
      <c r="I1199" s="24"/>
      <c r="J1199" s="24"/>
      <c r="K1199" s="24"/>
      <c r="L1199" s="24"/>
      <c r="M1199" s="24"/>
      <c r="N1199" s="25"/>
    </row>
    <row r="1200" spans="2:14" x14ac:dyDescent="0.25">
      <c r="B1200" s="24"/>
      <c r="C1200" s="24"/>
      <c r="D1200" s="24"/>
      <c r="E1200" s="25"/>
      <c r="F1200" s="29"/>
      <c r="G1200" s="26"/>
      <c r="H1200" s="26"/>
      <c r="I1200" s="24"/>
      <c r="J1200" s="24"/>
      <c r="K1200" s="24"/>
      <c r="L1200" s="24"/>
      <c r="M1200" s="24"/>
      <c r="N1200" s="25"/>
    </row>
    <row r="1201" spans="2:14" x14ac:dyDescent="0.25">
      <c r="B1201" s="24"/>
      <c r="C1201" s="24"/>
      <c r="D1201" s="24"/>
      <c r="E1201" s="25"/>
      <c r="F1201" s="29"/>
      <c r="G1201" s="26"/>
      <c r="H1201" s="26"/>
      <c r="I1201" s="24"/>
      <c r="J1201" s="24"/>
      <c r="K1201" s="24"/>
      <c r="L1201" s="24"/>
      <c r="M1201" s="24"/>
      <c r="N1201" s="25"/>
    </row>
    <row r="1202" spans="2:14" x14ac:dyDescent="0.25">
      <c r="B1202" s="24"/>
      <c r="C1202" s="24"/>
      <c r="D1202" s="24"/>
      <c r="E1202" s="25"/>
      <c r="F1202" s="29"/>
      <c r="G1202" s="26"/>
      <c r="H1202" s="26"/>
      <c r="I1202" s="24"/>
      <c r="J1202" s="24"/>
      <c r="K1202" s="24"/>
      <c r="L1202" s="24"/>
      <c r="M1202" s="24"/>
      <c r="N1202" s="25"/>
    </row>
    <row r="1203" spans="2:14" x14ac:dyDescent="0.25">
      <c r="B1203" s="24"/>
      <c r="C1203" s="24"/>
      <c r="D1203" s="24"/>
      <c r="E1203" s="25"/>
      <c r="F1203" s="29"/>
      <c r="G1203" s="26"/>
      <c r="H1203" s="26"/>
      <c r="I1203" s="24"/>
      <c r="J1203" s="24"/>
      <c r="K1203" s="24"/>
      <c r="L1203" s="24"/>
      <c r="M1203" s="24"/>
      <c r="N1203" s="25"/>
    </row>
    <row r="1204" spans="2:14" x14ac:dyDescent="0.25">
      <c r="B1204" s="24"/>
      <c r="C1204" s="24"/>
      <c r="D1204" s="24"/>
      <c r="E1204" s="25"/>
      <c r="F1204" s="29"/>
      <c r="G1204" s="26"/>
      <c r="H1204" s="26"/>
      <c r="I1204" s="24"/>
      <c r="J1204" s="24"/>
      <c r="K1204" s="24"/>
      <c r="L1204" s="24"/>
      <c r="M1204" s="24"/>
      <c r="N1204" s="25"/>
    </row>
    <row r="1205" spans="2:14" x14ac:dyDescent="0.25">
      <c r="B1205" s="24"/>
      <c r="C1205" s="24"/>
      <c r="D1205" s="24"/>
      <c r="E1205" s="25"/>
      <c r="F1205" s="29"/>
      <c r="G1205" s="26"/>
      <c r="H1205" s="26"/>
      <c r="I1205" s="24"/>
      <c r="J1205" s="24"/>
      <c r="K1205" s="24"/>
      <c r="L1205" s="24"/>
      <c r="M1205" s="24"/>
      <c r="N1205" s="25"/>
    </row>
    <row r="1206" spans="2:14" x14ac:dyDescent="0.25">
      <c r="B1206" s="24"/>
      <c r="C1206" s="24"/>
      <c r="D1206" s="24"/>
      <c r="E1206" s="25"/>
      <c r="F1206" s="29"/>
      <c r="G1206" s="26"/>
      <c r="H1206" s="26"/>
      <c r="I1206" s="24"/>
      <c r="J1206" s="24"/>
      <c r="K1206" s="24"/>
      <c r="L1206" s="24"/>
      <c r="M1206" s="24"/>
      <c r="N1206" s="25"/>
    </row>
    <row r="1207" spans="2:14" x14ac:dyDescent="0.25">
      <c r="B1207" s="24"/>
      <c r="C1207" s="24"/>
      <c r="D1207" s="24"/>
      <c r="E1207" s="25"/>
      <c r="F1207" s="29"/>
      <c r="G1207" s="26"/>
      <c r="H1207" s="26"/>
      <c r="I1207" s="24"/>
      <c r="J1207" s="24"/>
      <c r="K1207" s="24"/>
      <c r="L1207" s="24"/>
      <c r="M1207" s="24"/>
      <c r="N1207" s="25"/>
    </row>
    <row r="1208" spans="2:14" x14ac:dyDescent="0.25">
      <c r="B1208" s="24"/>
      <c r="C1208" s="24"/>
      <c r="D1208" s="24"/>
      <c r="E1208" s="25"/>
      <c r="F1208" s="29"/>
      <c r="G1208" s="26"/>
      <c r="H1208" s="26"/>
      <c r="I1208" s="24"/>
      <c r="J1208" s="24"/>
      <c r="K1208" s="24"/>
      <c r="L1208" s="24"/>
      <c r="M1208" s="24"/>
      <c r="N1208" s="25"/>
    </row>
    <row r="1209" spans="2:14" x14ac:dyDescent="0.25">
      <c r="B1209" s="24"/>
      <c r="C1209" s="24"/>
      <c r="D1209" s="24"/>
      <c r="E1209" s="25"/>
      <c r="F1209" s="29"/>
      <c r="G1209" s="26"/>
      <c r="H1209" s="26"/>
      <c r="I1209" s="24"/>
      <c r="J1209" s="24"/>
      <c r="K1209" s="24"/>
      <c r="L1209" s="24"/>
      <c r="M1209" s="24"/>
      <c r="N1209" s="25"/>
    </row>
    <row r="1210" spans="2:14" x14ac:dyDescent="0.25">
      <c r="B1210" s="24"/>
      <c r="C1210" s="24"/>
      <c r="D1210" s="24"/>
      <c r="E1210" s="25"/>
      <c r="F1210" s="29"/>
      <c r="G1210" s="26"/>
      <c r="H1210" s="26"/>
      <c r="I1210" s="24"/>
      <c r="J1210" s="24"/>
      <c r="K1210" s="24"/>
      <c r="L1210" s="24"/>
      <c r="M1210" s="24"/>
      <c r="N1210" s="25"/>
    </row>
    <row r="1211" spans="2:14" x14ac:dyDescent="0.25">
      <c r="B1211" s="24"/>
      <c r="C1211" s="24"/>
      <c r="D1211" s="24"/>
      <c r="E1211" s="25"/>
      <c r="F1211" s="29"/>
      <c r="G1211" s="26"/>
      <c r="H1211" s="26"/>
      <c r="I1211" s="24"/>
      <c r="J1211" s="24"/>
      <c r="K1211" s="24"/>
      <c r="L1211" s="24"/>
      <c r="M1211" s="24"/>
      <c r="N1211" s="25"/>
    </row>
    <row r="1212" spans="2:14" x14ac:dyDescent="0.25">
      <c r="B1212" s="24"/>
      <c r="C1212" s="24"/>
      <c r="D1212" s="24"/>
      <c r="E1212" s="25"/>
      <c r="F1212" s="29"/>
      <c r="G1212" s="26"/>
      <c r="H1212" s="26"/>
      <c r="I1212" s="24"/>
      <c r="J1212" s="24"/>
      <c r="K1212" s="24"/>
      <c r="L1212" s="24"/>
      <c r="M1212" s="24"/>
      <c r="N1212" s="25"/>
    </row>
    <row r="1213" spans="2:14" x14ac:dyDescent="0.25">
      <c r="B1213" s="24"/>
      <c r="C1213" s="24"/>
      <c r="D1213" s="24"/>
      <c r="E1213" s="25"/>
      <c r="F1213" s="29"/>
      <c r="G1213" s="26"/>
      <c r="H1213" s="26"/>
      <c r="I1213" s="24"/>
      <c r="J1213" s="24"/>
      <c r="K1213" s="24"/>
      <c r="L1213" s="24"/>
      <c r="M1213" s="24"/>
      <c r="N1213" s="25"/>
    </row>
    <row r="1214" spans="2:14" x14ac:dyDescent="0.25">
      <c r="B1214" s="24"/>
      <c r="C1214" s="24"/>
      <c r="D1214" s="24"/>
      <c r="E1214" s="25"/>
      <c r="F1214" s="29"/>
      <c r="G1214" s="26"/>
      <c r="H1214" s="26"/>
      <c r="I1214" s="24"/>
      <c r="J1214" s="24"/>
      <c r="K1214" s="24"/>
      <c r="L1214" s="24"/>
      <c r="M1214" s="24"/>
      <c r="N1214" s="25"/>
    </row>
    <row r="1215" spans="2:14" x14ac:dyDescent="0.25">
      <c r="B1215" s="24"/>
      <c r="C1215" s="24"/>
      <c r="D1215" s="24"/>
      <c r="E1215" s="25"/>
      <c r="F1215" s="29"/>
      <c r="G1215" s="26"/>
      <c r="H1215" s="26"/>
      <c r="I1215" s="24"/>
      <c r="J1215" s="24"/>
      <c r="K1215" s="24"/>
      <c r="L1215" s="24"/>
      <c r="M1215" s="24"/>
      <c r="N1215" s="25"/>
    </row>
    <row r="1216" spans="2:14" x14ac:dyDescent="0.25">
      <c r="B1216" s="24"/>
      <c r="C1216" s="24"/>
      <c r="D1216" s="24"/>
      <c r="E1216" s="25"/>
      <c r="F1216" s="29"/>
      <c r="G1216" s="26"/>
      <c r="H1216" s="26"/>
      <c r="I1216" s="24"/>
      <c r="J1216" s="24"/>
      <c r="K1216" s="24"/>
      <c r="L1216" s="24"/>
      <c r="M1216" s="24"/>
      <c r="N1216" s="25"/>
    </row>
    <row r="1217" spans="2:14" x14ac:dyDescent="0.25">
      <c r="B1217" s="24"/>
      <c r="C1217" s="24"/>
      <c r="D1217" s="24"/>
      <c r="E1217" s="25"/>
      <c r="F1217" s="29"/>
      <c r="G1217" s="26"/>
      <c r="H1217" s="26"/>
      <c r="I1217" s="24"/>
      <c r="J1217" s="24"/>
      <c r="K1217" s="24"/>
      <c r="L1217" s="24"/>
      <c r="M1217" s="24"/>
      <c r="N1217" s="25"/>
    </row>
    <row r="1218" spans="2:14" x14ac:dyDescent="0.25">
      <c r="B1218" s="24"/>
      <c r="C1218" s="24"/>
      <c r="D1218" s="24"/>
      <c r="E1218" s="25"/>
      <c r="F1218" s="29"/>
      <c r="G1218" s="26"/>
      <c r="H1218" s="26"/>
      <c r="I1218" s="24"/>
      <c r="J1218" s="24"/>
      <c r="K1218" s="24"/>
      <c r="L1218" s="24"/>
      <c r="M1218" s="24"/>
      <c r="N1218" s="25"/>
    </row>
    <row r="1219" spans="2:14" x14ac:dyDescent="0.25">
      <c r="B1219" s="24"/>
      <c r="C1219" s="24"/>
      <c r="D1219" s="24"/>
      <c r="E1219" s="25"/>
      <c r="F1219" s="29"/>
      <c r="G1219" s="26"/>
      <c r="H1219" s="26"/>
      <c r="I1219" s="24"/>
      <c r="J1219" s="24"/>
      <c r="K1219" s="24"/>
      <c r="L1219" s="24"/>
      <c r="M1219" s="24"/>
      <c r="N1219" s="25"/>
    </row>
    <row r="1220" spans="2:14" x14ac:dyDescent="0.25">
      <c r="B1220" s="24"/>
      <c r="C1220" s="24"/>
      <c r="D1220" s="24"/>
      <c r="E1220" s="25"/>
      <c r="F1220" s="29"/>
      <c r="G1220" s="26"/>
      <c r="H1220" s="26"/>
      <c r="I1220" s="24"/>
      <c r="J1220" s="24"/>
      <c r="K1220" s="24"/>
      <c r="L1220" s="24"/>
      <c r="M1220" s="24"/>
      <c r="N1220" s="25"/>
    </row>
    <row r="1221" spans="2:14" x14ac:dyDescent="0.25">
      <c r="B1221" s="24"/>
      <c r="C1221" s="24"/>
      <c r="D1221" s="24"/>
      <c r="E1221" s="25"/>
      <c r="F1221" s="29"/>
      <c r="G1221" s="26"/>
      <c r="H1221" s="26"/>
      <c r="I1221" s="24"/>
      <c r="J1221" s="24"/>
      <c r="K1221" s="24"/>
      <c r="L1221" s="24"/>
      <c r="M1221" s="24"/>
      <c r="N1221" s="25"/>
    </row>
    <row r="1222" spans="2:14" x14ac:dyDescent="0.25">
      <c r="B1222" s="24"/>
      <c r="C1222" s="24"/>
      <c r="D1222" s="24"/>
      <c r="E1222" s="25"/>
      <c r="F1222" s="29"/>
      <c r="G1222" s="26"/>
      <c r="H1222" s="26"/>
      <c r="I1222" s="24"/>
      <c r="J1222" s="24"/>
      <c r="K1222" s="24"/>
      <c r="L1222" s="24"/>
      <c r="M1222" s="24"/>
      <c r="N1222" s="25"/>
    </row>
    <row r="1223" spans="2:14" x14ac:dyDescent="0.25">
      <c r="B1223" s="24"/>
      <c r="C1223" s="24"/>
      <c r="D1223" s="24"/>
      <c r="E1223" s="25"/>
      <c r="F1223" s="29"/>
      <c r="G1223" s="26"/>
      <c r="H1223" s="26"/>
      <c r="I1223" s="24"/>
      <c r="J1223" s="24"/>
      <c r="K1223" s="24"/>
      <c r="L1223" s="24"/>
      <c r="M1223" s="24"/>
      <c r="N1223" s="25"/>
    </row>
    <row r="1224" spans="2:14" x14ac:dyDescent="0.25">
      <c r="B1224" s="24"/>
      <c r="C1224" s="24"/>
      <c r="D1224" s="24"/>
      <c r="E1224" s="25"/>
      <c r="F1224" s="29"/>
      <c r="G1224" s="26"/>
      <c r="H1224" s="26"/>
      <c r="I1224" s="24"/>
      <c r="J1224" s="24"/>
      <c r="K1224" s="24"/>
      <c r="L1224" s="24"/>
      <c r="M1224" s="24"/>
      <c r="N1224" s="25"/>
    </row>
    <row r="1225" spans="2:14" x14ac:dyDescent="0.25">
      <c r="B1225" s="24"/>
      <c r="C1225" s="24"/>
      <c r="D1225" s="24"/>
      <c r="E1225" s="25"/>
      <c r="F1225" s="29"/>
      <c r="G1225" s="26"/>
      <c r="H1225" s="26"/>
      <c r="I1225" s="24"/>
      <c r="J1225" s="24"/>
      <c r="K1225" s="24"/>
      <c r="L1225" s="24"/>
      <c r="M1225" s="24"/>
      <c r="N1225" s="25"/>
    </row>
    <row r="1226" spans="2:14" x14ac:dyDescent="0.25">
      <c r="B1226" s="24"/>
      <c r="C1226" s="24"/>
      <c r="D1226" s="24"/>
      <c r="E1226" s="25"/>
      <c r="F1226" s="29"/>
      <c r="G1226" s="26"/>
      <c r="H1226" s="26"/>
      <c r="I1226" s="24"/>
      <c r="J1226" s="24"/>
      <c r="K1226" s="24"/>
      <c r="L1226" s="24"/>
      <c r="M1226" s="24"/>
      <c r="N1226" s="25"/>
    </row>
    <row r="1227" spans="2:14" x14ac:dyDescent="0.25">
      <c r="B1227" s="24"/>
      <c r="C1227" s="24"/>
      <c r="D1227" s="24"/>
      <c r="E1227" s="25"/>
      <c r="F1227" s="29"/>
      <c r="G1227" s="26"/>
      <c r="H1227" s="26"/>
      <c r="I1227" s="24"/>
      <c r="J1227" s="24"/>
      <c r="K1227" s="24"/>
      <c r="L1227" s="24"/>
      <c r="M1227" s="24"/>
      <c r="N1227" s="25"/>
    </row>
    <row r="1228" spans="2:14" x14ac:dyDescent="0.25">
      <c r="B1228" s="24"/>
      <c r="C1228" s="24"/>
      <c r="D1228" s="24"/>
      <c r="E1228" s="25"/>
      <c r="F1228" s="29"/>
      <c r="G1228" s="26"/>
      <c r="H1228" s="26"/>
      <c r="I1228" s="24"/>
      <c r="J1228" s="24"/>
      <c r="K1228" s="24"/>
      <c r="L1228" s="24"/>
      <c r="M1228" s="24"/>
      <c r="N1228" s="25"/>
    </row>
    <row r="1229" spans="2:14" x14ac:dyDescent="0.25">
      <c r="B1229" s="24"/>
      <c r="C1229" s="24"/>
      <c r="D1229" s="24"/>
      <c r="E1229" s="25"/>
      <c r="F1229" s="29"/>
      <c r="G1229" s="26"/>
      <c r="H1229" s="26"/>
      <c r="I1229" s="24"/>
      <c r="J1229" s="24"/>
      <c r="K1229" s="24"/>
      <c r="L1229" s="24"/>
      <c r="M1229" s="24"/>
      <c r="N1229" s="25"/>
    </row>
    <row r="1230" spans="2:14" x14ac:dyDescent="0.25">
      <c r="B1230" s="24"/>
      <c r="C1230" s="24"/>
      <c r="D1230" s="24"/>
      <c r="E1230" s="25"/>
      <c r="F1230" s="29"/>
      <c r="G1230" s="26"/>
      <c r="H1230" s="26"/>
      <c r="I1230" s="24"/>
      <c r="J1230" s="24"/>
      <c r="K1230" s="24"/>
      <c r="L1230" s="24"/>
      <c r="M1230" s="24"/>
      <c r="N1230" s="25"/>
    </row>
    <row r="1231" spans="2:14" x14ac:dyDescent="0.25">
      <c r="B1231" s="24"/>
      <c r="C1231" s="24"/>
      <c r="D1231" s="24"/>
      <c r="E1231" s="25"/>
      <c r="F1231" s="29"/>
      <c r="G1231" s="26"/>
      <c r="H1231" s="26"/>
      <c r="I1231" s="24"/>
      <c r="J1231" s="24"/>
      <c r="K1231" s="24"/>
      <c r="L1231" s="24"/>
      <c r="M1231" s="24"/>
      <c r="N1231" s="25"/>
    </row>
    <row r="1232" spans="2:14" x14ac:dyDescent="0.25">
      <c r="B1232" s="24"/>
      <c r="C1232" s="24"/>
      <c r="D1232" s="24"/>
      <c r="E1232" s="25"/>
      <c r="F1232" s="29"/>
      <c r="G1232" s="26"/>
      <c r="H1232" s="26"/>
      <c r="I1232" s="24"/>
      <c r="J1232" s="24"/>
      <c r="K1232" s="24"/>
      <c r="L1232" s="24"/>
      <c r="M1232" s="24"/>
      <c r="N1232" s="25"/>
    </row>
    <row r="1233" spans="2:14" x14ac:dyDescent="0.25">
      <c r="B1233" s="24"/>
      <c r="C1233" s="24"/>
      <c r="D1233" s="24"/>
      <c r="E1233" s="25"/>
      <c r="F1233" s="29"/>
      <c r="G1233" s="26"/>
      <c r="H1233" s="26"/>
      <c r="I1233" s="24"/>
      <c r="J1233" s="24"/>
      <c r="K1233" s="24"/>
      <c r="L1233" s="24"/>
      <c r="M1233" s="24"/>
      <c r="N1233" s="25"/>
    </row>
    <row r="1234" spans="2:14" x14ac:dyDescent="0.25">
      <c r="B1234" s="24"/>
      <c r="C1234" s="24"/>
      <c r="D1234" s="24"/>
      <c r="E1234" s="25"/>
      <c r="F1234" s="29"/>
      <c r="G1234" s="26"/>
      <c r="H1234" s="26"/>
      <c r="I1234" s="24"/>
      <c r="J1234" s="24"/>
      <c r="K1234" s="24"/>
      <c r="L1234" s="24"/>
      <c r="M1234" s="24"/>
      <c r="N1234" s="25"/>
    </row>
    <row r="1235" spans="2:14" x14ac:dyDescent="0.25">
      <c r="B1235" s="24"/>
      <c r="C1235" s="24"/>
      <c r="D1235" s="24"/>
      <c r="E1235" s="25"/>
      <c r="F1235" s="29"/>
      <c r="G1235" s="26"/>
      <c r="H1235" s="26"/>
      <c r="I1235" s="24"/>
      <c r="J1235" s="24"/>
      <c r="K1235" s="24"/>
      <c r="L1235" s="24"/>
      <c r="M1235" s="24"/>
      <c r="N1235" s="25"/>
    </row>
    <row r="1236" spans="2:14" x14ac:dyDescent="0.25">
      <c r="B1236" s="24"/>
      <c r="C1236" s="24"/>
      <c r="D1236" s="24"/>
      <c r="E1236" s="25"/>
      <c r="F1236" s="29"/>
      <c r="G1236" s="26"/>
      <c r="H1236" s="26"/>
      <c r="I1236" s="24"/>
      <c r="J1236" s="24"/>
      <c r="K1236" s="24"/>
      <c r="L1236" s="24"/>
      <c r="M1236" s="24"/>
      <c r="N1236" s="25"/>
    </row>
    <row r="1237" spans="2:14" x14ac:dyDescent="0.25">
      <c r="B1237" s="24"/>
      <c r="C1237" s="24"/>
      <c r="D1237" s="24"/>
      <c r="E1237" s="25"/>
      <c r="F1237" s="29"/>
      <c r="G1237" s="26"/>
      <c r="H1237" s="26"/>
      <c r="I1237" s="24"/>
      <c r="J1237" s="24"/>
      <c r="K1237" s="24"/>
      <c r="L1237" s="24"/>
      <c r="M1237" s="24"/>
      <c r="N1237" s="25"/>
    </row>
    <row r="1238" spans="2:14" x14ac:dyDescent="0.25">
      <c r="B1238" s="24"/>
      <c r="C1238" s="24"/>
      <c r="D1238" s="24"/>
      <c r="E1238" s="25"/>
      <c r="F1238" s="29"/>
      <c r="G1238" s="26"/>
      <c r="H1238" s="26"/>
      <c r="I1238" s="24"/>
      <c r="J1238" s="24"/>
      <c r="K1238" s="24"/>
      <c r="L1238" s="24"/>
      <c r="M1238" s="24"/>
      <c r="N1238" s="25"/>
    </row>
    <row r="1239" spans="2:14" x14ac:dyDescent="0.25">
      <c r="B1239" s="24"/>
      <c r="C1239" s="24"/>
      <c r="D1239" s="24"/>
      <c r="E1239" s="25"/>
      <c r="F1239" s="29"/>
      <c r="G1239" s="26"/>
      <c r="H1239" s="26"/>
      <c r="I1239" s="24"/>
      <c r="J1239" s="24"/>
      <c r="K1239" s="24"/>
      <c r="L1239" s="24"/>
      <c r="M1239" s="24"/>
      <c r="N1239" s="25"/>
    </row>
    <row r="1240" spans="2:14" x14ac:dyDescent="0.25">
      <c r="B1240" s="24"/>
      <c r="C1240" s="24"/>
      <c r="D1240" s="24"/>
      <c r="E1240" s="25"/>
      <c r="F1240" s="29"/>
      <c r="G1240" s="26"/>
      <c r="H1240" s="26"/>
      <c r="I1240" s="24"/>
      <c r="J1240" s="24"/>
      <c r="K1240" s="24"/>
      <c r="L1240" s="24"/>
      <c r="M1240" s="24"/>
      <c r="N1240" s="25"/>
    </row>
    <row r="1241" spans="2:14" x14ac:dyDescent="0.25">
      <c r="B1241" s="24"/>
      <c r="C1241" s="24"/>
      <c r="D1241" s="24"/>
      <c r="E1241" s="25"/>
      <c r="F1241" s="29"/>
      <c r="G1241" s="26"/>
      <c r="H1241" s="26"/>
      <c r="I1241" s="24"/>
      <c r="J1241" s="24"/>
      <c r="K1241" s="24"/>
      <c r="L1241" s="24"/>
      <c r="M1241" s="24"/>
      <c r="N1241" s="25"/>
    </row>
    <row r="1242" spans="2:14" x14ac:dyDescent="0.25">
      <c r="B1242" s="24"/>
      <c r="C1242" s="24"/>
      <c r="D1242" s="24"/>
      <c r="E1242" s="25"/>
      <c r="F1242" s="29"/>
      <c r="G1242" s="26"/>
      <c r="H1242" s="26"/>
      <c r="I1242" s="24"/>
      <c r="J1242" s="24"/>
      <c r="K1242" s="24"/>
      <c r="L1242" s="24"/>
      <c r="M1242" s="24"/>
      <c r="N1242" s="25"/>
    </row>
    <row r="1243" spans="2:14" x14ac:dyDescent="0.25">
      <c r="B1243" s="24"/>
      <c r="C1243" s="24"/>
      <c r="D1243" s="24"/>
      <c r="E1243" s="25"/>
      <c r="F1243" s="29"/>
      <c r="G1243" s="26"/>
      <c r="H1243" s="26"/>
      <c r="I1243" s="24"/>
      <c r="J1243" s="24"/>
      <c r="K1243" s="24"/>
      <c r="L1243" s="24"/>
      <c r="M1243" s="24"/>
      <c r="N1243" s="25"/>
    </row>
    <row r="1244" spans="2:14" x14ac:dyDescent="0.25">
      <c r="B1244" s="24"/>
      <c r="C1244" s="24"/>
      <c r="D1244" s="24"/>
      <c r="E1244" s="25"/>
      <c r="F1244" s="29"/>
      <c r="G1244" s="26"/>
      <c r="H1244" s="26"/>
      <c r="I1244" s="24"/>
      <c r="J1244" s="24"/>
      <c r="K1244" s="24"/>
      <c r="L1244" s="24"/>
      <c r="M1244" s="24"/>
      <c r="N1244" s="25"/>
    </row>
    <row r="1245" spans="2:14" x14ac:dyDescent="0.25">
      <c r="B1245" s="24"/>
      <c r="C1245" s="24"/>
      <c r="D1245" s="24"/>
      <c r="E1245" s="25"/>
      <c r="F1245" s="29"/>
      <c r="G1245" s="26"/>
      <c r="H1245" s="26"/>
      <c r="I1245" s="24"/>
      <c r="J1245" s="24"/>
      <c r="K1245" s="24"/>
      <c r="L1245" s="24"/>
      <c r="M1245" s="24"/>
      <c r="N1245" s="25"/>
    </row>
    <row r="1246" spans="2:14" x14ac:dyDescent="0.25">
      <c r="B1246" s="24"/>
      <c r="C1246" s="24"/>
      <c r="D1246" s="24"/>
      <c r="E1246" s="25"/>
      <c r="F1246" s="29"/>
      <c r="G1246" s="26"/>
      <c r="H1246" s="26"/>
      <c r="I1246" s="24"/>
      <c r="J1246" s="24"/>
      <c r="K1246" s="24"/>
      <c r="L1246" s="24"/>
      <c r="M1246" s="24"/>
      <c r="N1246" s="25"/>
    </row>
    <row r="1247" spans="2:14" x14ac:dyDescent="0.25">
      <c r="B1247" s="24"/>
      <c r="C1247" s="24"/>
      <c r="D1247" s="24"/>
      <c r="E1247" s="25"/>
      <c r="F1247" s="29"/>
      <c r="G1247" s="26"/>
      <c r="H1247" s="26"/>
      <c r="I1247" s="24"/>
      <c r="J1247" s="24"/>
      <c r="K1247" s="24"/>
      <c r="L1247" s="24"/>
      <c r="M1247" s="24"/>
      <c r="N1247" s="25"/>
    </row>
    <row r="1248" spans="2:14" x14ac:dyDescent="0.25">
      <c r="B1248" s="24"/>
      <c r="C1248" s="24"/>
      <c r="D1248" s="24"/>
      <c r="E1248" s="25"/>
      <c r="F1248" s="29"/>
      <c r="G1248" s="26"/>
      <c r="H1248" s="26"/>
      <c r="I1248" s="24"/>
      <c r="J1248" s="24"/>
      <c r="K1248" s="24"/>
      <c r="L1248" s="24"/>
      <c r="M1248" s="24"/>
      <c r="N1248" s="25"/>
    </row>
    <row r="1249" spans="2:14" x14ac:dyDescent="0.25">
      <c r="B1249" s="24"/>
      <c r="C1249" s="24"/>
      <c r="D1249" s="24"/>
      <c r="E1249" s="25"/>
      <c r="F1249" s="29"/>
      <c r="G1249" s="26"/>
      <c r="H1249" s="26"/>
      <c r="I1249" s="24"/>
      <c r="J1249" s="24"/>
      <c r="K1249" s="24"/>
      <c r="L1249" s="24"/>
      <c r="M1249" s="24"/>
      <c r="N1249" s="25"/>
    </row>
    <row r="1250" spans="2:14" x14ac:dyDescent="0.25">
      <c r="B1250" s="24"/>
      <c r="C1250" s="24"/>
      <c r="D1250" s="24"/>
      <c r="E1250" s="25"/>
      <c r="F1250" s="29"/>
      <c r="G1250" s="26"/>
      <c r="H1250" s="26"/>
      <c r="I1250" s="24"/>
      <c r="J1250" s="24"/>
      <c r="K1250" s="24"/>
      <c r="L1250" s="24"/>
      <c r="M1250" s="24"/>
      <c r="N1250" s="25"/>
    </row>
    <row r="1251" spans="2:14" x14ac:dyDescent="0.25">
      <c r="B1251" s="24"/>
      <c r="C1251" s="24"/>
      <c r="D1251" s="24"/>
      <c r="E1251" s="25"/>
      <c r="F1251" s="29"/>
      <c r="G1251" s="26"/>
      <c r="H1251" s="26"/>
      <c r="I1251" s="24"/>
      <c r="J1251" s="24"/>
      <c r="K1251" s="24"/>
      <c r="L1251" s="24"/>
      <c r="M1251" s="24"/>
      <c r="N1251" s="25"/>
    </row>
    <row r="1252" spans="2:14" x14ac:dyDescent="0.25">
      <c r="B1252" s="24"/>
      <c r="C1252" s="24"/>
      <c r="D1252" s="24"/>
      <c r="E1252" s="25"/>
      <c r="F1252" s="29"/>
      <c r="G1252" s="26"/>
      <c r="H1252" s="26"/>
      <c r="I1252" s="24"/>
      <c r="J1252" s="24"/>
      <c r="K1252" s="24"/>
      <c r="L1252" s="24"/>
      <c r="M1252" s="24"/>
      <c r="N1252" s="25"/>
    </row>
    <row r="1253" spans="2:14" x14ac:dyDescent="0.25">
      <c r="B1253" s="24"/>
      <c r="C1253" s="24"/>
      <c r="D1253" s="24"/>
      <c r="E1253" s="25"/>
      <c r="F1253" s="29"/>
      <c r="G1253" s="26"/>
      <c r="H1253" s="26"/>
      <c r="I1253" s="24"/>
      <c r="J1253" s="24"/>
      <c r="K1253" s="24"/>
      <c r="L1253" s="24"/>
      <c r="M1253" s="24"/>
      <c r="N1253" s="25"/>
    </row>
    <row r="1254" spans="2:14" x14ac:dyDescent="0.25">
      <c r="B1254" s="24"/>
      <c r="C1254" s="24"/>
      <c r="D1254" s="28"/>
      <c r="E1254" s="25"/>
      <c r="F1254" s="29"/>
      <c r="G1254" s="26"/>
      <c r="H1254" s="26"/>
      <c r="I1254" s="24"/>
      <c r="J1254" s="24"/>
      <c r="K1254" s="24"/>
      <c r="L1254" s="24"/>
      <c r="M1254" s="24"/>
      <c r="N1254" s="25"/>
    </row>
    <row r="1255" spans="2:14" x14ac:dyDescent="0.25">
      <c r="B1255" s="24"/>
      <c r="C1255" s="24"/>
      <c r="D1255" s="24"/>
      <c r="E1255" s="25"/>
      <c r="F1255" s="29"/>
      <c r="G1255" s="26"/>
      <c r="H1255" s="26"/>
      <c r="I1255" s="24"/>
      <c r="J1255" s="24"/>
      <c r="K1255" s="24"/>
      <c r="L1255" s="24"/>
      <c r="M1255" s="24"/>
      <c r="N1255" s="25"/>
    </row>
    <row r="1256" spans="2:14" x14ac:dyDescent="0.25">
      <c r="B1256" s="24"/>
      <c r="C1256" s="24"/>
      <c r="D1256" s="24"/>
      <c r="E1256" s="25"/>
      <c r="F1256" s="29"/>
      <c r="G1256" s="26"/>
      <c r="H1256" s="26"/>
      <c r="I1256" s="24"/>
      <c r="J1256" s="24"/>
      <c r="K1256" s="24"/>
      <c r="L1256" s="24"/>
      <c r="M1256" s="24"/>
      <c r="N1256" s="25"/>
    </row>
    <row r="1257" spans="2:14" x14ac:dyDescent="0.25">
      <c r="B1257" s="24"/>
      <c r="C1257" s="24"/>
      <c r="D1257" s="24"/>
      <c r="E1257" s="25"/>
      <c r="F1257" s="29"/>
      <c r="G1257" s="26"/>
      <c r="H1257" s="26"/>
      <c r="I1257" s="24"/>
      <c r="J1257" s="24"/>
      <c r="K1257" s="24"/>
      <c r="L1257" s="24"/>
      <c r="M1257" s="24"/>
      <c r="N1257" s="25"/>
    </row>
    <row r="1258" spans="2:14" x14ac:dyDescent="0.25">
      <c r="B1258" s="24"/>
      <c r="C1258" s="24"/>
      <c r="D1258" s="24"/>
      <c r="E1258" s="25"/>
      <c r="F1258" s="29"/>
      <c r="G1258" s="26"/>
      <c r="H1258" s="26"/>
      <c r="I1258" s="24"/>
      <c r="J1258" s="24"/>
      <c r="K1258" s="24"/>
      <c r="L1258" s="24"/>
      <c r="M1258" s="24"/>
      <c r="N1258" s="25"/>
    </row>
    <row r="1259" spans="2:14" x14ac:dyDescent="0.25">
      <c r="B1259" s="24"/>
      <c r="C1259" s="24"/>
      <c r="D1259" s="24"/>
      <c r="E1259" s="25"/>
      <c r="F1259" s="29"/>
      <c r="G1259" s="26"/>
      <c r="H1259" s="26"/>
      <c r="I1259" s="24"/>
      <c r="J1259" s="24"/>
      <c r="K1259" s="24"/>
      <c r="L1259" s="24"/>
      <c r="M1259" s="24"/>
      <c r="N1259" s="25"/>
    </row>
    <row r="1260" spans="2:14" x14ac:dyDescent="0.25">
      <c r="B1260" s="24"/>
      <c r="C1260" s="24"/>
      <c r="D1260" s="24"/>
      <c r="E1260" s="25"/>
      <c r="F1260" s="29"/>
      <c r="G1260" s="26"/>
      <c r="H1260" s="26"/>
      <c r="I1260" s="24"/>
      <c r="J1260" s="24"/>
      <c r="K1260" s="24"/>
      <c r="L1260" s="24"/>
      <c r="M1260" s="24"/>
      <c r="N1260" s="25"/>
    </row>
    <row r="1261" spans="2:14" x14ac:dyDescent="0.25">
      <c r="B1261" s="24"/>
      <c r="C1261" s="24"/>
      <c r="D1261" s="24"/>
      <c r="E1261" s="25"/>
      <c r="F1261" s="29"/>
      <c r="G1261" s="26"/>
      <c r="H1261" s="26"/>
      <c r="I1261" s="24"/>
      <c r="J1261" s="24"/>
      <c r="K1261" s="24"/>
      <c r="L1261" s="24"/>
      <c r="M1261" s="24"/>
      <c r="N1261" s="25"/>
    </row>
    <row r="1262" spans="2:14" x14ac:dyDescent="0.25">
      <c r="B1262" s="24"/>
      <c r="C1262" s="24"/>
      <c r="D1262" s="24"/>
      <c r="E1262" s="25"/>
      <c r="F1262" s="29"/>
      <c r="G1262" s="26"/>
      <c r="H1262" s="26"/>
      <c r="I1262" s="24"/>
      <c r="J1262" s="24"/>
      <c r="K1262" s="24"/>
      <c r="L1262" s="24"/>
      <c r="M1262" s="24"/>
      <c r="N1262" s="25"/>
    </row>
    <row r="1263" spans="2:14" x14ac:dyDescent="0.25">
      <c r="B1263" s="24"/>
      <c r="C1263" s="24"/>
      <c r="D1263" s="24"/>
      <c r="E1263" s="25"/>
      <c r="F1263" s="29"/>
      <c r="G1263" s="26"/>
      <c r="H1263" s="26"/>
      <c r="I1263" s="24"/>
      <c r="J1263" s="24"/>
      <c r="K1263" s="24"/>
      <c r="L1263" s="24"/>
      <c r="M1263" s="24"/>
      <c r="N1263" s="25"/>
    </row>
    <row r="1264" spans="2:14" x14ac:dyDescent="0.25">
      <c r="B1264" s="24"/>
      <c r="C1264" s="24"/>
      <c r="D1264" s="24"/>
      <c r="E1264" s="25"/>
      <c r="F1264" s="29"/>
      <c r="G1264" s="26"/>
      <c r="H1264" s="26"/>
      <c r="I1264" s="24"/>
      <c r="J1264" s="24"/>
      <c r="K1264" s="24"/>
      <c r="L1264" s="24"/>
      <c r="M1264" s="24"/>
      <c r="N1264" s="25"/>
    </row>
    <row r="1265" spans="2:14" x14ac:dyDescent="0.25">
      <c r="B1265" s="24"/>
      <c r="C1265" s="24"/>
      <c r="D1265" s="24"/>
      <c r="E1265" s="25"/>
      <c r="F1265" s="29"/>
      <c r="G1265" s="26"/>
      <c r="H1265" s="26"/>
      <c r="I1265" s="24"/>
      <c r="J1265" s="24"/>
      <c r="K1265" s="24"/>
      <c r="L1265" s="24"/>
      <c r="M1265" s="24"/>
      <c r="N1265" s="25"/>
    </row>
    <row r="1266" spans="2:14" x14ac:dyDescent="0.25">
      <c r="B1266" s="24"/>
      <c r="C1266" s="24"/>
      <c r="D1266" s="24"/>
      <c r="E1266" s="25"/>
      <c r="F1266" s="29"/>
      <c r="G1266" s="26"/>
      <c r="H1266" s="26"/>
      <c r="I1266" s="24"/>
      <c r="J1266" s="24"/>
      <c r="K1266" s="24"/>
      <c r="L1266" s="24"/>
      <c r="M1266" s="24"/>
      <c r="N1266" s="25"/>
    </row>
    <row r="1267" spans="2:14" x14ac:dyDescent="0.25">
      <c r="B1267" s="24"/>
      <c r="C1267" s="24"/>
      <c r="D1267" s="24"/>
      <c r="E1267" s="25"/>
      <c r="F1267" s="29"/>
      <c r="G1267" s="26"/>
      <c r="H1267" s="26"/>
      <c r="I1267" s="24"/>
      <c r="J1267" s="24"/>
      <c r="K1267" s="24"/>
      <c r="L1267" s="24"/>
      <c r="M1267" s="24"/>
      <c r="N1267" s="25"/>
    </row>
    <row r="1268" spans="2:14" x14ac:dyDescent="0.25">
      <c r="B1268" s="24"/>
      <c r="C1268" s="24"/>
      <c r="D1268" s="24"/>
      <c r="E1268" s="25"/>
      <c r="F1268" s="29"/>
      <c r="G1268" s="26"/>
      <c r="H1268" s="26"/>
      <c r="I1268" s="24"/>
      <c r="J1268" s="24"/>
      <c r="K1268" s="24"/>
      <c r="L1268" s="24"/>
      <c r="M1268" s="24"/>
      <c r="N1268" s="25"/>
    </row>
    <row r="1269" spans="2:14" x14ac:dyDescent="0.25">
      <c r="B1269" s="24"/>
      <c r="C1269" s="24"/>
      <c r="D1269" s="24"/>
      <c r="E1269" s="25"/>
      <c r="F1269" s="29"/>
      <c r="G1269" s="26"/>
      <c r="H1269" s="26"/>
      <c r="I1269" s="24"/>
      <c r="J1269" s="24"/>
      <c r="K1269" s="24"/>
      <c r="L1269" s="24"/>
      <c r="M1269" s="24"/>
      <c r="N1269" s="25"/>
    </row>
    <row r="1270" spans="2:14" x14ac:dyDescent="0.25">
      <c r="B1270" s="24"/>
      <c r="C1270" s="24"/>
      <c r="D1270" s="24"/>
      <c r="E1270" s="25"/>
      <c r="F1270" s="29"/>
      <c r="G1270" s="26"/>
      <c r="H1270" s="26"/>
      <c r="I1270" s="24"/>
      <c r="J1270" s="24"/>
      <c r="K1270" s="24"/>
      <c r="L1270" s="24"/>
      <c r="M1270" s="24"/>
      <c r="N1270" s="25"/>
    </row>
    <row r="1271" spans="2:14" x14ac:dyDescent="0.25">
      <c r="B1271" s="24"/>
      <c r="C1271" s="24"/>
      <c r="D1271" s="24"/>
      <c r="E1271" s="25"/>
      <c r="F1271" s="29"/>
      <c r="G1271" s="26"/>
      <c r="H1271" s="26"/>
      <c r="I1271" s="24"/>
      <c r="J1271" s="24"/>
      <c r="K1271" s="24"/>
      <c r="L1271" s="24"/>
      <c r="M1271" s="24"/>
      <c r="N1271" s="25"/>
    </row>
    <row r="1272" spans="2:14" x14ac:dyDescent="0.25">
      <c r="B1272" s="24"/>
      <c r="C1272" s="24"/>
      <c r="D1272" s="24"/>
      <c r="E1272" s="25"/>
      <c r="F1272" s="29"/>
      <c r="G1272" s="26"/>
      <c r="H1272" s="26"/>
      <c r="I1272" s="24"/>
      <c r="J1272" s="24"/>
      <c r="K1272" s="24"/>
      <c r="L1272" s="24"/>
      <c r="M1272" s="24"/>
      <c r="N1272" s="25"/>
    </row>
    <row r="1273" spans="2:14" x14ac:dyDescent="0.25">
      <c r="B1273" s="24"/>
      <c r="C1273" s="24"/>
      <c r="D1273" s="24"/>
      <c r="E1273" s="25"/>
      <c r="F1273" s="29"/>
      <c r="G1273" s="26"/>
      <c r="H1273" s="26"/>
      <c r="I1273" s="24"/>
      <c r="J1273" s="24"/>
      <c r="K1273" s="24"/>
      <c r="L1273" s="24"/>
      <c r="M1273" s="24"/>
      <c r="N1273" s="25"/>
    </row>
    <row r="1274" spans="2:14" x14ac:dyDescent="0.25">
      <c r="B1274" s="24"/>
      <c r="C1274" s="24"/>
      <c r="D1274" s="24"/>
      <c r="E1274" s="25"/>
      <c r="F1274" s="29"/>
      <c r="G1274" s="26"/>
      <c r="H1274" s="26"/>
      <c r="I1274" s="24"/>
      <c r="J1274" s="24"/>
      <c r="K1274" s="24"/>
      <c r="L1274" s="24"/>
      <c r="M1274" s="24"/>
      <c r="N1274" s="25"/>
    </row>
    <row r="1275" spans="2:14" x14ac:dyDescent="0.25">
      <c r="B1275" s="24"/>
      <c r="C1275" s="24"/>
      <c r="D1275" s="24"/>
      <c r="E1275" s="25"/>
      <c r="F1275" s="29"/>
      <c r="G1275" s="26"/>
      <c r="H1275" s="26"/>
      <c r="I1275" s="24"/>
      <c r="J1275" s="24"/>
      <c r="K1275" s="24"/>
      <c r="L1275" s="24"/>
      <c r="M1275" s="24"/>
      <c r="N1275" s="25"/>
    </row>
    <row r="1276" spans="2:14" x14ac:dyDescent="0.25">
      <c r="B1276" s="24"/>
      <c r="C1276" s="24"/>
      <c r="D1276" s="24"/>
      <c r="E1276" s="25"/>
      <c r="F1276" s="29"/>
      <c r="G1276" s="26"/>
      <c r="H1276" s="26"/>
      <c r="I1276" s="24"/>
      <c r="J1276" s="24"/>
      <c r="K1276" s="24"/>
      <c r="L1276" s="24"/>
      <c r="M1276" s="24"/>
      <c r="N1276" s="25"/>
    </row>
    <row r="1277" spans="2:14" x14ac:dyDescent="0.25">
      <c r="B1277" s="24"/>
      <c r="C1277" s="24"/>
      <c r="D1277" s="24"/>
      <c r="E1277" s="25"/>
      <c r="F1277" s="29"/>
      <c r="G1277" s="26"/>
      <c r="H1277" s="26"/>
      <c r="I1277" s="24"/>
      <c r="J1277" s="24"/>
      <c r="K1277" s="24"/>
      <c r="L1277" s="24"/>
      <c r="M1277" s="24"/>
      <c r="N1277" s="25"/>
    </row>
    <row r="1278" spans="2:14" x14ac:dyDescent="0.25">
      <c r="B1278" s="24"/>
      <c r="C1278" s="24"/>
      <c r="D1278" s="24"/>
      <c r="E1278" s="25"/>
      <c r="F1278" s="29"/>
      <c r="G1278" s="26"/>
      <c r="H1278" s="26"/>
      <c r="I1278" s="24"/>
      <c r="J1278" s="24"/>
      <c r="K1278" s="24"/>
      <c r="L1278" s="24"/>
      <c r="M1278" s="24"/>
      <c r="N1278" s="25"/>
    </row>
    <row r="1279" spans="2:14" x14ac:dyDescent="0.25">
      <c r="B1279" s="24"/>
      <c r="C1279" s="24"/>
      <c r="D1279" s="24"/>
      <c r="E1279" s="25"/>
      <c r="F1279" s="29"/>
      <c r="G1279" s="26"/>
      <c r="H1279" s="26"/>
      <c r="I1279" s="24"/>
      <c r="J1279" s="24"/>
      <c r="K1279" s="24"/>
      <c r="L1279" s="24"/>
      <c r="M1279" s="24"/>
      <c r="N1279" s="25"/>
    </row>
    <row r="1280" spans="2:14" x14ac:dyDescent="0.25">
      <c r="B1280" s="24"/>
      <c r="C1280" s="24"/>
      <c r="D1280" s="24"/>
      <c r="E1280" s="25"/>
      <c r="F1280" s="29"/>
      <c r="G1280" s="26"/>
      <c r="H1280" s="26"/>
      <c r="I1280" s="24"/>
      <c r="J1280" s="24"/>
      <c r="K1280" s="24"/>
      <c r="L1280" s="24"/>
      <c r="M1280" s="24"/>
      <c r="N1280" s="25"/>
    </row>
    <row r="1281" spans="2:14" x14ac:dyDescent="0.25">
      <c r="B1281" s="24"/>
      <c r="C1281" s="24"/>
      <c r="D1281" s="24"/>
      <c r="E1281" s="25"/>
      <c r="F1281" s="29"/>
      <c r="G1281" s="26"/>
      <c r="H1281" s="26"/>
      <c r="I1281" s="24"/>
      <c r="J1281" s="24"/>
      <c r="K1281" s="24"/>
      <c r="L1281" s="24"/>
      <c r="M1281" s="24"/>
      <c r="N1281" s="25"/>
    </row>
    <row r="1282" spans="2:14" x14ac:dyDescent="0.25">
      <c r="B1282" s="24"/>
      <c r="C1282" s="24"/>
      <c r="D1282" s="24"/>
      <c r="E1282" s="25"/>
      <c r="F1282" s="29"/>
      <c r="G1282" s="26"/>
      <c r="H1282" s="26"/>
      <c r="I1282" s="24"/>
      <c r="J1282" s="24"/>
      <c r="K1282" s="24"/>
      <c r="L1282" s="24"/>
      <c r="M1282" s="24"/>
      <c r="N1282" s="25"/>
    </row>
    <row r="1283" spans="2:14" x14ac:dyDescent="0.25">
      <c r="B1283" s="24"/>
      <c r="C1283" s="24"/>
      <c r="D1283" s="24"/>
      <c r="E1283" s="25"/>
      <c r="F1283" s="29"/>
      <c r="G1283" s="26"/>
      <c r="H1283" s="26"/>
      <c r="I1283" s="24"/>
      <c r="J1283" s="24"/>
      <c r="K1283" s="24"/>
      <c r="L1283" s="24"/>
      <c r="M1283" s="24"/>
      <c r="N1283" s="25"/>
    </row>
    <row r="1284" spans="2:14" x14ac:dyDescent="0.25">
      <c r="B1284" s="24"/>
      <c r="C1284" s="24"/>
      <c r="D1284" s="24"/>
      <c r="E1284" s="25"/>
      <c r="F1284" s="29"/>
      <c r="G1284" s="26"/>
      <c r="H1284" s="26"/>
      <c r="I1284" s="24"/>
      <c r="J1284" s="24"/>
      <c r="K1284" s="24"/>
      <c r="L1284" s="24"/>
      <c r="M1284" s="24"/>
      <c r="N1284" s="25"/>
    </row>
    <row r="1285" spans="2:14" x14ac:dyDescent="0.25">
      <c r="B1285" s="24"/>
      <c r="C1285" s="24"/>
      <c r="D1285" s="24"/>
      <c r="E1285" s="25"/>
      <c r="F1285" s="29"/>
      <c r="G1285" s="26"/>
      <c r="H1285" s="26"/>
      <c r="I1285" s="24"/>
      <c r="J1285" s="24"/>
      <c r="K1285" s="24"/>
      <c r="L1285" s="24"/>
      <c r="M1285" s="24"/>
      <c r="N1285" s="25"/>
    </row>
    <row r="1286" spans="2:14" x14ac:dyDescent="0.25">
      <c r="B1286" s="24"/>
      <c r="C1286" s="24"/>
      <c r="D1286" s="24"/>
      <c r="E1286" s="25"/>
      <c r="F1286" s="29"/>
      <c r="G1286" s="26"/>
      <c r="H1286" s="26"/>
      <c r="I1286" s="24"/>
      <c r="J1286" s="24"/>
      <c r="K1286" s="24"/>
      <c r="L1286" s="24"/>
      <c r="M1286" s="24"/>
      <c r="N1286" s="25"/>
    </row>
    <row r="1287" spans="2:14" x14ac:dyDescent="0.25">
      <c r="B1287" s="24"/>
      <c r="C1287" s="24"/>
      <c r="D1287" s="24"/>
      <c r="E1287" s="25"/>
      <c r="F1287" s="29"/>
      <c r="G1287" s="26"/>
      <c r="H1287" s="26"/>
      <c r="I1287" s="24"/>
      <c r="J1287" s="24"/>
      <c r="K1287" s="24"/>
      <c r="L1287" s="24"/>
      <c r="M1287" s="24"/>
      <c r="N1287" s="25"/>
    </row>
    <row r="1288" spans="2:14" x14ac:dyDescent="0.25">
      <c r="B1288" s="24"/>
      <c r="C1288" s="24"/>
      <c r="D1288" s="24"/>
      <c r="E1288" s="25"/>
      <c r="F1288" s="29"/>
      <c r="G1288" s="26"/>
      <c r="H1288" s="26"/>
      <c r="I1288" s="24"/>
      <c r="J1288" s="24"/>
      <c r="K1288" s="24"/>
      <c r="L1288" s="24"/>
      <c r="M1288" s="24"/>
      <c r="N1288" s="25"/>
    </row>
    <row r="1289" spans="2:14" x14ac:dyDescent="0.25">
      <c r="B1289" s="24"/>
      <c r="C1289" s="24"/>
      <c r="D1289" s="24"/>
      <c r="E1289" s="25"/>
      <c r="F1289" s="29"/>
      <c r="G1289" s="26"/>
      <c r="H1289" s="26"/>
      <c r="I1289" s="24"/>
      <c r="J1289" s="24"/>
      <c r="K1289" s="24"/>
      <c r="L1289" s="24"/>
      <c r="M1289" s="24"/>
      <c r="N1289" s="25"/>
    </row>
    <row r="1290" spans="2:14" x14ac:dyDescent="0.25">
      <c r="B1290" s="24"/>
      <c r="C1290" s="24"/>
      <c r="D1290" s="24"/>
      <c r="E1290" s="25"/>
      <c r="F1290" s="29"/>
      <c r="G1290" s="26"/>
      <c r="H1290" s="26"/>
      <c r="I1290" s="24"/>
      <c r="J1290" s="24"/>
      <c r="K1290" s="24"/>
      <c r="L1290" s="24"/>
      <c r="M1290" s="24"/>
      <c r="N1290" s="25"/>
    </row>
    <row r="1291" spans="2:14" x14ac:dyDescent="0.25">
      <c r="B1291" s="24"/>
      <c r="C1291" s="24"/>
      <c r="D1291" s="24"/>
      <c r="E1291" s="25"/>
      <c r="F1291" s="29"/>
      <c r="G1291" s="26"/>
      <c r="H1291" s="26"/>
      <c r="I1291" s="24"/>
      <c r="J1291" s="24"/>
      <c r="K1291" s="24"/>
      <c r="L1291" s="24"/>
      <c r="M1291" s="24"/>
      <c r="N1291" s="25"/>
    </row>
    <row r="1292" spans="2:14" x14ac:dyDescent="0.25">
      <c r="B1292" s="24"/>
      <c r="C1292" s="24"/>
      <c r="D1292" s="24"/>
      <c r="E1292" s="25"/>
      <c r="F1292" s="29"/>
      <c r="G1292" s="26"/>
      <c r="H1292" s="26"/>
      <c r="I1292" s="24"/>
      <c r="J1292" s="24"/>
      <c r="K1292" s="24"/>
      <c r="L1292" s="24"/>
      <c r="M1292" s="24"/>
      <c r="N1292" s="25"/>
    </row>
    <row r="1293" spans="2:14" x14ac:dyDescent="0.25">
      <c r="B1293" s="24"/>
      <c r="C1293" s="24"/>
      <c r="D1293" s="24"/>
      <c r="E1293" s="25"/>
      <c r="F1293" s="29"/>
      <c r="G1293" s="26"/>
      <c r="H1293" s="26"/>
      <c r="I1293" s="24"/>
      <c r="J1293" s="24"/>
      <c r="K1293" s="24"/>
      <c r="L1293" s="24"/>
      <c r="M1293" s="24"/>
      <c r="N1293" s="25"/>
    </row>
    <row r="1294" spans="2:14" x14ac:dyDescent="0.25">
      <c r="B1294" s="24"/>
      <c r="C1294" s="24"/>
      <c r="D1294" s="24"/>
      <c r="E1294" s="25"/>
      <c r="F1294" s="29"/>
      <c r="G1294" s="26"/>
      <c r="H1294" s="26"/>
      <c r="I1294" s="24"/>
      <c r="J1294" s="24"/>
      <c r="K1294" s="24"/>
      <c r="L1294" s="24"/>
      <c r="M1294" s="24"/>
      <c r="N1294" s="25"/>
    </row>
    <row r="1295" spans="2:14" x14ac:dyDescent="0.25">
      <c r="B1295" s="24"/>
      <c r="C1295" s="24"/>
      <c r="D1295" s="24"/>
      <c r="E1295" s="25"/>
      <c r="F1295" s="29"/>
      <c r="G1295" s="26"/>
      <c r="H1295" s="26"/>
      <c r="I1295" s="24"/>
      <c r="J1295" s="24"/>
      <c r="K1295" s="24"/>
      <c r="L1295" s="24"/>
      <c r="M1295" s="24"/>
      <c r="N1295" s="25"/>
    </row>
    <row r="1296" spans="2:14" x14ac:dyDescent="0.25">
      <c r="B1296" s="24"/>
      <c r="C1296" s="24"/>
      <c r="D1296" s="24"/>
      <c r="E1296" s="25"/>
      <c r="F1296" s="29"/>
      <c r="G1296" s="26"/>
      <c r="H1296" s="26"/>
      <c r="I1296" s="24"/>
      <c r="J1296" s="24"/>
      <c r="K1296" s="24"/>
      <c r="L1296" s="24"/>
      <c r="M1296" s="24"/>
      <c r="N1296" s="25"/>
    </row>
    <row r="1297" spans="2:14" x14ac:dyDescent="0.25">
      <c r="B1297" s="24"/>
      <c r="C1297" s="24"/>
      <c r="D1297" s="24"/>
      <c r="E1297" s="25"/>
      <c r="F1297" s="29"/>
      <c r="G1297" s="26"/>
      <c r="H1297" s="26"/>
      <c r="I1297" s="24"/>
      <c r="J1297" s="24"/>
      <c r="K1297" s="24"/>
      <c r="L1297" s="24"/>
      <c r="M1297" s="24"/>
      <c r="N1297" s="25"/>
    </row>
    <row r="1298" spans="2:14" x14ac:dyDescent="0.25">
      <c r="B1298" s="24"/>
      <c r="C1298" s="24"/>
      <c r="D1298" s="24"/>
      <c r="E1298" s="25"/>
      <c r="F1298" s="29"/>
      <c r="G1298" s="26"/>
      <c r="H1298" s="26"/>
      <c r="I1298" s="24"/>
      <c r="J1298" s="24"/>
      <c r="K1298" s="24"/>
      <c r="L1298" s="24"/>
      <c r="M1298" s="24"/>
      <c r="N1298" s="25"/>
    </row>
    <row r="1299" spans="2:14" x14ac:dyDescent="0.25">
      <c r="B1299" s="24"/>
      <c r="C1299" s="24"/>
      <c r="D1299" s="24"/>
      <c r="E1299" s="25"/>
      <c r="F1299" s="29"/>
      <c r="G1299" s="26"/>
      <c r="H1299" s="26"/>
      <c r="I1299" s="24"/>
      <c r="J1299" s="24"/>
      <c r="K1299" s="24"/>
      <c r="L1299" s="24"/>
      <c r="M1299" s="24"/>
      <c r="N1299" s="25"/>
    </row>
    <row r="1300" spans="2:14" x14ac:dyDescent="0.25">
      <c r="B1300" s="24"/>
      <c r="C1300" s="24"/>
      <c r="D1300" s="24"/>
      <c r="E1300" s="25"/>
      <c r="F1300" s="29"/>
      <c r="G1300" s="26"/>
      <c r="H1300" s="26"/>
      <c r="I1300" s="24"/>
      <c r="J1300" s="24"/>
      <c r="K1300" s="24"/>
      <c r="L1300" s="24"/>
      <c r="M1300" s="24"/>
      <c r="N1300" s="25"/>
    </row>
    <row r="1301" spans="2:14" x14ac:dyDescent="0.25">
      <c r="B1301" s="24"/>
      <c r="C1301" s="24"/>
      <c r="D1301" s="24"/>
      <c r="E1301" s="25"/>
      <c r="F1301" s="29"/>
      <c r="G1301" s="26"/>
      <c r="H1301" s="26"/>
      <c r="I1301" s="24"/>
      <c r="J1301" s="24"/>
      <c r="K1301" s="24"/>
      <c r="L1301" s="24"/>
      <c r="M1301" s="24"/>
      <c r="N1301" s="25"/>
    </row>
    <row r="1302" spans="2:14" x14ac:dyDescent="0.25">
      <c r="B1302" s="24"/>
      <c r="C1302" s="24"/>
      <c r="D1302" s="24"/>
      <c r="E1302" s="25"/>
      <c r="F1302" s="29"/>
      <c r="G1302" s="26"/>
      <c r="H1302" s="26"/>
      <c r="I1302" s="24"/>
      <c r="J1302" s="24"/>
      <c r="K1302" s="24"/>
      <c r="L1302" s="24"/>
      <c r="M1302" s="24"/>
      <c r="N1302" s="25"/>
    </row>
    <row r="1303" spans="2:14" x14ac:dyDescent="0.25">
      <c r="B1303" s="24"/>
      <c r="C1303" s="24"/>
      <c r="D1303" s="24"/>
      <c r="E1303" s="25"/>
      <c r="F1303" s="29"/>
      <c r="G1303" s="26"/>
      <c r="H1303" s="26"/>
      <c r="I1303" s="24"/>
      <c r="J1303" s="24"/>
      <c r="K1303" s="24"/>
      <c r="L1303" s="24"/>
      <c r="M1303" s="24"/>
      <c r="N1303" s="25"/>
    </row>
    <row r="1304" spans="2:14" x14ac:dyDescent="0.25">
      <c r="B1304" s="24"/>
      <c r="C1304" s="24"/>
      <c r="D1304" s="24"/>
      <c r="E1304" s="25"/>
      <c r="F1304" s="29"/>
      <c r="G1304" s="26"/>
      <c r="H1304" s="26"/>
      <c r="I1304" s="24"/>
      <c r="J1304" s="24"/>
      <c r="K1304" s="24"/>
      <c r="L1304" s="24"/>
      <c r="M1304" s="24"/>
      <c r="N1304" s="25"/>
    </row>
    <row r="1305" spans="2:14" x14ac:dyDescent="0.25">
      <c r="B1305" s="24"/>
      <c r="C1305" s="24"/>
      <c r="D1305" s="24"/>
      <c r="E1305" s="25"/>
      <c r="F1305" s="29"/>
      <c r="G1305" s="26"/>
      <c r="H1305" s="26"/>
      <c r="I1305" s="24"/>
      <c r="J1305" s="24"/>
      <c r="K1305" s="24"/>
      <c r="L1305" s="24"/>
      <c r="M1305" s="24"/>
      <c r="N1305" s="25"/>
    </row>
    <row r="1306" spans="2:14" x14ac:dyDescent="0.25">
      <c r="B1306" s="24"/>
      <c r="C1306" s="24"/>
      <c r="D1306" s="24"/>
      <c r="E1306" s="25"/>
      <c r="F1306" s="29"/>
      <c r="G1306" s="26"/>
      <c r="H1306" s="26"/>
      <c r="I1306" s="24"/>
      <c r="J1306" s="24"/>
      <c r="K1306" s="24"/>
      <c r="L1306" s="24"/>
      <c r="M1306" s="24"/>
      <c r="N1306" s="25"/>
    </row>
    <row r="1307" spans="2:14" x14ac:dyDescent="0.25">
      <c r="B1307" s="24"/>
      <c r="C1307" s="24"/>
      <c r="D1307" s="24"/>
      <c r="E1307" s="25"/>
      <c r="F1307" s="29"/>
      <c r="G1307" s="26"/>
      <c r="H1307" s="26"/>
      <c r="I1307" s="24"/>
      <c r="J1307" s="24"/>
      <c r="K1307" s="24"/>
      <c r="L1307" s="24"/>
      <c r="M1307" s="24"/>
      <c r="N1307" s="25"/>
    </row>
    <row r="1308" spans="2:14" x14ac:dyDescent="0.25">
      <c r="B1308" s="24"/>
      <c r="C1308" s="24"/>
      <c r="D1308" s="24"/>
      <c r="E1308" s="25"/>
      <c r="F1308" s="29"/>
      <c r="G1308" s="26"/>
      <c r="H1308" s="26"/>
      <c r="I1308" s="24"/>
      <c r="J1308" s="24"/>
      <c r="K1308" s="24"/>
      <c r="L1308" s="24"/>
      <c r="M1308" s="24"/>
      <c r="N1308" s="25"/>
    </row>
    <row r="1309" spans="2:14" x14ac:dyDescent="0.25">
      <c r="B1309" s="24"/>
      <c r="C1309" s="24"/>
      <c r="D1309" s="24"/>
      <c r="E1309" s="25"/>
      <c r="F1309" s="29"/>
      <c r="G1309" s="26"/>
      <c r="H1309" s="26"/>
      <c r="I1309" s="24"/>
      <c r="J1309" s="24"/>
      <c r="K1309" s="24"/>
      <c r="L1309" s="24"/>
      <c r="M1309" s="24"/>
      <c r="N1309" s="25"/>
    </row>
    <row r="1310" spans="2:14" x14ac:dyDescent="0.25">
      <c r="B1310" s="24"/>
      <c r="C1310" s="24"/>
      <c r="D1310" s="24"/>
      <c r="E1310" s="25"/>
      <c r="F1310" s="29"/>
      <c r="G1310" s="26"/>
      <c r="H1310" s="26"/>
      <c r="I1310" s="24"/>
      <c r="J1310" s="24"/>
      <c r="K1310" s="24"/>
      <c r="L1310" s="24"/>
      <c r="M1310" s="24"/>
      <c r="N1310" s="25"/>
    </row>
    <row r="1311" spans="2:14" x14ac:dyDescent="0.25">
      <c r="B1311" s="24"/>
      <c r="C1311" s="24"/>
      <c r="D1311" s="24"/>
      <c r="E1311" s="25"/>
      <c r="F1311" s="29"/>
      <c r="G1311" s="26"/>
      <c r="H1311" s="26"/>
      <c r="I1311" s="24"/>
      <c r="J1311" s="24"/>
      <c r="K1311" s="24"/>
      <c r="L1311" s="24"/>
      <c r="M1311" s="24"/>
      <c r="N1311" s="25"/>
    </row>
    <row r="1312" spans="2:14" x14ac:dyDescent="0.25">
      <c r="B1312" s="24"/>
      <c r="C1312" s="24"/>
      <c r="D1312" s="24"/>
      <c r="E1312" s="25"/>
      <c r="F1312" s="29"/>
      <c r="G1312" s="26"/>
      <c r="H1312" s="26"/>
      <c r="I1312" s="24"/>
      <c r="J1312" s="24"/>
      <c r="K1312" s="24"/>
      <c r="L1312" s="24"/>
      <c r="M1312" s="24"/>
      <c r="N1312" s="25"/>
    </row>
    <row r="1313" spans="2:14" x14ac:dyDescent="0.25">
      <c r="B1313" s="24"/>
      <c r="C1313" s="24"/>
      <c r="D1313" s="24"/>
      <c r="E1313" s="25"/>
      <c r="F1313" s="29"/>
      <c r="G1313" s="26"/>
      <c r="H1313" s="26"/>
      <c r="I1313" s="24"/>
      <c r="J1313" s="24"/>
      <c r="K1313" s="24"/>
      <c r="L1313" s="24"/>
      <c r="M1313" s="24"/>
      <c r="N1313" s="25"/>
    </row>
    <row r="1314" spans="2:14" x14ac:dyDescent="0.25">
      <c r="B1314" s="24"/>
      <c r="C1314" s="24"/>
      <c r="D1314" s="24"/>
      <c r="E1314" s="25"/>
      <c r="F1314" s="29"/>
      <c r="G1314" s="26"/>
      <c r="H1314" s="26"/>
      <c r="I1314" s="24"/>
      <c r="J1314" s="24"/>
      <c r="K1314" s="24"/>
      <c r="L1314" s="24"/>
      <c r="M1314" s="24"/>
      <c r="N1314" s="25"/>
    </row>
    <row r="1315" spans="2:14" x14ac:dyDescent="0.25">
      <c r="B1315" s="24"/>
      <c r="C1315" s="24"/>
      <c r="D1315" s="24"/>
      <c r="E1315" s="25"/>
      <c r="F1315" s="29"/>
      <c r="G1315" s="26"/>
      <c r="H1315" s="26"/>
      <c r="I1315" s="24"/>
      <c r="J1315" s="24"/>
      <c r="K1315" s="24"/>
      <c r="L1315" s="24"/>
      <c r="M1315" s="24"/>
      <c r="N1315" s="25"/>
    </row>
    <row r="1316" spans="2:14" x14ac:dyDescent="0.25">
      <c r="B1316" s="24"/>
      <c r="C1316" s="24"/>
      <c r="D1316" s="24"/>
      <c r="E1316" s="25"/>
      <c r="F1316" s="29"/>
      <c r="G1316" s="26"/>
      <c r="H1316" s="26"/>
      <c r="I1316" s="24"/>
      <c r="J1316" s="24"/>
      <c r="K1316" s="24"/>
      <c r="L1316" s="24"/>
      <c r="M1316" s="24"/>
      <c r="N1316" s="25"/>
    </row>
    <row r="1317" spans="2:14" x14ac:dyDescent="0.25">
      <c r="B1317" s="24"/>
      <c r="C1317" s="24"/>
      <c r="D1317" s="24"/>
      <c r="E1317" s="25"/>
      <c r="F1317" s="29"/>
      <c r="G1317" s="26"/>
      <c r="H1317" s="26"/>
      <c r="I1317" s="24"/>
      <c r="J1317" s="24"/>
      <c r="K1317" s="24"/>
      <c r="L1317" s="24"/>
      <c r="M1317" s="24"/>
      <c r="N1317" s="25"/>
    </row>
    <row r="1318" spans="2:14" x14ac:dyDescent="0.25">
      <c r="B1318" s="24"/>
      <c r="C1318" s="24"/>
      <c r="D1318" s="24"/>
      <c r="E1318" s="25"/>
      <c r="F1318" s="29"/>
      <c r="G1318" s="26"/>
      <c r="H1318" s="26"/>
      <c r="I1318" s="24"/>
      <c r="J1318" s="24"/>
      <c r="K1318" s="24"/>
      <c r="L1318" s="24"/>
      <c r="M1318" s="24"/>
      <c r="N1318" s="25"/>
    </row>
    <row r="1319" spans="2:14" x14ac:dyDescent="0.25">
      <c r="B1319" s="24"/>
      <c r="C1319" s="24"/>
      <c r="D1319" s="24"/>
      <c r="E1319" s="25"/>
      <c r="F1319" s="29"/>
      <c r="G1319" s="26"/>
      <c r="H1319" s="26"/>
      <c r="I1319" s="24"/>
      <c r="J1319" s="24"/>
      <c r="K1319" s="24"/>
      <c r="L1319" s="24"/>
      <c r="M1319" s="24"/>
      <c r="N1319" s="25"/>
    </row>
    <row r="1320" spans="2:14" x14ac:dyDescent="0.25">
      <c r="B1320" s="24"/>
      <c r="C1320" s="24"/>
      <c r="D1320" s="24"/>
      <c r="E1320" s="25"/>
      <c r="F1320" s="29"/>
      <c r="G1320" s="26"/>
      <c r="H1320" s="26"/>
      <c r="I1320" s="24"/>
      <c r="J1320" s="24"/>
      <c r="K1320" s="24"/>
      <c r="L1320" s="24"/>
      <c r="M1320" s="24"/>
      <c r="N1320" s="25"/>
    </row>
    <row r="1321" spans="2:14" x14ac:dyDescent="0.25">
      <c r="B1321" s="24"/>
      <c r="C1321" s="24"/>
      <c r="D1321" s="24"/>
      <c r="E1321" s="25"/>
      <c r="F1321" s="29"/>
      <c r="G1321" s="26"/>
      <c r="H1321" s="26"/>
      <c r="I1321" s="24"/>
      <c r="J1321" s="24"/>
      <c r="K1321" s="24"/>
      <c r="L1321" s="24"/>
      <c r="M1321" s="24"/>
      <c r="N1321" s="25"/>
    </row>
    <row r="1322" spans="2:14" x14ac:dyDescent="0.25">
      <c r="B1322" s="24"/>
      <c r="C1322" s="24"/>
      <c r="D1322" s="24"/>
      <c r="E1322" s="25"/>
      <c r="F1322" s="29"/>
      <c r="G1322" s="26"/>
      <c r="H1322" s="26"/>
      <c r="I1322" s="24"/>
      <c r="J1322" s="24"/>
      <c r="K1322" s="24"/>
      <c r="L1322" s="24"/>
      <c r="M1322" s="24"/>
      <c r="N1322" s="25"/>
    </row>
    <row r="1323" spans="2:14" x14ac:dyDescent="0.25">
      <c r="B1323" s="24"/>
      <c r="C1323" s="24"/>
      <c r="D1323" s="24"/>
      <c r="E1323" s="25"/>
      <c r="F1323" s="29"/>
      <c r="G1323" s="26"/>
      <c r="H1323" s="26"/>
      <c r="I1323" s="24"/>
      <c r="J1323" s="24"/>
      <c r="K1323" s="24"/>
      <c r="L1323" s="24"/>
      <c r="M1323" s="24"/>
      <c r="N1323" s="25"/>
    </row>
    <row r="1324" spans="2:14" x14ac:dyDescent="0.25">
      <c r="B1324" s="24"/>
      <c r="C1324" s="24"/>
      <c r="D1324" s="24"/>
      <c r="E1324" s="25"/>
      <c r="F1324" s="29"/>
      <c r="G1324" s="26"/>
      <c r="H1324" s="26"/>
      <c r="I1324" s="24"/>
      <c r="J1324" s="24"/>
      <c r="K1324" s="24"/>
      <c r="L1324" s="24"/>
      <c r="M1324" s="24"/>
      <c r="N1324" s="25"/>
    </row>
    <row r="1325" spans="2:14" x14ac:dyDescent="0.25">
      <c r="B1325" s="24"/>
      <c r="C1325" s="24"/>
      <c r="D1325" s="24"/>
      <c r="E1325" s="25"/>
      <c r="F1325" s="29"/>
      <c r="G1325" s="26"/>
      <c r="H1325" s="26"/>
      <c r="I1325" s="24"/>
      <c r="J1325" s="24"/>
      <c r="K1325" s="24"/>
      <c r="L1325" s="24"/>
      <c r="M1325" s="24"/>
      <c r="N1325" s="25"/>
    </row>
    <row r="1326" spans="2:14" x14ac:dyDescent="0.25">
      <c r="B1326" s="24"/>
      <c r="C1326" s="24"/>
      <c r="D1326" s="24"/>
      <c r="E1326" s="25"/>
      <c r="F1326" s="29"/>
      <c r="G1326" s="26"/>
      <c r="H1326" s="26"/>
      <c r="I1326" s="24"/>
      <c r="J1326" s="24"/>
      <c r="K1326" s="24"/>
      <c r="L1326" s="24"/>
      <c r="M1326" s="24"/>
      <c r="N1326" s="25"/>
    </row>
    <row r="1327" spans="2:14" x14ac:dyDescent="0.25">
      <c r="B1327" s="24"/>
      <c r="C1327" s="24"/>
      <c r="D1327" s="24"/>
      <c r="E1327" s="25"/>
      <c r="F1327" s="29"/>
      <c r="G1327" s="26"/>
      <c r="H1327" s="26"/>
      <c r="I1327" s="24"/>
      <c r="J1327" s="24"/>
      <c r="K1327" s="24"/>
      <c r="L1327" s="24"/>
      <c r="M1327" s="24"/>
      <c r="N1327" s="25"/>
    </row>
    <row r="1328" spans="2:14" x14ac:dyDescent="0.25">
      <c r="B1328" s="24"/>
      <c r="C1328" s="24"/>
      <c r="D1328" s="24"/>
      <c r="E1328" s="25"/>
      <c r="F1328" s="29"/>
      <c r="G1328" s="26"/>
      <c r="H1328" s="26"/>
      <c r="I1328" s="24"/>
      <c r="J1328" s="24"/>
      <c r="K1328" s="24"/>
      <c r="L1328" s="24"/>
      <c r="M1328" s="24"/>
      <c r="N1328" s="25"/>
    </row>
    <row r="1329" spans="2:14" x14ac:dyDescent="0.25">
      <c r="B1329" s="24"/>
      <c r="C1329" s="24"/>
      <c r="D1329" s="24"/>
      <c r="E1329" s="25"/>
      <c r="F1329" s="29"/>
      <c r="G1329" s="26"/>
      <c r="H1329" s="26"/>
      <c r="I1329" s="24"/>
      <c r="J1329" s="24"/>
      <c r="K1329" s="24"/>
      <c r="L1329" s="24"/>
      <c r="M1329" s="24"/>
      <c r="N1329" s="25"/>
    </row>
    <row r="1330" spans="2:14" x14ac:dyDescent="0.25">
      <c r="B1330" s="24"/>
      <c r="C1330" s="24"/>
      <c r="D1330" s="24"/>
      <c r="E1330" s="25"/>
      <c r="F1330" s="29"/>
      <c r="G1330" s="26"/>
      <c r="H1330" s="26"/>
      <c r="I1330" s="24"/>
      <c r="J1330" s="24"/>
      <c r="K1330" s="24"/>
      <c r="L1330" s="24"/>
      <c r="M1330" s="24"/>
      <c r="N1330" s="25"/>
    </row>
    <row r="1331" spans="2:14" x14ac:dyDescent="0.25">
      <c r="B1331" s="24"/>
      <c r="C1331" s="24"/>
      <c r="D1331" s="24"/>
      <c r="E1331" s="25"/>
      <c r="F1331" s="29"/>
      <c r="G1331" s="26"/>
      <c r="H1331" s="26"/>
      <c r="I1331" s="24"/>
      <c r="J1331" s="24"/>
      <c r="K1331" s="24"/>
      <c r="L1331" s="24"/>
      <c r="M1331" s="24"/>
      <c r="N1331" s="25"/>
    </row>
    <row r="1332" spans="2:14" x14ac:dyDescent="0.25">
      <c r="B1332" s="24"/>
      <c r="C1332" s="24"/>
      <c r="D1332" s="24"/>
      <c r="E1332" s="25"/>
      <c r="F1332" s="29"/>
      <c r="G1332" s="26"/>
      <c r="H1332" s="26"/>
      <c r="I1332" s="24"/>
      <c r="J1332" s="24"/>
      <c r="K1332" s="24"/>
      <c r="L1332" s="24"/>
      <c r="M1332" s="24"/>
      <c r="N1332" s="25"/>
    </row>
    <row r="1333" spans="2:14" x14ac:dyDescent="0.25">
      <c r="B1333" s="24"/>
      <c r="C1333" s="24"/>
      <c r="D1333" s="24"/>
      <c r="E1333" s="25"/>
      <c r="F1333" s="29"/>
      <c r="G1333" s="26"/>
      <c r="H1333" s="26"/>
      <c r="I1333" s="24"/>
      <c r="J1333" s="24"/>
      <c r="K1333" s="24"/>
      <c r="L1333" s="24"/>
      <c r="M1333" s="24"/>
      <c r="N1333" s="25"/>
    </row>
    <row r="1334" spans="2:14" x14ac:dyDescent="0.25">
      <c r="B1334" s="24"/>
      <c r="C1334" s="24"/>
      <c r="D1334" s="24"/>
      <c r="E1334" s="25"/>
      <c r="F1334" s="29"/>
      <c r="G1334" s="26"/>
      <c r="H1334" s="26"/>
      <c r="I1334" s="24"/>
      <c r="J1334" s="24"/>
      <c r="K1334" s="24"/>
      <c r="L1334" s="24"/>
      <c r="M1334" s="24"/>
      <c r="N1334" s="25"/>
    </row>
    <row r="1335" spans="2:14" x14ac:dyDescent="0.25">
      <c r="B1335" s="24"/>
      <c r="C1335" s="24"/>
      <c r="D1335" s="24"/>
      <c r="E1335" s="25"/>
      <c r="F1335" s="29"/>
      <c r="G1335" s="26"/>
      <c r="H1335" s="26"/>
      <c r="I1335" s="24"/>
      <c r="J1335" s="24"/>
      <c r="K1335" s="24"/>
      <c r="L1335" s="24"/>
      <c r="M1335" s="24"/>
      <c r="N1335" s="25"/>
    </row>
    <row r="1336" spans="2:14" x14ac:dyDescent="0.25">
      <c r="B1336" s="24"/>
      <c r="C1336" s="24"/>
      <c r="D1336" s="24"/>
      <c r="E1336" s="25"/>
      <c r="F1336" s="29"/>
      <c r="G1336" s="26"/>
      <c r="H1336" s="26"/>
      <c r="I1336" s="24"/>
      <c r="J1336" s="24"/>
      <c r="K1336" s="24"/>
      <c r="L1336" s="24"/>
      <c r="M1336" s="24"/>
      <c r="N1336" s="25"/>
    </row>
    <row r="1337" spans="2:14" x14ac:dyDescent="0.25">
      <c r="B1337" s="24"/>
      <c r="C1337" s="24"/>
      <c r="D1337" s="24"/>
      <c r="E1337" s="25"/>
      <c r="F1337" s="29"/>
      <c r="G1337" s="26"/>
      <c r="H1337" s="26"/>
      <c r="I1337" s="24"/>
      <c r="J1337" s="24"/>
      <c r="K1337" s="24"/>
      <c r="L1337" s="24"/>
      <c r="M1337" s="24"/>
      <c r="N1337" s="25"/>
    </row>
    <row r="1338" spans="2:14" x14ac:dyDescent="0.25">
      <c r="B1338" s="24"/>
      <c r="C1338" s="24"/>
      <c r="D1338" s="24"/>
      <c r="E1338" s="25"/>
      <c r="F1338" s="29"/>
      <c r="G1338" s="26"/>
      <c r="H1338" s="26"/>
      <c r="I1338" s="24"/>
      <c r="J1338" s="24"/>
      <c r="K1338" s="24"/>
      <c r="L1338" s="24"/>
      <c r="M1338" s="24"/>
      <c r="N1338" s="25"/>
    </row>
    <row r="1339" spans="2:14" x14ac:dyDescent="0.25">
      <c r="B1339" s="24"/>
      <c r="C1339" s="24"/>
      <c r="D1339" s="24"/>
      <c r="E1339" s="25"/>
      <c r="F1339" s="29"/>
      <c r="G1339" s="26"/>
      <c r="H1339" s="26"/>
      <c r="I1339" s="24"/>
      <c r="J1339" s="24"/>
      <c r="K1339" s="24"/>
      <c r="L1339" s="24"/>
      <c r="M1339" s="24"/>
      <c r="N1339" s="25"/>
    </row>
    <row r="1340" spans="2:14" x14ac:dyDescent="0.25">
      <c r="B1340" s="24"/>
      <c r="C1340" s="24"/>
      <c r="D1340" s="24"/>
      <c r="E1340" s="25"/>
      <c r="F1340" s="29"/>
      <c r="G1340" s="26"/>
      <c r="H1340" s="26"/>
      <c r="I1340" s="24"/>
      <c r="J1340" s="24"/>
      <c r="K1340" s="24"/>
      <c r="L1340" s="24"/>
      <c r="M1340" s="24"/>
      <c r="N1340" s="25"/>
    </row>
    <row r="1341" spans="2:14" x14ac:dyDescent="0.25">
      <c r="B1341" s="24"/>
      <c r="C1341" s="24"/>
      <c r="D1341" s="24"/>
      <c r="E1341" s="25"/>
      <c r="F1341" s="29"/>
      <c r="G1341" s="26"/>
      <c r="H1341" s="26"/>
      <c r="I1341" s="24"/>
      <c r="J1341" s="24"/>
      <c r="K1341" s="24"/>
      <c r="L1341" s="24"/>
      <c r="M1341" s="24"/>
      <c r="N1341" s="25"/>
    </row>
    <row r="1342" spans="2:14" x14ac:dyDescent="0.25">
      <c r="B1342" s="24"/>
      <c r="C1342" s="24"/>
      <c r="D1342" s="24"/>
      <c r="E1342" s="25"/>
      <c r="F1342" s="29"/>
      <c r="G1342" s="26"/>
      <c r="H1342" s="26"/>
      <c r="I1342" s="24"/>
      <c r="J1342" s="24"/>
      <c r="K1342" s="24"/>
      <c r="L1342" s="24"/>
      <c r="M1342" s="24"/>
      <c r="N1342" s="25"/>
    </row>
    <row r="1343" spans="2:14" x14ac:dyDescent="0.25">
      <c r="B1343" s="24"/>
      <c r="C1343" s="24"/>
      <c r="D1343" s="24"/>
      <c r="E1343" s="25"/>
      <c r="F1343" s="29"/>
      <c r="G1343" s="26"/>
      <c r="H1343" s="26"/>
      <c r="I1343" s="24"/>
      <c r="J1343" s="24"/>
      <c r="K1343" s="24"/>
      <c r="L1343" s="24"/>
      <c r="M1343" s="24"/>
      <c r="N1343" s="25"/>
    </row>
    <row r="1344" spans="2:14" x14ac:dyDescent="0.25">
      <c r="B1344" s="24"/>
      <c r="C1344" s="24"/>
      <c r="D1344" s="24"/>
      <c r="E1344" s="25"/>
      <c r="F1344" s="29"/>
      <c r="G1344" s="26"/>
      <c r="H1344" s="26"/>
      <c r="I1344" s="24"/>
      <c r="J1344" s="24"/>
      <c r="K1344" s="24"/>
      <c r="L1344" s="24"/>
      <c r="M1344" s="24"/>
      <c r="N1344" s="25"/>
    </row>
    <row r="1345" spans="2:14" x14ac:dyDescent="0.25">
      <c r="B1345" s="24"/>
      <c r="C1345" s="24"/>
      <c r="D1345" s="24"/>
      <c r="E1345" s="25"/>
      <c r="F1345" s="29"/>
      <c r="G1345" s="26"/>
      <c r="H1345" s="26"/>
      <c r="I1345" s="24"/>
      <c r="J1345" s="24"/>
      <c r="K1345" s="24"/>
      <c r="L1345" s="24"/>
      <c r="M1345" s="24"/>
      <c r="N1345" s="25"/>
    </row>
    <row r="1346" spans="2:14" x14ac:dyDescent="0.25">
      <c r="B1346" s="24"/>
      <c r="C1346" s="24"/>
      <c r="D1346" s="24"/>
      <c r="E1346" s="25"/>
      <c r="F1346" s="29"/>
      <c r="G1346" s="26"/>
      <c r="H1346" s="26"/>
      <c r="I1346" s="24"/>
      <c r="J1346" s="24"/>
      <c r="K1346" s="24"/>
      <c r="L1346" s="24"/>
      <c r="M1346" s="24"/>
      <c r="N1346" s="25"/>
    </row>
    <row r="1347" spans="2:14" x14ac:dyDescent="0.25">
      <c r="B1347" s="24"/>
      <c r="C1347" s="24"/>
      <c r="D1347" s="24"/>
      <c r="E1347" s="25"/>
      <c r="F1347" s="29"/>
      <c r="G1347" s="26"/>
      <c r="H1347" s="26"/>
      <c r="I1347" s="24"/>
      <c r="J1347" s="24"/>
      <c r="K1347" s="24"/>
      <c r="L1347" s="24"/>
      <c r="M1347" s="24"/>
      <c r="N1347" s="25"/>
    </row>
    <row r="1348" spans="2:14" x14ac:dyDescent="0.25">
      <c r="B1348" s="24"/>
      <c r="C1348" s="24"/>
      <c r="D1348" s="24"/>
      <c r="E1348" s="25"/>
      <c r="F1348" s="29"/>
      <c r="G1348" s="26"/>
      <c r="H1348" s="26"/>
      <c r="I1348" s="24"/>
      <c r="J1348" s="24"/>
      <c r="K1348" s="24"/>
      <c r="L1348" s="24"/>
      <c r="M1348" s="24"/>
      <c r="N1348" s="25"/>
    </row>
    <row r="1349" spans="2:14" x14ac:dyDescent="0.25">
      <c r="B1349" s="24"/>
      <c r="C1349" s="24"/>
      <c r="D1349" s="24"/>
      <c r="E1349" s="25"/>
      <c r="F1349" s="29"/>
      <c r="G1349" s="26"/>
      <c r="H1349" s="26"/>
      <c r="I1349" s="24"/>
      <c r="J1349" s="24"/>
      <c r="K1349" s="24"/>
      <c r="L1349" s="24"/>
      <c r="M1349" s="24"/>
      <c r="N1349" s="25"/>
    </row>
    <row r="1350" spans="2:14" x14ac:dyDescent="0.25">
      <c r="B1350" s="24"/>
      <c r="C1350" s="24"/>
      <c r="D1350" s="24"/>
      <c r="E1350" s="25"/>
      <c r="F1350" s="29"/>
      <c r="G1350" s="26"/>
      <c r="H1350" s="26"/>
      <c r="I1350" s="24"/>
      <c r="J1350" s="24"/>
      <c r="K1350" s="24"/>
      <c r="L1350" s="24"/>
      <c r="M1350" s="24"/>
      <c r="N1350" s="25"/>
    </row>
    <row r="1351" spans="2:14" x14ac:dyDescent="0.25">
      <c r="B1351" s="24"/>
      <c r="C1351" s="24"/>
      <c r="D1351" s="24"/>
      <c r="E1351" s="25"/>
      <c r="F1351" s="29"/>
      <c r="G1351" s="26"/>
      <c r="H1351" s="26"/>
      <c r="I1351" s="24"/>
      <c r="J1351" s="24"/>
      <c r="K1351" s="24"/>
      <c r="L1351" s="24"/>
      <c r="M1351" s="24"/>
      <c r="N1351" s="25"/>
    </row>
    <row r="1352" spans="2:14" x14ac:dyDescent="0.25">
      <c r="B1352" s="24"/>
      <c r="C1352" s="24"/>
      <c r="D1352" s="24"/>
      <c r="E1352" s="25"/>
      <c r="F1352" s="29"/>
      <c r="G1352" s="26"/>
      <c r="H1352" s="26"/>
      <c r="I1352" s="24"/>
      <c r="J1352" s="24"/>
      <c r="K1352" s="24"/>
      <c r="L1352" s="24"/>
      <c r="M1352" s="24"/>
      <c r="N1352" s="25"/>
    </row>
    <row r="1353" spans="2:14" x14ac:dyDescent="0.25">
      <c r="B1353" s="24"/>
      <c r="C1353" s="24"/>
      <c r="D1353" s="24"/>
      <c r="E1353" s="25"/>
      <c r="F1353" s="29"/>
      <c r="G1353" s="26"/>
      <c r="H1353" s="26"/>
      <c r="I1353" s="24"/>
      <c r="J1353" s="24"/>
      <c r="K1353" s="24"/>
      <c r="L1353" s="24"/>
      <c r="M1353" s="24"/>
      <c r="N1353" s="25"/>
    </row>
    <row r="1354" spans="2:14" x14ac:dyDescent="0.25">
      <c r="B1354" s="24"/>
      <c r="C1354" s="24"/>
      <c r="D1354" s="24"/>
      <c r="E1354" s="25"/>
      <c r="F1354" s="29"/>
      <c r="G1354" s="26"/>
      <c r="H1354" s="26"/>
      <c r="I1354" s="24"/>
      <c r="J1354" s="24"/>
      <c r="K1354" s="24"/>
      <c r="L1354" s="24"/>
      <c r="M1354" s="24"/>
      <c r="N1354" s="25"/>
    </row>
    <row r="1355" spans="2:14" x14ac:dyDescent="0.25">
      <c r="B1355" s="24"/>
      <c r="C1355" s="24"/>
      <c r="D1355" s="24"/>
      <c r="E1355" s="25"/>
      <c r="F1355" s="29"/>
      <c r="G1355" s="26"/>
      <c r="H1355" s="26"/>
      <c r="I1355" s="24"/>
      <c r="J1355" s="24"/>
      <c r="K1355" s="24"/>
      <c r="L1355" s="24"/>
      <c r="M1355" s="24"/>
      <c r="N1355" s="25"/>
    </row>
    <row r="1356" spans="2:14" x14ac:dyDescent="0.25">
      <c r="B1356" s="24"/>
      <c r="C1356" s="24"/>
      <c r="D1356" s="24"/>
      <c r="E1356" s="25"/>
      <c r="F1356" s="29"/>
      <c r="G1356" s="26"/>
      <c r="H1356" s="26"/>
      <c r="I1356" s="24"/>
      <c r="J1356" s="24"/>
      <c r="K1356" s="24"/>
      <c r="L1356" s="24"/>
      <c r="M1356" s="24"/>
      <c r="N1356" s="25"/>
    </row>
    <row r="1357" spans="2:14" x14ac:dyDescent="0.25">
      <c r="B1357" s="24"/>
      <c r="C1357" s="24"/>
      <c r="D1357" s="24"/>
      <c r="E1357" s="25"/>
      <c r="F1357" s="29"/>
      <c r="G1357" s="26"/>
      <c r="H1357" s="26"/>
      <c r="I1357" s="24"/>
      <c r="J1357" s="24"/>
      <c r="K1357" s="24"/>
      <c r="L1357" s="24"/>
      <c r="M1357" s="24"/>
      <c r="N1357" s="25"/>
    </row>
    <row r="1358" spans="2:14" x14ac:dyDescent="0.25">
      <c r="B1358" s="24"/>
      <c r="C1358" s="24"/>
      <c r="D1358" s="24"/>
      <c r="E1358" s="25"/>
      <c r="F1358" s="29"/>
      <c r="G1358" s="26"/>
      <c r="H1358" s="26"/>
      <c r="I1358" s="24"/>
      <c r="J1358" s="24"/>
      <c r="K1358" s="24"/>
      <c r="L1358" s="24"/>
      <c r="M1358" s="24"/>
      <c r="N1358" s="25"/>
    </row>
    <row r="1359" spans="2:14" x14ac:dyDescent="0.25">
      <c r="B1359" s="24"/>
      <c r="C1359" s="24"/>
      <c r="D1359" s="24"/>
      <c r="E1359" s="25"/>
      <c r="F1359" s="29"/>
      <c r="G1359" s="26"/>
      <c r="H1359" s="26"/>
      <c r="I1359" s="24"/>
      <c r="J1359" s="24"/>
      <c r="K1359" s="24"/>
      <c r="L1359" s="24"/>
      <c r="M1359" s="24"/>
      <c r="N1359" s="25"/>
    </row>
    <row r="1360" spans="2:14" x14ac:dyDescent="0.25">
      <c r="B1360" s="24"/>
      <c r="C1360" s="24"/>
      <c r="D1360" s="24"/>
      <c r="E1360" s="25"/>
      <c r="F1360" s="29"/>
      <c r="G1360" s="26"/>
      <c r="H1360" s="26"/>
      <c r="I1360" s="24"/>
      <c r="J1360" s="24"/>
      <c r="K1360" s="24"/>
      <c r="L1360" s="24"/>
      <c r="M1360" s="24"/>
      <c r="N1360" s="25"/>
    </row>
    <row r="1361" spans="2:14" x14ac:dyDescent="0.25">
      <c r="B1361" s="24"/>
      <c r="C1361" s="24"/>
      <c r="D1361" s="24"/>
      <c r="E1361" s="25"/>
      <c r="F1361" s="29"/>
      <c r="G1361" s="26"/>
      <c r="H1361" s="26"/>
      <c r="I1361" s="24"/>
      <c r="J1361" s="24"/>
      <c r="K1361" s="24"/>
      <c r="L1361" s="24"/>
      <c r="M1361" s="24"/>
      <c r="N1361" s="25"/>
    </row>
    <row r="1362" spans="2:14" x14ac:dyDescent="0.25">
      <c r="B1362" s="24"/>
      <c r="C1362" s="24"/>
      <c r="D1362" s="24"/>
      <c r="E1362" s="25"/>
      <c r="F1362" s="29"/>
      <c r="G1362" s="26"/>
      <c r="H1362" s="26"/>
      <c r="I1362" s="24"/>
      <c r="J1362" s="24"/>
      <c r="K1362" s="24"/>
      <c r="L1362" s="24"/>
      <c r="M1362" s="24"/>
      <c r="N1362" s="25"/>
    </row>
    <row r="1363" spans="2:14" x14ac:dyDescent="0.25">
      <c r="B1363" s="24"/>
      <c r="C1363" s="24"/>
      <c r="D1363" s="24"/>
      <c r="E1363" s="25"/>
      <c r="F1363" s="29"/>
      <c r="G1363" s="26"/>
      <c r="H1363" s="26"/>
      <c r="I1363" s="24"/>
      <c r="J1363" s="24"/>
      <c r="K1363" s="24"/>
      <c r="L1363" s="24"/>
      <c r="M1363" s="24"/>
      <c r="N1363" s="25"/>
    </row>
    <row r="1364" spans="2:14" x14ac:dyDescent="0.25">
      <c r="B1364" s="24"/>
      <c r="C1364" s="24"/>
      <c r="D1364" s="24"/>
      <c r="E1364" s="25"/>
      <c r="F1364" s="29"/>
      <c r="G1364" s="26"/>
      <c r="H1364" s="26"/>
      <c r="I1364" s="24"/>
      <c r="J1364" s="24"/>
      <c r="K1364" s="24"/>
      <c r="L1364" s="24"/>
      <c r="M1364" s="24"/>
      <c r="N1364" s="25"/>
    </row>
    <row r="1365" spans="2:14" x14ac:dyDescent="0.25">
      <c r="B1365" s="24"/>
      <c r="C1365" s="24"/>
      <c r="D1365" s="24"/>
      <c r="E1365" s="25"/>
      <c r="F1365" s="29"/>
      <c r="G1365" s="26"/>
      <c r="H1365" s="26"/>
      <c r="I1365" s="24"/>
      <c r="J1365" s="24"/>
      <c r="K1365" s="24"/>
      <c r="L1365" s="24"/>
      <c r="M1365" s="24"/>
      <c r="N1365" s="25"/>
    </row>
    <row r="1366" spans="2:14" x14ac:dyDescent="0.25">
      <c r="B1366" s="24"/>
      <c r="C1366" s="24"/>
      <c r="D1366" s="24"/>
      <c r="E1366" s="25"/>
      <c r="F1366" s="29"/>
      <c r="G1366" s="26"/>
      <c r="H1366" s="26"/>
      <c r="I1366" s="24"/>
      <c r="J1366" s="24"/>
      <c r="K1366" s="24"/>
      <c r="L1366" s="24"/>
      <c r="M1366" s="24"/>
      <c r="N1366" s="25"/>
    </row>
    <row r="1367" spans="2:14" x14ac:dyDescent="0.25">
      <c r="B1367" s="24"/>
      <c r="C1367" s="24"/>
      <c r="D1367" s="24"/>
      <c r="E1367" s="25"/>
      <c r="F1367" s="29"/>
      <c r="G1367" s="26"/>
      <c r="H1367" s="26"/>
      <c r="I1367" s="24"/>
      <c r="J1367" s="24"/>
      <c r="K1367" s="24"/>
      <c r="L1367" s="24"/>
      <c r="M1367" s="24"/>
      <c r="N1367" s="25"/>
    </row>
    <row r="1368" spans="2:14" x14ac:dyDescent="0.25">
      <c r="B1368" s="24"/>
      <c r="C1368" s="24"/>
      <c r="D1368" s="24"/>
      <c r="E1368" s="25"/>
      <c r="F1368" s="29"/>
      <c r="G1368" s="26"/>
      <c r="H1368" s="26"/>
      <c r="I1368" s="24"/>
      <c r="J1368" s="24"/>
      <c r="K1368" s="24"/>
      <c r="L1368" s="24"/>
      <c r="M1368" s="24"/>
      <c r="N1368" s="25"/>
    </row>
    <row r="1369" spans="2:14" x14ac:dyDescent="0.25">
      <c r="B1369" s="24"/>
      <c r="C1369" s="24"/>
      <c r="D1369" s="24"/>
      <c r="E1369" s="25"/>
      <c r="F1369" s="29"/>
      <c r="G1369" s="26"/>
      <c r="H1369" s="26"/>
      <c r="I1369" s="24"/>
      <c r="J1369" s="24"/>
      <c r="K1369" s="24"/>
      <c r="L1369" s="24"/>
      <c r="M1369" s="24"/>
      <c r="N1369" s="25"/>
    </row>
    <row r="1370" spans="2:14" x14ac:dyDescent="0.25">
      <c r="B1370" s="24"/>
      <c r="C1370" s="24"/>
      <c r="D1370" s="24"/>
      <c r="E1370" s="25"/>
      <c r="F1370" s="29"/>
      <c r="G1370" s="26"/>
      <c r="H1370" s="26"/>
      <c r="I1370" s="24"/>
      <c r="J1370" s="24"/>
      <c r="K1370" s="24"/>
      <c r="L1370" s="24"/>
      <c r="M1370" s="24"/>
      <c r="N1370" s="25"/>
    </row>
    <row r="1371" spans="2:14" x14ac:dyDescent="0.25">
      <c r="B1371" s="24"/>
      <c r="C1371" s="24"/>
      <c r="D1371" s="24"/>
      <c r="E1371" s="25"/>
      <c r="F1371" s="29"/>
      <c r="G1371" s="26"/>
      <c r="H1371" s="26"/>
      <c r="I1371" s="24"/>
      <c r="J1371" s="24"/>
      <c r="K1371" s="24"/>
      <c r="L1371" s="24"/>
      <c r="M1371" s="24"/>
      <c r="N1371" s="25"/>
    </row>
    <row r="1372" spans="2:14" x14ac:dyDescent="0.25">
      <c r="B1372" s="24"/>
      <c r="C1372" s="24"/>
      <c r="D1372" s="24"/>
      <c r="E1372" s="25"/>
      <c r="F1372" s="29"/>
      <c r="G1372" s="26"/>
      <c r="H1372" s="26"/>
      <c r="I1372" s="24"/>
      <c r="J1372" s="24"/>
      <c r="K1372" s="24"/>
      <c r="L1372" s="24"/>
      <c r="M1372" s="24"/>
      <c r="N1372" s="25"/>
    </row>
    <row r="1373" spans="2:14" x14ac:dyDescent="0.25">
      <c r="B1373" s="24"/>
      <c r="C1373" s="24"/>
      <c r="D1373" s="24"/>
      <c r="E1373" s="25"/>
      <c r="F1373" s="29"/>
      <c r="G1373" s="26"/>
      <c r="H1373" s="26"/>
      <c r="I1373" s="24"/>
      <c r="J1373" s="24"/>
      <c r="K1373" s="24"/>
      <c r="L1373" s="24"/>
      <c r="M1373" s="24"/>
      <c r="N1373" s="25"/>
    </row>
    <row r="1374" spans="2:14" x14ac:dyDescent="0.25">
      <c r="B1374" s="24"/>
      <c r="C1374" s="24"/>
      <c r="D1374" s="24"/>
      <c r="E1374" s="25"/>
      <c r="F1374" s="29"/>
      <c r="G1374" s="26"/>
      <c r="H1374" s="26"/>
      <c r="I1374" s="24"/>
      <c r="J1374" s="24"/>
      <c r="K1374" s="24"/>
      <c r="L1374" s="24"/>
      <c r="M1374" s="24"/>
      <c r="N1374" s="25"/>
    </row>
    <row r="1375" spans="2:14" x14ac:dyDescent="0.25">
      <c r="B1375" s="24"/>
      <c r="C1375" s="24"/>
      <c r="D1375" s="24"/>
      <c r="E1375" s="25"/>
      <c r="F1375" s="29"/>
      <c r="G1375" s="26"/>
      <c r="H1375" s="26"/>
      <c r="I1375" s="24"/>
      <c r="J1375" s="24"/>
      <c r="K1375" s="24"/>
      <c r="L1375" s="24"/>
      <c r="M1375" s="24"/>
      <c r="N1375" s="25"/>
    </row>
    <row r="1376" spans="2:14" x14ac:dyDescent="0.25">
      <c r="B1376" s="24"/>
      <c r="C1376" s="24"/>
      <c r="D1376" s="24"/>
      <c r="E1376" s="25"/>
      <c r="F1376" s="29"/>
      <c r="G1376" s="26"/>
      <c r="H1376" s="26"/>
      <c r="I1376" s="24"/>
      <c r="J1376" s="24"/>
      <c r="K1376" s="24"/>
      <c r="L1376" s="24"/>
      <c r="M1376" s="24"/>
      <c r="N1376" s="25"/>
    </row>
    <row r="1377" spans="2:14" x14ac:dyDescent="0.25">
      <c r="B1377" s="24"/>
      <c r="C1377" s="24"/>
      <c r="D1377" s="24"/>
      <c r="E1377" s="25"/>
      <c r="F1377" s="29"/>
      <c r="G1377" s="26"/>
      <c r="H1377" s="26"/>
      <c r="I1377" s="24"/>
      <c r="J1377" s="24"/>
      <c r="K1377" s="24"/>
      <c r="L1377" s="24"/>
      <c r="M1377" s="24"/>
      <c r="N1377" s="25"/>
    </row>
    <row r="1378" spans="2:14" x14ac:dyDescent="0.25">
      <c r="B1378" s="24"/>
      <c r="C1378" s="24"/>
      <c r="D1378" s="24"/>
      <c r="E1378" s="25"/>
      <c r="F1378" s="29"/>
      <c r="G1378" s="26"/>
      <c r="H1378" s="26"/>
      <c r="I1378" s="24"/>
      <c r="J1378" s="24"/>
      <c r="K1378" s="24"/>
      <c r="L1378" s="24"/>
      <c r="M1378" s="24"/>
      <c r="N1378" s="25"/>
    </row>
    <row r="1379" spans="2:14" x14ac:dyDescent="0.25">
      <c r="B1379" s="24"/>
      <c r="C1379" s="24"/>
      <c r="D1379" s="24"/>
      <c r="E1379" s="25"/>
      <c r="F1379" s="29"/>
      <c r="G1379" s="26"/>
      <c r="H1379" s="26"/>
      <c r="I1379" s="24"/>
      <c r="J1379" s="24"/>
      <c r="K1379" s="24"/>
      <c r="L1379" s="24"/>
      <c r="M1379" s="24"/>
      <c r="N1379" s="25"/>
    </row>
    <row r="1380" spans="2:14" x14ac:dyDescent="0.25">
      <c r="B1380" s="24"/>
      <c r="C1380" s="24"/>
      <c r="D1380" s="24"/>
      <c r="E1380" s="25"/>
      <c r="F1380" s="29"/>
      <c r="G1380" s="26"/>
      <c r="H1380" s="26"/>
      <c r="I1380" s="24"/>
      <c r="J1380" s="24"/>
      <c r="K1380" s="24"/>
      <c r="L1380" s="24"/>
      <c r="M1380" s="24"/>
      <c r="N1380" s="25"/>
    </row>
    <row r="1381" spans="2:14" x14ac:dyDescent="0.25">
      <c r="B1381" s="24"/>
      <c r="C1381" s="24"/>
      <c r="D1381" s="24"/>
      <c r="E1381" s="25"/>
      <c r="F1381" s="29"/>
      <c r="G1381" s="26"/>
      <c r="H1381" s="26"/>
      <c r="I1381" s="24"/>
      <c r="J1381" s="24"/>
      <c r="K1381" s="24"/>
      <c r="L1381" s="24"/>
      <c r="M1381" s="24"/>
      <c r="N1381" s="25"/>
    </row>
    <row r="1382" spans="2:14" x14ac:dyDescent="0.25">
      <c r="B1382" s="24"/>
      <c r="C1382" s="24"/>
      <c r="D1382" s="24"/>
      <c r="E1382" s="25"/>
      <c r="F1382" s="29"/>
      <c r="G1382" s="26"/>
      <c r="H1382" s="26"/>
      <c r="I1382" s="24"/>
      <c r="J1382" s="24"/>
      <c r="K1382" s="24"/>
      <c r="L1382" s="24"/>
      <c r="M1382" s="24"/>
      <c r="N1382" s="25"/>
    </row>
    <row r="1383" spans="2:14" x14ac:dyDescent="0.25">
      <c r="B1383" s="24"/>
      <c r="C1383" s="24"/>
      <c r="D1383" s="24"/>
      <c r="E1383" s="25"/>
      <c r="F1383" s="29"/>
      <c r="G1383" s="26"/>
      <c r="H1383" s="26"/>
      <c r="I1383" s="24"/>
      <c r="J1383" s="24"/>
      <c r="K1383" s="24"/>
      <c r="L1383" s="24"/>
      <c r="M1383" s="24"/>
      <c r="N1383" s="25"/>
    </row>
    <row r="1384" spans="2:14" x14ac:dyDescent="0.25">
      <c r="B1384" s="24"/>
      <c r="C1384" s="24"/>
      <c r="D1384" s="24"/>
      <c r="E1384" s="25"/>
      <c r="F1384" s="29"/>
      <c r="G1384" s="26"/>
      <c r="H1384" s="26"/>
      <c r="I1384" s="24"/>
      <c r="J1384" s="24"/>
      <c r="K1384" s="24"/>
      <c r="L1384" s="24"/>
      <c r="M1384" s="24"/>
      <c r="N1384" s="25"/>
    </row>
    <row r="1385" spans="2:14" x14ac:dyDescent="0.25">
      <c r="B1385" s="24"/>
      <c r="C1385" s="24"/>
      <c r="D1385" s="24"/>
      <c r="E1385" s="25"/>
      <c r="F1385" s="29"/>
      <c r="G1385" s="26"/>
      <c r="H1385" s="26"/>
      <c r="I1385" s="24"/>
      <c r="J1385" s="24"/>
      <c r="K1385" s="24"/>
      <c r="L1385" s="24"/>
      <c r="M1385" s="24"/>
      <c r="N1385" s="25"/>
    </row>
    <row r="1386" spans="2:14" x14ac:dyDescent="0.25">
      <c r="B1386" s="24"/>
      <c r="C1386" s="24"/>
      <c r="D1386" s="24"/>
      <c r="E1386" s="25"/>
      <c r="F1386" s="29"/>
      <c r="G1386" s="26"/>
      <c r="H1386" s="26"/>
      <c r="I1386" s="24"/>
      <c r="J1386" s="24"/>
      <c r="K1386" s="24"/>
      <c r="L1386" s="24"/>
      <c r="M1386" s="24"/>
      <c r="N1386" s="25"/>
    </row>
    <row r="1387" spans="2:14" x14ac:dyDescent="0.25">
      <c r="B1387" s="24"/>
      <c r="C1387" s="24"/>
      <c r="D1387" s="24"/>
      <c r="E1387" s="25"/>
      <c r="F1387" s="29"/>
      <c r="G1387" s="26"/>
      <c r="H1387" s="26"/>
      <c r="I1387" s="24"/>
      <c r="J1387" s="24"/>
      <c r="K1387" s="24"/>
      <c r="L1387" s="24"/>
      <c r="M1387" s="24"/>
      <c r="N1387" s="25"/>
    </row>
    <row r="1388" spans="2:14" x14ac:dyDescent="0.25">
      <c r="B1388" s="24"/>
      <c r="C1388" s="24"/>
      <c r="D1388" s="24"/>
      <c r="E1388" s="25"/>
      <c r="F1388" s="29"/>
      <c r="G1388" s="26"/>
      <c r="H1388" s="26"/>
      <c r="I1388" s="24"/>
      <c r="J1388" s="24"/>
      <c r="K1388" s="24"/>
      <c r="L1388" s="24"/>
      <c r="M1388" s="24"/>
      <c r="N1388" s="25"/>
    </row>
    <row r="1389" spans="2:14" x14ac:dyDescent="0.25">
      <c r="B1389" s="24"/>
      <c r="C1389" s="24"/>
      <c r="D1389" s="24"/>
      <c r="E1389" s="25"/>
      <c r="F1389" s="29"/>
      <c r="G1389" s="26"/>
      <c r="H1389" s="26"/>
      <c r="I1389" s="24"/>
      <c r="J1389" s="24"/>
      <c r="K1389" s="24"/>
      <c r="L1389" s="24"/>
      <c r="M1389" s="24"/>
      <c r="N1389" s="25"/>
    </row>
    <row r="1390" spans="2:14" x14ac:dyDescent="0.25">
      <c r="B1390" s="24"/>
      <c r="C1390" s="24"/>
      <c r="D1390" s="24"/>
      <c r="E1390" s="25"/>
      <c r="F1390" s="29"/>
      <c r="G1390" s="26"/>
      <c r="H1390" s="26"/>
      <c r="I1390" s="24"/>
      <c r="J1390" s="24"/>
      <c r="K1390" s="24"/>
      <c r="L1390" s="24"/>
      <c r="M1390" s="24"/>
      <c r="N1390" s="25"/>
    </row>
    <row r="1391" spans="2:14" x14ac:dyDescent="0.25">
      <c r="B1391" s="24"/>
      <c r="C1391" s="24"/>
      <c r="D1391" s="24"/>
      <c r="E1391" s="25"/>
      <c r="F1391" s="29"/>
      <c r="G1391" s="26"/>
      <c r="H1391" s="26"/>
      <c r="I1391" s="24"/>
      <c r="J1391" s="24"/>
      <c r="K1391" s="24"/>
      <c r="L1391" s="24"/>
      <c r="M1391" s="24"/>
      <c r="N1391" s="25"/>
    </row>
    <row r="1392" spans="2:14" x14ac:dyDescent="0.25">
      <c r="B1392" s="24"/>
      <c r="C1392" s="24"/>
      <c r="D1392" s="24"/>
      <c r="E1392" s="25"/>
      <c r="F1392" s="29"/>
      <c r="G1392" s="26"/>
      <c r="H1392" s="26"/>
      <c r="I1392" s="24"/>
      <c r="J1392" s="24"/>
      <c r="K1392" s="24"/>
      <c r="L1392" s="24"/>
      <c r="M1392" s="24"/>
      <c r="N1392" s="25"/>
    </row>
    <row r="1393" spans="2:14" x14ac:dyDescent="0.25">
      <c r="B1393" s="24"/>
      <c r="C1393" s="24"/>
      <c r="D1393" s="24"/>
      <c r="E1393" s="25"/>
      <c r="F1393" s="29"/>
      <c r="G1393" s="26"/>
      <c r="H1393" s="26"/>
      <c r="I1393" s="24"/>
      <c r="J1393" s="24"/>
      <c r="K1393" s="24"/>
      <c r="L1393" s="24"/>
      <c r="M1393" s="24"/>
      <c r="N1393" s="25"/>
    </row>
    <row r="1394" spans="2:14" x14ac:dyDescent="0.25">
      <c r="B1394" s="24"/>
      <c r="C1394" s="24"/>
      <c r="D1394" s="24"/>
      <c r="E1394" s="25"/>
      <c r="F1394" s="29"/>
      <c r="G1394" s="26"/>
      <c r="H1394" s="26"/>
      <c r="I1394" s="24"/>
      <c r="J1394" s="24"/>
      <c r="K1394" s="24"/>
      <c r="L1394" s="24"/>
      <c r="M1394" s="24"/>
      <c r="N1394" s="25"/>
    </row>
    <row r="1395" spans="2:14" x14ac:dyDescent="0.25">
      <c r="B1395" s="24"/>
      <c r="C1395" s="24"/>
      <c r="D1395" s="24"/>
      <c r="E1395" s="25"/>
      <c r="F1395" s="29"/>
      <c r="G1395" s="26"/>
      <c r="H1395" s="26"/>
      <c r="I1395" s="24"/>
      <c r="J1395" s="24"/>
      <c r="K1395" s="24"/>
      <c r="L1395" s="24"/>
      <c r="M1395" s="24"/>
      <c r="N1395" s="25"/>
    </row>
    <row r="1396" spans="2:14" x14ac:dyDescent="0.25">
      <c r="B1396" s="24"/>
      <c r="C1396" s="24"/>
      <c r="D1396" s="24"/>
      <c r="E1396" s="25"/>
      <c r="F1396" s="29"/>
      <c r="G1396" s="26"/>
      <c r="H1396" s="26"/>
      <c r="I1396" s="24"/>
      <c r="J1396" s="24"/>
      <c r="K1396" s="24"/>
      <c r="L1396" s="24"/>
      <c r="M1396" s="24"/>
      <c r="N1396" s="25"/>
    </row>
    <row r="1397" spans="2:14" x14ac:dyDescent="0.25">
      <c r="B1397" s="24"/>
      <c r="C1397" s="24"/>
      <c r="D1397" s="24"/>
      <c r="E1397" s="25"/>
      <c r="F1397" s="29"/>
      <c r="G1397" s="26"/>
      <c r="H1397" s="26"/>
      <c r="I1397" s="24"/>
      <c r="J1397" s="24"/>
      <c r="K1397" s="24"/>
      <c r="L1397" s="24"/>
      <c r="M1397" s="24"/>
      <c r="N1397" s="25"/>
    </row>
    <row r="1398" spans="2:14" x14ac:dyDescent="0.25">
      <c r="B1398" s="24"/>
      <c r="C1398" s="24"/>
      <c r="D1398" s="24"/>
      <c r="E1398" s="25"/>
      <c r="F1398" s="29"/>
      <c r="G1398" s="26"/>
      <c r="H1398" s="26"/>
      <c r="I1398" s="24"/>
      <c r="J1398" s="24"/>
      <c r="K1398" s="24"/>
      <c r="L1398" s="24"/>
      <c r="M1398" s="24"/>
      <c r="N1398" s="25"/>
    </row>
    <row r="1399" spans="2:14" x14ac:dyDescent="0.25">
      <c r="B1399" s="24"/>
      <c r="C1399" s="24"/>
      <c r="D1399" s="24"/>
      <c r="E1399" s="25"/>
      <c r="F1399" s="29"/>
      <c r="G1399" s="26"/>
      <c r="H1399" s="26"/>
      <c r="I1399" s="24"/>
      <c r="J1399" s="24"/>
      <c r="K1399" s="24"/>
      <c r="L1399" s="24"/>
      <c r="M1399" s="24"/>
      <c r="N1399" s="25"/>
    </row>
    <row r="1400" spans="2:14" x14ac:dyDescent="0.25">
      <c r="B1400" s="24"/>
      <c r="C1400" s="24"/>
      <c r="D1400" s="24"/>
      <c r="E1400" s="25"/>
      <c r="F1400" s="29"/>
      <c r="G1400" s="26"/>
      <c r="H1400" s="26"/>
      <c r="I1400" s="24"/>
      <c r="J1400" s="24"/>
      <c r="K1400" s="24"/>
      <c r="L1400" s="24"/>
      <c r="M1400" s="24"/>
      <c r="N1400" s="25"/>
    </row>
    <row r="1401" spans="2:14" x14ac:dyDescent="0.25">
      <c r="B1401" s="24"/>
      <c r="C1401" s="24"/>
      <c r="D1401" s="24"/>
      <c r="E1401" s="25"/>
      <c r="F1401" s="29"/>
      <c r="G1401" s="26"/>
      <c r="H1401" s="26"/>
      <c r="I1401" s="24"/>
      <c r="J1401" s="24"/>
      <c r="K1401" s="24"/>
      <c r="L1401" s="24"/>
      <c r="M1401" s="24"/>
      <c r="N1401" s="25"/>
    </row>
    <row r="1402" spans="2:14" x14ac:dyDescent="0.25">
      <c r="B1402" s="24"/>
      <c r="C1402" s="24"/>
      <c r="D1402" s="24"/>
      <c r="E1402" s="25"/>
      <c r="F1402" s="29"/>
      <c r="G1402" s="26"/>
      <c r="H1402" s="26"/>
      <c r="I1402" s="24"/>
      <c r="J1402" s="24"/>
      <c r="K1402" s="24"/>
      <c r="L1402" s="24"/>
      <c r="M1402" s="24"/>
      <c r="N1402" s="25"/>
    </row>
    <row r="1403" spans="2:14" x14ac:dyDescent="0.25">
      <c r="B1403" s="24"/>
      <c r="C1403" s="24"/>
      <c r="D1403" s="24"/>
      <c r="E1403" s="25"/>
      <c r="F1403" s="29"/>
      <c r="G1403" s="26"/>
      <c r="H1403" s="26"/>
      <c r="I1403" s="24"/>
      <c r="J1403" s="24"/>
      <c r="K1403" s="24"/>
      <c r="L1403" s="24"/>
      <c r="M1403" s="24"/>
      <c r="N1403" s="25"/>
    </row>
    <row r="1404" spans="2:14" x14ac:dyDescent="0.25">
      <c r="B1404" s="24"/>
      <c r="C1404" s="24"/>
      <c r="D1404" s="24"/>
      <c r="E1404" s="25"/>
      <c r="F1404" s="29"/>
      <c r="G1404" s="26"/>
      <c r="H1404" s="26"/>
      <c r="I1404" s="24"/>
      <c r="J1404" s="24"/>
      <c r="K1404" s="24"/>
      <c r="L1404" s="24"/>
      <c r="M1404" s="24"/>
      <c r="N1404" s="25"/>
    </row>
    <row r="1405" spans="2:14" x14ac:dyDescent="0.25">
      <c r="B1405" s="24"/>
      <c r="C1405" s="24"/>
      <c r="D1405" s="24"/>
      <c r="E1405" s="25"/>
      <c r="F1405" s="29"/>
      <c r="G1405" s="26"/>
      <c r="H1405" s="26"/>
      <c r="I1405" s="24"/>
      <c r="J1405" s="24"/>
      <c r="K1405" s="24"/>
      <c r="L1405" s="24"/>
      <c r="M1405" s="24"/>
      <c r="N1405" s="25"/>
    </row>
    <row r="1406" spans="2:14" x14ac:dyDescent="0.25">
      <c r="B1406" s="24"/>
      <c r="C1406" s="24"/>
      <c r="D1406" s="24"/>
      <c r="E1406" s="25"/>
      <c r="F1406" s="29"/>
      <c r="G1406" s="26"/>
      <c r="H1406" s="26"/>
      <c r="I1406" s="24"/>
      <c r="J1406" s="24"/>
      <c r="K1406" s="24"/>
      <c r="L1406" s="24"/>
      <c r="M1406" s="24"/>
      <c r="N1406" s="25"/>
    </row>
    <row r="1407" spans="2:14" x14ac:dyDescent="0.25">
      <c r="B1407" s="24"/>
      <c r="C1407" s="24"/>
      <c r="D1407" s="24"/>
      <c r="E1407" s="25"/>
      <c r="F1407" s="29"/>
      <c r="G1407" s="26"/>
      <c r="H1407" s="26"/>
      <c r="I1407" s="24"/>
      <c r="J1407" s="24"/>
      <c r="K1407" s="24"/>
      <c r="L1407" s="24"/>
      <c r="M1407" s="24"/>
      <c r="N1407" s="25"/>
    </row>
    <row r="1408" spans="2:14" x14ac:dyDescent="0.25">
      <c r="B1408" s="24"/>
      <c r="C1408" s="24"/>
      <c r="D1408" s="24"/>
      <c r="E1408" s="25"/>
      <c r="F1408" s="29"/>
      <c r="G1408" s="26"/>
      <c r="H1408" s="26"/>
      <c r="I1408" s="24"/>
      <c r="J1408" s="24"/>
      <c r="K1408" s="24"/>
      <c r="L1408" s="24"/>
      <c r="M1408" s="24"/>
      <c r="N1408" s="25"/>
    </row>
    <row r="1409" spans="2:14" x14ac:dyDescent="0.25">
      <c r="B1409" s="24"/>
      <c r="C1409" s="24"/>
      <c r="D1409" s="24"/>
      <c r="E1409" s="25"/>
      <c r="F1409" s="29"/>
      <c r="G1409" s="26"/>
      <c r="H1409" s="26"/>
      <c r="I1409" s="24"/>
      <c r="J1409" s="24"/>
      <c r="K1409" s="24"/>
      <c r="L1409" s="24"/>
      <c r="M1409" s="24"/>
      <c r="N1409" s="25"/>
    </row>
    <row r="1410" spans="2:14" x14ac:dyDescent="0.25">
      <c r="B1410" s="24"/>
      <c r="C1410" s="24"/>
      <c r="D1410" s="24"/>
      <c r="E1410" s="25"/>
      <c r="F1410" s="29"/>
      <c r="G1410" s="26"/>
      <c r="H1410" s="26"/>
      <c r="I1410" s="24"/>
      <c r="J1410" s="24"/>
      <c r="K1410" s="24"/>
      <c r="L1410" s="24"/>
      <c r="M1410" s="24"/>
      <c r="N1410" s="25"/>
    </row>
    <row r="1411" spans="2:14" x14ac:dyDescent="0.25">
      <c r="B1411" s="24"/>
      <c r="C1411" s="24"/>
      <c r="D1411" s="24"/>
      <c r="E1411" s="25"/>
      <c r="F1411" s="29"/>
      <c r="G1411" s="26"/>
      <c r="H1411" s="26"/>
      <c r="I1411" s="24"/>
      <c r="J1411" s="24"/>
      <c r="K1411" s="24"/>
      <c r="L1411" s="24"/>
      <c r="M1411" s="24"/>
      <c r="N1411" s="25"/>
    </row>
    <row r="1412" spans="2:14" x14ac:dyDescent="0.25">
      <c r="B1412" s="24"/>
      <c r="C1412" s="24"/>
      <c r="D1412" s="24"/>
      <c r="E1412" s="25"/>
      <c r="F1412" s="29"/>
      <c r="G1412" s="26"/>
      <c r="H1412" s="26"/>
      <c r="I1412" s="24"/>
      <c r="J1412" s="24"/>
      <c r="K1412" s="24"/>
      <c r="L1412" s="24"/>
      <c r="M1412" s="24"/>
      <c r="N1412" s="25"/>
    </row>
    <row r="1413" spans="2:14" x14ac:dyDescent="0.25">
      <c r="B1413" s="24"/>
      <c r="C1413" s="24"/>
      <c r="D1413" s="24"/>
      <c r="E1413" s="25"/>
      <c r="F1413" s="29"/>
      <c r="G1413" s="26"/>
      <c r="H1413" s="26"/>
      <c r="I1413" s="24"/>
      <c r="J1413" s="24"/>
      <c r="K1413" s="24"/>
      <c r="L1413" s="24"/>
      <c r="M1413" s="24"/>
      <c r="N1413" s="25"/>
    </row>
    <row r="1414" spans="2:14" x14ac:dyDescent="0.25">
      <c r="B1414" s="24"/>
      <c r="C1414" s="24"/>
      <c r="D1414" s="24"/>
      <c r="E1414" s="25"/>
      <c r="F1414" s="29"/>
      <c r="G1414" s="26"/>
      <c r="H1414" s="26"/>
      <c r="I1414" s="24"/>
      <c r="J1414" s="24"/>
      <c r="K1414" s="24"/>
      <c r="L1414" s="24"/>
      <c r="M1414" s="24"/>
      <c r="N1414" s="25"/>
    </row>
    <row r="1415" spans="2:14" x14ac:dyDescent="0.25">
      <c r="B1415" s="24"/>
      <c r="C1415" s="24"/>
      <c r="D1415" s="24"/>
      <c r="E1415" s="25"/>
      <c r="F1415" s="29"/>
      <c r="G1415" s="26"/>
      <c r="H1415" s="26"/>
      <c r="I1415" s="24"/>
      <c r="J1415" s="24"/>
      <c r="K1415" s="24"/>
      <c r="L1415" s="24"/>
      <c r="M1415" s="24"/>
      <c r="N1415" s="25"/>
    </row>
    <row r="1416" spans="2:14" x14ac:dyDescent="0.25">
      <c r="B1416" s="24"/>
      <c r="C1416" s="24"/>
      <c r="D1416" s="24"/>
      <c r="E1416" s="25"/>
      <c r="F1416" s="29"/>
      <c r="G1416" s="26"/>
      <c r="H1416" s="26"/>
      <c r="I1416" s="24"/>
      <c r="J1416" s="24"/>
      <c r="K1416" s="24"/>
      <c r="L1416" s="24"/>
      <c r="M1416" s="24"/>
      <c r="N1416" s="25"/>
    </row>
    <row r="1417" spans="2:14" x14ac:dyDescent="0.25">
      <c r="B1417" s="24"/>
      <c r="C1417" s="24"/>
      <c r="D1417" s="24"/>
      <c r="E1417" s="25"/>
      <c r="F1417" s="29"/>
      <c r="G1417" s="26"/>
      <c r="H1417" s="26"/>
      <c r="I1417" s="24"/>
      <c r="J1417" s="24"/>
      <c r="K1417" s="24"/>
      <c r="L1417" s="24"/>
      <c r="M1417" s="24"/>
      <c r="N1417" s="25"/>
    </row>
    <row r="1418" spans="2:14" x14ac:dyDescent="0.25">
      <c r="B1418" s="24"/>
      <c r="C1418" s="24"/>
      <c r="D1418" s="24"/>
      <c r="E1418" s="25"/>
      <c r="F1418" s="29"/>
      <c r="G1418" s="26"/>
      <c r="H1418" s="26"/>
      <c r="I1418" s="24"/>
      <c r="J1418" s="24"/>
      <c r="K1418" s="24"/>
      <c r="L1418" s="24"/>
      <c r="M1418" s="24"/>
      <c r="N1418" s="25"/>
    </row>
    <row r="1419" spans="2:14" x14ac:dyDescent="0.25">
      <c r="B1419" s="24"/>
      <c r="C1419" s="24"/>
      <c r="D1419" s="24"/>
      <c r="E1419" s="25"/>
      <c r="F1419" s="29"/>
      <c r="G1419" s="26"/>
      <c r="H1419" s="26"/>
      <c r="I1419" s="24"/>
      <c r="J1419" s="24"/>
      <c r="K1419" s="24"/>
      <c r="L1419" s="24"/>
      <c r="M1419" s="24"/>
      <c r="N1419" s="25"/>
    </row>
    <row r="1420" spans="2:14" x14ac:dyDescent="0.25">
      <c r="B1420" s="24"/>
      <c r="C1420" s="24"/>
      <c r="D1420" s="24"/>
      <c r="E1420" s="25"/>
      <c r="F1420" s="29"/>
      <c r="G1420" s="26"/>
      <c r="H1420" s="26"/>
      <c r="I1420" s="24"/>
      <c r="J1420" s="24"/>
      <c r="K1420" s="24"/>
      <c r="L1420" s="24"/>
      <c r="M1420" s="24"/>
      <c r="N1420" s="25"/>
    </row>
    <row r="1421" spans="2:14" x14ac:dyDescent="0.25">
      <c r="B1421" s="24"/>
      <c r="C1421" s="24"/>
      <c r="D1421" s="24"/>
      <c r="E1421" s="25"/>
      <c r="F1421" s="29"/>
      <c r="G1421" s="26"/>
      <c r="H1421" s="26"/>
      <c r="I1421" s="24"/>
      <c r="J1421" s="24"/>
      <c r="K1421" s="24"/>
      <c r="L1421" s="24"/>
      <c r="M1421" s="24"/>
      <c r="N1421" s="25"/>
    </row>
    <row r="1422" spans="2:14" x14ac:dyDescent="0.25">
      <c r="B1422" s="24"/>
      <c r="C1422" s="24"/>
      <c r="D1422" s="24"/>
      <c r="E1422" s="25"/>
      <c r="F1422" s="29"/>
      <c r="G1422" s="26"/>
      <c r="H1422" s="26"/>
      <c r="I1422" s="24"/>
      <c r="J1422" s="24"/>
      <c r="K1422" s="24"/>
      <c r="L1422" s="24"/>
      <c r="M1422" s="24"/>
      <c r="N1422" s="25"/>
    </row>
    <row r="1423" spans="2:14" x14ac:dyDescent="0.25">
      <c r="B1423" s="24"/>
      <c r="C1423" s="24"/>
      <c r="D1423" s="24"/>
      <c r="E1423" s="25"/>
      <c r="F1423" s="29"/>
      <c r="G1423" s="26"/>
      <c r="H1423" s="26"/>
      <c r="I1423" s="24"/>
      <c r="J1423" s="24"/>
      <c r="K1423" s="24"/>
      <c r="L1423" s="24"/>
      <c r="M1423" s="24"/>
      <c r="N1423" s="25"/>
    </row>
    <row r="1424" spans="2:14" x14ac:dyDescent="0.25">
      <c r="B1424" s="24"/>
      <c r="C1424" s="24"/>
      <c r="D1424" s="24"/>
      <c r="E1424" s="25"/>
      <c r="F1424" s="29"/>
      <c r="G1424" s="26"/>
      <c r="H1424" s="26"/>
      <c r="I1424" s="24"/>
      <c r="J1424" s="24"/>
      <c r="K1424" s="24"/>
      <c r="L1424" s="24"/>
      <c r="M1424" s="24"/>
      <c r="N1424" s="25"/>
    </row>
    <row r="1425" spans="2:14" x14ac:dyDescent="0.25">
      <c r="B1425" s="24"/>
      <c r="C1425" s="24"/>
      <c r="D1425" s="24"/>
      <c r="E1425" s="25"/>
      <c r="F1425" s="29"/>
      <c r="G1425" s="26"/>
      <c r="H1425" s="26"/>
      <c r="I1425" s="24"/>
      <c r="J1425" s="24"/>
      <c r="K1425" s="24"/>
      <c r="L1425" s="24"/>
      <c r="M1425" s="24"/>
      <c r="N1425" s="25"/>
    </row>
    <row r="1426" spans="2:14" x14ac:dyDescent="0.25">
      <c r="B1426" s="24"/>
      <c r="C1426" s="24"/>
      <c r="D1426" s="24"/>
      <c r="E1426" s="25"/>
      <c r="F1426" s="29"/>
      <c r="G1426" s="26"/>
      <c r="H1426" s="26"/>
      <c r="I1426" s="24"/>
      <c r="J1426" s="24"/>
      <c r="K1426" s="24"/>
      <c r="L1426" s="24"/>
      <c r="M1426" s="24"/>
      <c r="N1426" s="25"/>
    </row>
    <row r="1427" spans="2:14" x14ac:dyDescent="0.25">
      <c r="B1427" s="24"/>
      <c r="C1427" s="24"/>
      <c r="D1427" s="24"/>
      <c r="E1427" s="25"/>
      <c r="F1427" s="29"/>
      <c r="G1427" s="26"/>
      <c r="H1427" s="26"/>
      <c r="I1427" s="24"/>
      <c r="J1427" s="24"/>
      <c r="K1427" s="24"/>
      <c r="L1427" s="24"/>
      <c r="M1427" s="24"/>
      <c r="N1427" s="25"/>
    </row>
    <row r="1428" spans="2:14" x14ac:dyDescent="0.25">
      <c r="B1428" s="24"/>
      <c r="C1428" s="24"/>
      <c r="D1428" s="24"/>
      <c r="E1428" s="25"/>
      <c r="F1428" s="29"/>
      <c r="G1428" s="26"/>
      <c r="H1428" s="26"/>
      <c r="I1428" s="24"/>
      <c r="J1428" s="24"/>
      <c r="K1428" s="24"/>
      <c r="L1428" s="24"/>
      <c r="M1428" s="24"/>
      <c r="N1428" s="25"/>
    </row>
    <row r="1429" spans="2:14" x14ac:dyDescent="0.25">
      <c r="B1429" s="24"/>
      <c r="C1429" s="24"/>
      <c r="D1429" s="24"/>
      <c r="E1429" s="25"/>
      <c r="F1429" s="29"/>
      <c r="G1429" s="26"/>
      <c r="H1429" s="26"/>
      <c r="I1429" s="24"/>
      <c r="J1429" s="24"/>
      <c r="K1429" s="24"/>
      <c r="L1429" s="24"/>
      <c r="M1429" s="24"/>
      <c r="N1429" s="25"/>
    </row>
    <row r="1430" spans="2:14" x14ac:dyDescent="0.25">
      <c r="B1430" s="24"/>
      <c r="C1430" s="24"/>
      <c r="D1430" s="24"/>
      <c r="E1430" s="25"/>
      <c r="F1430" s="29"/>
      <c r="G1430" s="26"/>
      <c r="H1430" s="26"/>
      <c r="I1430" s="24"/>
      <c r="J1430" s="24"/>
      <c r="K1430" s="24"/>
      <c r="L1430" s="24"/>
      <c r="M1430" s="24"/>
      <c r="N1430" s="25"/>
    </row>
    <row r="1431" spans="2:14" x14ac:dyDescent="0.25">
      <c r="B1431" s="24"/>
      <c r="C1431" s="24"/>
      <c r="D1431" s="24"/>
      <c r="E1431" s="25"/>
      <c r="F1431" s="29"/>
      <c r="G1431" s="26"/>
      <c r="H1431" s="26"/>
      <c r="I1431" s="24"/>
      <c r="J1431" s="24"/>
      <c r="K1431" s="24"/>
      <c r="L1431" s="24"/>
      <c r="M1431" s="24"/>
      <c r="N1431" s="25"/>
    </row>
    <row r="1432" spans="2:14" x14ac:dyDescent="0.25">
      <c r="B1432" s="24"/>
      <c r="C1432" s="24"/>
      <c r="D1432" s="24"/>
      <c r="E1432" s="25"/>
      <c r="F1432" s="29"/>
      <c r="G1432" s="26"/>
      <c r="H1432" s="26"/>
      <c r="I1432" s="24"/>
      <c r="J1432" s="24"/>
      <c r="K1432" s="24"/>
      <c r="L1432" s="24"/>
      <c r="M1432" s="24"/>
      <c r="N1432" s="25"/>
    </row>
    <row r="1433" spans="2:14" x14ac:dyDescent="0.25">
      <c r="B1433" s="24"/>
      <c r="C1433" s="24"/>
      <c r="D1433" s="24"/>
      <c r="E1433" s="25"/>
      <c r="F1433" s="29"/>
      <c r="G1433" s="26"/>
      <c r="H1433" s="26"/>
      <c r="I1433" s="24"/>
      <c r="J1433" s="24"/>
      <c r="K1433" s="24"/>
      <c r="L1433" s="24"/>
      <c r="M1433" s="24"/>
      <c r="N1433" s="25"/>
    </row>
    <row r="1434" spans="2:14" x14ac:dyDescent="0.25">
      <c r="B1434" s="24"/>
      <c r="C1434" s="24"/>
      <c r="D1434" s="24"/>
      <c r="E1434" s="25"/>
      <c r="F1434" s="29"/>
      <c r="G1434" s="26"/>
      <c r="H1434" s="26"/>
      <c r="I1434" s="24"/>
      <c r="J1434" s="24"/>
      <c r="K1434" s="24"/>
      <c r="L1434" s="24"/>
      <c r="M1434" s="24"/>
      <c r="N1434" s="25"/>
    </row>
    <row r="1435" spans="2:14" x14ac:dyDescent="0.25">
      <c r="B1435" s="24"/>
      <c r="C1435" s="24"/>
      <c r="D1435" s="24"/>
      <c r="E1435" s="25"/>
      <c r="F1435" s="29"/>
      <c r="G1435" s="26"/>
      <c r="H1435" s="26"/>
      <c r="I1435" s="24"/>
      <c r="J1435" s="24"/>
      <c r="K1435" s="24"/>
      <c r="L1435" s="24"/>
      <c r="M1435" s="24"/>
      <c r="N1435" s="25"/>
    </row>
    <row r="1436" spans="2:14" x14ac:dyDescent="0.25">
      <c r="B1436" s="24"/>
      <c r="C1436" s="24"/>
      <c r="D1436" s="24"/>
      <c r="E1436" s="25"/>
      <c r="F1436" s="29"/>
      <c r="G1436" s="26"/>
      <c r="H1436" s="26"/>
      <c r="I1436" s="24"/>
      <c r="J1436" s="24"/>
      <c r="K1436" s="24"/>
      <c r="L1436" s="24"/>
      <c r="M1436" s="24"/>
      <c r="N1436" s="25"/>
    </row>
    <row r="1437" spans="2:14" x14ac:dyDescent="0.25">
      <c r="B1437" s="24"/>
      <c r="C1437" s="24"/>
      <c r="D1437" s="24"/>
      <c r="E1437" s="25"/>
      <c r="F1437" s="29"/>
      <c r="G1437" s="26"/>
      <c r="H1437" s="26"/>
      <c r="I1437" s="24"/>
      <c r="J1437" s="24"/>
      <c r="K1437" s="24"/>
      <c r="L1437" s="24"/>
      <c r="M1437" s="24"/>
      <c r="N1437" s="25"/>
    </row>
    <row r="1438" spans="2:14" x14ac:dyDescent="0.25">
      <c r="B1438" s="24"/>
      <c r="C1438" s="24"/>
      <c r="D1438" s="24"/>
      <c r="E1438" s="25"/>
      <c r="F1438" s="29"/>
      <c r="G1438" s="26"/>
      <c r="H1438" s="26"/>
      <c r="I1438" s="24"/>
      <c r="J1438" s="24"/>
      <c r="K1438" s="24"/>
      <c r="L1438" s="24"/>
      <c r="M1438" s="24"/>
      <c r="N1438" s="25"/>
    </row>
    <row r="1439" spans="2:14" x14ac:dyDescent="0.25">
      <c r="B1439" s="24"/>
      <c r="C1439" s="24"/>
      <c r="D1439" s="24"/>
      <c r="E1439" s="25"/>
      <c r="F1439" s="29"/>
      <c r="G1439" s="26"/>
      <c r="H1439" s="26"/>
      <c r="I1439" s="24"/>
      <c r="J1439" s="24"/>
      <c r="K1439" s="24"/>
      <c r="L1439" s="24"/>
      <c r="M1439" s="24"/>
      <c r="N1439" s="25"/>
    </row>
    <row r="1440" spans="2:14" x14ac:dyDescent="0.25">
      <c r="B1440" s="24"/>
      <c r="C1440" s="24"/>
      <c r="D1440" s="24"/>
      <c r="E1440" s="25"/>
      <c r="F1440" s="29"/>
      <c r="G1440" s="26"/>
      <c r="H1440" s="26"/>
      <c r="I1440" s="24"/>
      <c r="J1440" s="24"/>
      <c r="K1440" s="24"/>
      <c r="L1440" s="24"/>
      <c r="M1440" s="24"/>
      <c r="N1440" s="25"/>
    </row>
    <row r="1441" spans="2:14" x14ac:dyDescent="0.25">
      <c r="B1441" s="24"/>
      <c r="C1441" s="24"/>
      <c r="D1441" s="24"/>
      <c r="E1441" s="25"/>
      <c r="F1441" s="29"/>
      <c r="G1441" s="26"/>
      <c r="H1441" s="26"/>
      <c r="I1441" s="24"/>
      <c r="J1441" s="24"/>
      <c r="K1441" s="24"/>
      <c r="L1441" s="24"/>
      <c r="M1441" s="24"/>
      <c r="N1441" s="25"/>
    </row>
    <row r="1442" spans="2:14" x14ac:dyDescent="0.25">
      <c r="B1442" s="24"/>
      <c r="C1442" s="24"/>
      <c r="D1442" s="24"/>
      <c r="E1442" s="25"/>
      <c r="F1442" s="29"/>
      <c r="G1442" s="26"/>
      <c r="H1442" s="26"/>
      <c r="I1442" s="24"/>
      <c r="J1442" s="24"/>
      <c r="K1442" s="24"/>
      <c r="L1442" s="24"/>
      <c r="M1442" s="24"/>
      <c r="N1442" s="25"/>
    </row>
    <row r="1443" spans="2:14" x14ac:dyDescent="0.25">
      <c r="B1443" s="24"/>
      <c r="C1443" s="24"/>
      <c r="D1443" s="24"/>
      <c r="E1443" s="25"/>
      <c r="F1443" s="29"/>
      <c r="G1443" s="26"/>
      <c r="H1443" s="26"/>
      <c r="I1443" s="24"/>
      <c r="J1443" s="24"/>
      <c r="K1443" s="24"/>
      <c r="L1443" s="24"/>
      <c r="M1443" s="24"/>
      <c r="N1443" s="25"/>
    </row>
    <row r="1444" spans="2:14" x14ac:dyDescent="0.25">
      <c r="B1444" s="24"/>
      <c r="C1444" s="24"/>
      <c r="D1444" s="24"/>
      <c r="E1444" s="25"/>
      <c r="F1444" s="29"/>
      <c r="G1444" s="26"/>
      <c r="H1444" s="26"/>
      <c r="I1444" s="24"/>
      <c r="J1444" s="24"/>
      <c r="K1444" s="24"/>
      <c r="L1444" s="24"/>
      <c r="M1444" s="24"/>
      <c r="N1444" s="25"/>
    </row>
    <row r="1445" spans="2:14" x14ac:dyDescent="0.25">
      <c r="B1445" s="24"/>
      <c r="C1445" s="24"/>
      <c r="D1445" s="24"/>
      <c r="E1445" s="25"/>
      <c r="F1445" s="29"/>
      <c r="G1445" s="26"/>
      <c r="H1445" s="26"/>
      <c r="I1445" s="24"/>
      <c r="J1445" s="24"/>
      <c r="K1445" s="24"/>
      <c r="L1445" s="24"/>
      <c r="M1445" s="24"/>
      <c r="N1445" s="25"/>
    </row>
    <row r="1446" spans="2:14" x14ac:dyDescent="0.25">
      <c r="B1446" s="24"/>
      <c r="C1446" s="24"/>
      <c r="D1446" s="24"/>
      <c r="E1446" s="25"/>
      <c r="F1446" s="29"/>
      <c r="G1446" s="26"/>
      <c r="H1446" s="26"/>
      <c r="I1446" s="24"/>
      <c r="J1446" s="24"/>
      <c r="K1446" s="24"/>
      <c r="L1446" s="24"/>
      <c r="M1446" s="24"/>
      <c r="N1446" s="25"/>
    </row>
    <row r="1447" spans="2:14" x14ac:dyDescent="0.25">
      <c r="B1447" s="24"/>
      <c r="C1447" s="24"/>
      <c r="D1447" s="24"/>
      <c r="E1447" s="25"/>
      <c r="F1447" s="29"/>
      <c r="G1447" s="26"/>
      <c r="H1447" s="26"/>
      <c r="I1447" s="24"/>
      <c r="J1447" s="24"/>
      <c r="K1447" s="24"/>
      <c r="L1447" s="24"/>
      <c r="M1447" s="24"/>
      <c r="N1447" s="25"/>
    </row>
    <row r="1448" spans="2:14" x14ac:dyDescent="0.25">
      <c r="B1448" s="24"/>
      <c r="C1448" s="24"/>
      <c r="D1448" s="24"/>
      <c r="E1448" s="25"/>
      <c r="F1448" s="29"/>
      <c r="G1448" s="26"/>
      <c r="H1448" s="26"/>
      <c r="I1448" s="24"/>
      <c r="J1448" s="24"/>
      <c r="K1448" s="24"/>
      <c r="L1448" s="24"/>
      <c r="M1448" s="24"/>
      <c r="N1448" s="25"/>
    </row>
    <row r="1449" spans="2:14" x14ac:dyDescent="0.25">
      <c r="B1449" s="24"/>
      <c r="C1449" s="24"/>
      <c r="D1449" s="24"/>
      <c r="E1449" s="25"/>
      <c r="F1449" s="29"/>
      <c r="G1449" s="26"/>
      <c r="H1449" s="26"/>
      <c r="I1449" s="24"/>
      <c r="J1449" s="24"/>
      <c r="K1449" s="24"/>
      <c r="L1449" s="24"/>
      <c r="M1449" s="24"/>
      <c r="N1449" s="25"/>
    </row>
    <row r="1450" spans="2:14" x14ac:dyDescent="0.25">
      <c r="B1450" s="24"/>
      <c r="C1450" s="24"/>
      <c r="D1450" s="24"/>
      <c r="E1450" s="25"/>
      <c r="F1450" s="29"/>
      <c r="G1450" s="26"/>
      <c r="H1450" s="26"/>
      <c r="I1450" s="24"/>
      <c r="J1450" s="24"/>
      <c r="K1450" s="24"/>
      <c r="L1450" s="24"/>
      <c r="M1450" s="24"/>
      <c r="N1450" s="25"/>
    </row>
    <row r="1451" spans="2:14" x14ac:dyDescent="0.25">
      <c r="B1451" s="24"/>
      <c r="C1451" s="24"/>
      <c r="D1451" s="24"/>
      <c r="E1451" s="25"/>
      <c r="F1451" s="29"/>
      <c r="G1451" s="26"/>
      <c r="H1451" s="26"/>
      <c r="I1451" s="24"/>
      <c r="J1451" s="24"/>
      <c r="K1451" s="24"/>
      <c r="L1451" s="24"/>
      <c r="M1451" s="24"/>
      <c r="N1451" s="25"/>
    </row>
    <row r="1452" spans="2:14" x14ac:dyDescent="0.25">
      <c r="B1452" s="24"/>
      <c r="C1452" s="24"/>
      <c r="D1452" s="24"/>
      <c r="E1452" s="25"/>
      <c r="F1452" s="29"/>
      <c r="G1452" s="26"/>
      <c r="H1452" s="26"/>
      <c r="I1452" s="24"/>
      <c r="J1452" s="24"/>
      <c r="K1452" s="24"/>
      <c r="L1452" s="24"/>
      <c r="M1452" s="24"/>
      <c r="N1452" s="25"/>
    </row>
    <row r="1453" spans="2:14" x14ac:dyDescent="0.25">
      <c r="B1453" s="24"/>
      <c r="C1453" s="24"/>
      <c r="D1453" s="24"/>
      <c r="E1453" s="25"/>
      <c r="F1453" s="29"/>
      <c r="G1453" s="26"/>
      <c r="H1453" s="26"/>
      <c r="I1453" s="24"/>
      <c r="J1453" s="24"/>
      <c r="K1453" s="24"/>
      <c r="L1453" s="24"/>
      <c r="M1453" s="24"/>
      <c r="N1453" s="25"/>
    </row>
    <row r="1454" spans="2:14" x14ac:dyDescent="0.25">
      <c r="B1454" s="24"/>
      <c r="C1454" s="24"/>
      <c r="D1454" s="24"/>
      <c r="E1454" s="25"/>
      <c r="F1454" s="29"/>
      <c r="G1454" s="26"/>
      <c r="H1454" s="26"/>
      <c r="I1454" s="24"/>
      <c r="J1454" s="24"/>
      <c r="K1454" s="24"/>
      <c r="L1454" s="24"/>
      <c r="M1454" s="24"/>
      <c r="N1454" s="25"/>
    </row>
    <row r="1455" spans="2:14" x14ac:dyDescent="0.25">
      <c r="B1455" s="24"/>
      <c r="C1455" s="24"/>
      <c r="D1455" s="24"/>
      <c r="E1455" s="25"/>
      <c r="F1455" s="29"/>
      <c r="G1455" s="26"/>
      <c r="H1455" s="26"/>
      <c r="I1455" s="24"/>
      <c r="J1455" s="24"/>
      <c r="K1455" s="24"/>
      <c r="L1455" s="24"/>
      <c r="M1455" s="24"/>
      <c r="N1455" s="25"/>
    </row>
    <row r="1456" spans="2:14" x14ac:dyDescent="0.25">
      <c r="B1456" s="24"/>
      <c r="C1456" s="24"/>
      <c r="D1456" s="24"/>
      <c r="E1456" s="25"/>
      <c r="F1456" s="29"/>
      <c r="G1456" s="26"/>
      <c r="H1456" s="26"/>
      <c r="I1456" s="24"/>
      <c r="J1456" s="24"/>
      <c r="K1456" s="24"/>
      <c r="L1456" s="24"/>
      <c r="M1456" s="24"/>
      <c r="N1456" s="25"/>
    </row>
    <row r="1457" spans="2:14" x14ac:dyDescent="0.25">
      <c r="B1457" s="24"/>
      <c r="C1457" s="24"/>
      <c r="D1457" s="24"/>
      <c r="E1457" s="25"/>
      <c r="F1457" s="29"/>
      <c r="G1457" s="26"/>
      <c r="H1457" s="26"/>
      <c r="I1457" s="24"/>
      <c r="J1457" s="24"/>
      <c r="K1457" s="24"/>
      <c r="L1457" s="24"/>
      <c r="M1457" s="24"/>
      <c r="N1457" s="25"/>
    </row>
    <row r="1458" spans="2:14" x14ac:dyDescent="0.25">
      <c r="B1458" s="24"/>
      <c r="C1458" s="24"/>
      <c r="D1458" s="24"/>
      <c r="E1458" s="25"/>
      <c r="F1458" s="29"/>
      <c r="G1458" s="26"/>
      <c r="H1458" s="26"/>
      <c r="I1458" s="24"/>
      <c r="J1458" s="24"/>
      <c r="K1458" s="24"/>
      <c r="L1458" s="24"/>
      <c r="M1458" s="24"/>
      <c r="N1458" s="25"/>
    </row>
    <row r="1459" spans="2:14" x14ac:dyDescent="0.25">
      <c r="B1459" s="24"/>
      <c r="C1459" s="24"/>
      <c r="D1459" s="24"/>
      <c r="E1459" s="25"/>
      <c r="F1459" s="29"/>
      <c r="G1459" s="26"/>
      <c r="H1459" s="26"/>
      <c r="I1459" s="24"/>
      <c r="J1459" s="24"/>
      <c r="K1459" s="24"/>
      <c r="L1459" s="24"/>
      <c r="M1459" s="24"/>
      <c r="N1459" s="25"/>
    </row>
    <row r="1460" spans="2:14" x14ac:dyDescent="0.25">
      <c r="B1460" s="24"/>
      <c r="C1460" s="24"/>
      <c r="D1460" s="24"/>
      <c r="E1460" s="25"/>
      <c r="F1460" s="29"/>
      <c r="G1460" s="26"/>
      <c r="H1460" s="26"/>
      <c r="I1460" s="24"/>
      <c r="J1460" s="24"/>
      <c r="K1460" s="24"/>
      <c r="L1460" s="24"/>
      <c r="M1460" s="24"/>
      <c r="N1460" s="25"/>
    </row>
    <row r="1461" spans="2:14" x14ac:dyDescent="0.25">
      <c r="B1461" s="24"/>
      <c r="C1461" s="24"/>
      <c r="D1461" s="24"/>
      <c r="E1461" s="25"/>
      <c r="F1461" s="29"/>
      <c r="G1461" s="26"/>
      <c r="H1461" s="26"/>
      <c r="I1461" s="24"/>
      <c r="J1461" s="24"/>
      <c r="K1461" s="24"/>
      <c r="L1461" s="24"/>
      <c r="M1461" s="24"/>
      <c r="N1461" s="25"/>
    </row>
    <row r="1462" spans="2:14" x14ac:dyDescent="0.25">
      <c r="B1462" s="24"/>
      <c r="C1462" s="24"/>
      <c r="D1462" s="24"/>
      <c r="E1462" s="25"/>
      <c r="F1462" s="29"/>
      <c r="G1462" s="26"/>
      <c r="H1462" s="26"/>
      <c r="I1462" s="24"/>
      <c r="J1462" s="24"/>
      <c r="K1462" s="24"/>
      <c r="L1462" s="24"/>
      <c r="M1462" s="24"/>
      <c r="N1462" s="25"/>
    </row>
    <row r="1463" spans="2:14" x14ac:dyDescent="0.25">
      <c r="B1463" s="24"/>
      <c r="C1463" s="24"/>
      <c r="D1463" s="24"/>
      <c r="E1463" s="25"/>
      <c r="F1463" s="29"/>
      <c r="G1463" s="26"/>
      <c r="H1463" s="26"/>
      <c r="I1463" s="24"/>
      <c r="J1463" s="24"/>
      <c r="K1463" s="24"/>
      <c r="L1463" s="24"/>
      <c r="M1463" s="24"/>
      <c r="N1463" s="25"/>
    </row>
    <row r="1464" spans="2:14" x14ac:dyDescent="0.25">
      <c r="B1464" s="24"/>
      <c r="C1464" s="24"/>
      <c r="D1464" s="24"/>
      <c r="E1464" s="25"/>
      <c r="F1464" s="29"/>
      <c r="G1464" s="26"/>
      <c r="H1464" s="26"/>
      <c r="I1464" s="24"/>
      <c r="J1464" s="24"/>
      <c r="K1464" s="24"/>
      <c r="L1464" s="24"/>
      <c r="M1464" s="24"/>
      <c r="N1464" s="25"/>
    </row>
    <row r="1465" spans="2:14" x14ac:dyDescent="0.25">
      <c r="B1465" s="24"/>
      <c r="C1465" s="24"/>
      <c r="D1465" s="24"/>
      <c r="E1465" s="25"/>
      <c r="F1465" s="29"/>
      <c r="G1465" s="26"/>
      <c r="H1465" s="26"/>
      <c r="I1465" s="24"/>
      <c r="J1465" s="24"/>
      <c r="K1465" s="24"/>
      <c r="L1465" s="24"/>
      <c r="M1465" s="24"/>
      <c r="N1465" s="25"/>
    </row>
    <row r="1466" spans="2:14" x14ac:dyDescent="0.25">
      <c r="B1466" s="24"/>
      <c r="C1466" s="24"/>
      <c r="D1466" s="24"/>
      <c r="E1466" s="25"/>
      <c r="F1466" s="29"/>
      <c r="G1466" s="26"/>
      <c r="H1466" s="26"/>
      <c r="I1466" s="24"/>
      <c r="J1466" s="24"/>
      <c r="K1466" s="24"/>
      <c r="L1466" s="24"/>
      <c r="M1466" s="24"/>
      <c r="N1466" s="25"/>
    </row>
    <row r="1467" spans="2:14" x14ac:dyDescent="0.25">
      <c r="B1467" s="24"/>
      <c r="C1467" s="24"/>
      <c r="D1467" s="24"/>
      <c r="E1467" s="25"/>
      <c r="F1467" s="29"/>
      <c r="G1467" s="26"/>
      <c r="H1467" s="26"/>
      <c r="I1467" s="24"/>
      <c r="J1467" s="24"/>
      <c r="K1467" s="24"/>
      <c r="L1467" s="24"/>
      <c r="M1467" s="24"/>
      <c r="N1467" s="25"/>
    </row>
    <row r="1468" spans="2:14" x14ac:dyDescent="0.25">
      <c r="B1468" s="24"/>
      <c r="C1468" s="24"/>
      <c r="D1468" s="24"/>
      <c r="E1468" s="25"/>
      <c r="F1468" s="29"/>
      <c r="G1468" s="26"/>
      <c r="H1468" s="26"/>
      <c r="I1468" s="24"/>
      <c r="J1468" s="24"/>
      <c r="K1468" s="24"/>
      <c r="L1468" s="24"/>
      <c r="M1468" s="24"/>
      <c r="N1468" s="25"/>
    </row>
    <row r="1469" spans="2:14" x14ac:dyDescent="0.25">
      <c r="B1469" s="24"/>
      <c r="C1469" s="24"/>
      <c r="D1469" s="24"/>
      <c r="E1469" s="25"/>
      <c r="F1469" s="29"/>
      <c r="G1469" s="26"/>
      <c r="H1469" s="26"/>
      <c r="I1469" s="24"/>
      <c r="J1469" s="24"/>
      <c r="K1469" s="24"/>
      <c r="L1469" s="24"/>
      <c r="M1469" s="24"/>
      <c r="N1469" s="25"/>
    </row>
    <row r="1470" spans="2:14" x14ac:dyDescent="0.25">
      <c r="B1470" s="24"/>
      <c r="C1470" s="24"/>
      <c r="D1470" s="24"/>
      <c r="E1470" s="25"/>
      <c r="F1470" s="29"/>
      <c r="G1470" s="26"/>
      <c r="H1470" s="26"/>
      <c r="I1470" s="24"/>
      <c r="J1470" s="24"/>
      <c r="K1470" s="24"/>
      <c r="L1470" s="24"/>
      <c r="M1470" s="24"/>
      <c r="N1470" s="25"/>
    </row>
    <row r="1471" spans="2:14" x14ac:dyDescent="0.25">
      <c r="B1471" s="24"/>
      <c r="C1471" s="24"/>
      <c r="D1471" s="24"/>
      <c r="E1471" s="25"/>
      <c r="F1471" s="29"/>
      <c r="G1471" s="26"/>
      <c r="H1471" s="26"/>
      <c r="I1471" s="24"/>
      <c r="J1471" s="24"/>
      <c r="K1471" s="24"/>
      <c r="L1471" s="24"/>
      <c r="M1471" s="24"/>
      <c r="N1471" s="25"/>
    </row>
    <row r="1472" spans="2:14" x14ac:dyDescent="0.25">
      <c r="B1472" s="24"/>
      <c r="C1472" s="24"/>
      <c r="D1472" s="24"/>
      <c r="E1472" s="25"/>
      <c r="F1472" s="29"/>
      <c r="G1472" s="26"/>
      <c r="H1472" s="26"/>
      <c r="I1472" s="24"/>
      <c r="J1472" s="24"/>
      <c r="K1472" s="24"/>
      <c r="L1472" s="24"/>
      <c r="M1472" s="24"/>
      <c r="N1472" s="25"/>
    </row>
    <row r="1473" spans="2:14" x14ac:dyDescent="0.25">
      <c r="B1473" s="24"/>
      <c r="C1473" s="24"/>
      <c r="D1473" s="24"/>
      <c r="E1473" s="25"/>
      <c r="F1473" s="29"/>
      <c r="G1473" s="26"/>
      <c r="H1473" s="26"/>
      <c r="I1473" s="24"/>
      <c r="J1473" s="24"/>
      <c r="K1473" s="24"/>
      <c r="L1473" s="24"/>
      <c r="M1473" s="24"/>
      <c r="N1473" s="25"/>
    </row>
    <row r="1474" spans="2:14" x14ac:dyDescent="0.25">
      <c r="B1474" s="24"/>
      <c r="C1474" s="24"/>
      <c r="D1474" s="24"/>
      <c r="E1474" s="25"/>
      <c r="F1474" s="29"/>
      <c r="G1474" s="26"/>
      <c r="H1474" s="26"/>
      <c r="I1474" s="24"/>
      <c r="J1474" s="24"/>
      <c r="K1474" s="24"/>
      <c r="L1474" s="24"/>
      <c r="M1474" s="24"/>
      <c r="N1474" s="25"/>
    </row>
    <row r="1475" spans="2:14" x14ac:dyDescent="0.25">
      <c r="B1475" s="24"/>
      <c r="C1475" s="24"/>
      <c r="D1475" s="24"/>
      <c r="E1475" s="25"/>
      <c r="F1475" s="29"/>
      <c r="G1475" s="26"/>
      <c r="H1475" s="26"/>
      <c r="I1475" s="24"/>
      <c r="J1475" s="24"/>
      <c r="K1475" s="24"/>
      <c r="L1475" s="24"/>
      <c r="M1475" s="24"/>
      <c r="N1475" s="25"/>
    </row>
    <row r="1476" spans="2:14" x14ac:dyDescent="0.25">
      <c r="B1476" s="24"/>
      <c r="C1476" s="24"/>
      <c r="D1476" s="24"/>
      <c r="E1476" s="25"/>
      <c r="F1476" s="29"/>
      <c r="G1476" s="26"/>
      <c r="H1476" s="26"/>
      <c r="I1476" s="24"/>
      <c r="J1476" s="24"/>
      <c r="K1476" s="24"/>
      <c r="L1476" s="24"/>
      <c r="M1476" s="24"/>
      <c r="N1476" s="25"/>
    </row>
    <row r="1477" spans="2:14" x14ac:dyDescent="0.25">
      <c r="B1477" s="24"/>
      <c r="C1477" s="24"/>
      <c r="D1477" s="24"/>
      <c r="E1477" s="25"/>
      <c r="F1477" s="29"/>
      <c r="G1477" s="26"/>
      <c r="H1477" s="26"/>
      <c r="I1477" s="24"/>
      <c r="J1477" s="24"/>
      <c r="K1477" s="24"/>
      <c r="L1477" s="24"/>
      <c r="M1477" s="24"/>
      <c r="N1477" s="25"/>
    </row>
    <row r="1478" spans="2:14" x14ac:dyDescent="0.25">
      <c r="B1478" s="24"/>
      <c r="C1478" s="24"/>
      <c r="D1478" s="24"/>
      <c r="E1478" s="25"/>
      <c r="F1478" s="29"/>
      <c r="G1478" s="26"/>
      <c r="H1478" s="26"/>
      <c r="I1478" s="24"/>
      <c r="J1478" s="24"/>
      <c r="K1478" s="24"/>
      <c r="L1478" s="24"/>
      <c r="M1478" s="24"/>
      <c r="N1478" s="25"/>
    </row>
    <row r="1479" spans="2:14" x14ac:dyDescent="0.25">
      <c r="B1479" s="24"/>
      <c r="C1479" s="24"/>
      <c r="D1479" s="24"/>
      <c r="E1479" s="25"/>
      <c r="F1479" s="29"/>
      <c r="G1479" s="26"/>
      <c r="H1479" s="26"/>
      <c r="I1479" s="24"/>
      <c r="J1479" s="24"/>
      <c r="K1479" s="24"/>
      <c r="L1479" s="24"/>
      <c r="M1479" s="24"/>
      <c r="N1479" s="25"/>
    </row>
    <row r="1480" spans="2:14" x14ac:dyDescent="0.25">
      <c r="B1480" s="24"/>
      <c r="C1480" s="24"/>
      <c r="D1480" s="24"/>
      <c r="E1480" s="25"/>
      <c r="F1480" s="29"/>
      <c r="G1480" s="26"/>
      <c r="H1480" s="26"/>
      <c r="I1480" s="24"/>
      <c r="J1480" s="24"/>
      <c r="K1480" s="24"/>
      <c r="L1480" s="24"/>
      <c r="M1480" s="24"/>
      <c r="N1480" s="25"/>
    </row>
    <row r="1481" spans="2:14" x14ac:dyDescent="0.25">
      <c r="B1481" s="24"/>
      <c r="C1481" s="24"/>
      <c r="D1481" s="24"/>
      <c r="E1481" s="25"/>
      <c r="F1481" s="29"/>
      <c r="G1481" s="26"/>
      <c r="H1481" s="26"/>
      <c r="I1481" s="24"/>
      <c r="J1481" s="24"/>
      <c r="K1481" s="24"/>
      <c r="L1481" s="24"/>
      <c r="M1481" s="24"/>
      <c r="N1481" s="25"/>
    </row>
    <row r="1482" spans="2:14" x14ac:dyDescent="0.25">
      <c r="B1482" s="24"/>
      <c r="C1482" s="24"/>
      <c r="D1482" s="24"/>
      <c r="E1482" s="25"/>
      <c r="F1482" s="29"/>
      <c r="G1482" s="26"/>
      <c r="H1482" s="26"/>
      <c r="I1482" s="24"/>
      <c r="J1482" s="24"/>
      <c r="K1482" s="24"/>
      <c r="L1482" s="24"/>
      <c r="M1482" s="24"/>
      <c r="N1482" s="25"/>
    </row>
    <row r="1483" spans="2:14" x14ac:dyDescent="0.25">
      <c r="B1483" s="24"/>
      <c r="C1483" s="24"/>
      <c r="D1483" s="24"/>
      <c r="E1483" s="25"/>
      <c r="F1483" s="29"/>
      <c r="G1483" s="26"/>
      <c r="H1483" s="26"/>
      <c r="I1483" s="24"/>
      <c r="J1483" s="24"/>
      <c r="K1483" s="24"/>
      <c r="L1483" s="24"/>
      <c r="M1483" s="24"/>
      <c r="N1483" s="25"/>
    </row>
    <row r="1484" spans="2:14" x14ac:dyDescent="0.25">
      <c r="B1484" s="24"/>
      <c r="C1484" s="24"/>
      <c r="D1484" s="24"/>
      <c r="E1484" s="25"/>
      <c r="F1484" s="29"/>
      <c r="G1484" s="26"/>
      <c r="H1484" s="26"/>
      <c r="I1484" s="24"/>
      <c r="J1484" s="24"/>
      <c r="K1484" s="24"/>
      <c r="L1484" s="24"/>
      <c r="M1484" s="24"/>
      <c r="N1484" s="25"/>
    </row>
    <row r="1485" spans="2:14" x14ac:dyDescent="0.25">
      <c r="B1485" s="24"/>
      <c r="C1485" s="24"/>
      <c r="D1485" s="24"/>
      <c r="E1485" s="25"/>
      <c r="F1485" s="29"/>
      <c r="G1485" s="26"/>
      <c r="H1485" s="26"/>
      <c r="I1485" s="24"/>
      <c r="J1485" s="24"/>
      <c r="K1485" s="24"/>
      <c r="L1485" s="24"/>
      <c r="M1485" s="24"/>
      <c r="N1485" s="25"/>
    </row>
    <row r="1486" spans="2:14" x14ac:dyDescent="0.25">
      <c r="B1486" s="24"/>
      <c r="C1486" s="24"/>
      <c r="D1486" s="24"/>
      <c r="E1486" s="25"/>
      <c r="F1486" s="29"/>
      <c r="G1486" s="26"/>
      <c r="H1486" s="26"/>
      <c r="I1486" s="24"/>
      <c r="J1486" s="24"/>
      <c r="K1486" s="24"/>
      <c r="L1486" s="24"/>
      <c r="M1486" s="24"/>
      <c r="N1486" s="25"/>
    </row>
    <row r="1487" spans="2:14" x14ac:dyDescent="0.25">
      <c r="B1487" s="24"/>
      <c r="C1487" s="24"/>
      <c r="D1487" s="24"/>
      <c r="E1487" s="25"/>
      <c r="F1487" s="29"/>
      <c r="G1487" s="26"/>
      <c r="H1487" s="26"/>
      <c r="I1487" s="24"/>
      <c r="J1487" s="24"/>
      <c r="K1487" s="24"/>
      <c r="L1487" s="24"/>
      <c r="M1487" s="24"/>
      <c r="N1487" s="25"/>
    </row>
    <row r="1488" spans="2:14" x14ac:dyDescent="0.25">
      <c r="B1488" s="24"/>
      <c r="C1488" s="24"/>
      <c r="D1488" s="24"/>
      <c r="E1488" s="25"/>
      <c r="F1488" s="29"/>
      <c r="G1488" s="26"/>
      <c r="H1488" s="26"/>
      <c r="I1488" s="24"/>
      <c r="J1488" s="24"/>
      <c r="K1488" s="24"/>
      <c r="L1488" s="24"/>
      <c r="M1488" s="24"/>
      <c r="N1488" s="25"/>
    </row>
    <row r="1489" spans="2:14" x14ac:dyDescent="0.25">
      <c r="B1489" s="24"/>
      <c r="C1489" s="24"/>
      <c r="D1489" s="24"/>
      <c r="E1489" s="25"/>
      <c r="F1489" s="29"/>
      <c r="G1489" s="26"/>
      <c r="H1489" s="26"/>
      <c r="I1489" s="24"/>
      <c r="J1489" s="24"/>
      <c r="K1489" s="24"/>
      <c r="L1489" s="24"/>
      <c r="M1489" s="24"/>
      <c r="N1489" s="25"/>
    </row>
    <row r="1490" spans="2:14" x14ac:dyDescent="0.25">
      <c r="B1490" s="24"/>
      <c r="C1490" s="24"/>
      <c r="D1490" s="24"/>
      <c r="E1490" s="25"/>
      <c r="F1490" s="29"/>
      <c r="G1490" s="26"/>
      <c r="H1490" s="26"/>
      <c r="I1490" s="24"/>
      <c r="J1490" s="24"/>
      <c r="K1490" s="24"/>
      <c r="L1490" s="24"/>
      <c r="M1490" s="24"/>
      <c r="N1490" s="25"/>
    </row>
    <row r="1491" spans="2:14" x14ac:dyDescent="0.25">
      <c r="B1491" s="24"/>
      <c r="C1491" s="24"/>
      <c r="D1491" s="24"/>
      <c r="E1491" s="25"/>
      <c r="F1491" s="29"/>
      <c r="G1491" s="26"/>
      <c r="H1491" s="26"/>
      <c r="I1491" s="24"/>
      <c r="J1491" s="24"/>
      <c r="K1491" s="24"/>
      <c r="L1491" s="24"/>
      <c r="M1491" s="24"/>
      <c r="N1491" s="25"/>
    </row>
    <row r="1492" spans="2:14" x14ac:dyDescent="0.25">
      <c r="B1492" s="24"/>
      <c r="C1492" s="24"/>
      <c r="D1492" s="24"/>
      <c r="E1492" s="25"/>
      <c r="F1492" s="29"/>
      <c r="G1492" s="26"/>
      <c r="H1492" s="26"/>
      <c r="I1492" s="24"/>
      <c r="J1492" s="24"/>
      <c r="K1492" s="24"/>
      <c r="L1492" s="24"/>
      <c r="M1492" s="24"/>
      <c r="N1492" s="25"/>
    </row>
    <row r="1493" spans="2:14" x14ac:dyDescent="0.25">
      <c r="B1493" s="24"/>
      <c r="C1493" s="24"/>
      <c r="D1493" s="24"/>
      <c r="E1493" s="25"/>
      <c r="F1493" s="29"/>
      <c r="G1493" s="26"/>
      <c r="H1493" s="26"/>
      <c r="I1493" s="24"/>
      <c r="J1493" s="24"/>
      <c r="K1493" s="24"/>
      <c r="L1493" s="24"/>
      <c r="M1493" s="24"/>
      <c r="N1493" s="25"/>
    </row>
    <row r="1494" spans="2:14" x14ac:dyDescent="0.25">
      <c r="B1494" s="24"/>
      <c r="C1494" s="24"/>
      <c r="D1494" s="24"/>
      <c r="E1494" s="25"/>
      <c r="F1494" s="29"/>
      <c r="G1494" s="26"/>
      <c r="H1494" s="26"/>
      <c r="I1494" s="24"/>
      <c r="J1494" s="24"/>
      <c r="K1494" s="24"/>
      <c r="L1494" s="24"/>
      <c r="M1494" s="24"/>
      <c r="N1494" s="25"/>
    </row>
    <row r="1495" spans="2:14" x14ac:dyDescent="0.25">
      <c r="B1495" s="24"/>
      <c r="C1495" s="24"/>
      <c r="D1495" s="24"/>
      <c r="E1495" s="25"/>
      <c r="F1495" s="29"/>
      <c r="G1495" s="26"/>
      <c r="H1495" s="26"/>
      <c r="I1495" s="24"/>
      <c r="J1495" s="24"/>
      <c r="K1495" s="24"/>
      <c r="L1495" s="24"/>
      <c r="M1495" s="24"/>
      <c r="N1495" s="25"/>
    </row>
    <row r="1496" spans="2:14" x14ac:dyDescent="0.25">
      <c r="B1496" s="24"/>
      <c r="C1496" s="24"/>
      <c r="D1496" s="24"/>
      <c r="E1496" s="25"/>
      <c r="F1496" s="29"/>
      <c r="G1496" s="26"/>
      <c r="H1496" s="26"/>
      <c r="I1496" s="24"/>
      <c r="J1496" s="24"/>
      <c r="K1496" s="24"/>
      <c r="L1496" s="24"/>
      <c r="M1496" s="24"/>
      <c r="N1496" s="25"/>
    </row>
    <row r="1497" spans="2:14" x14ac:dyDescent="0.25">
      <c r="B1497" s="24"/>
      <c r="C1497" s="24"/>
      <c r="D1497" s="24"/>
      <c r="E1497" s="25"/>
      <c r="F1497" s="29"/>
      <c r="G1497" s="26"/>
      <c r="H1497" s="26"/>
      <c r="I1497" s="24"/>
      <c r="J1497" s="24"/>
      <c r="K1497" s="24"/>
      <c r="L1497" s="24"/>
      <c r="M1497" s="24"/>
      <c r="N1497" s="25"/>
    </row>
    <row r="1498" spans="2:14" x14ac:dyDescent="0.25">
      <c r="B1498" s="24"/>
      <c r="C1498" s="24"/>
      <c r="D1498" s="24"/>
      <c r="E1498" s="25"/>
      <c r="F1498" s="29"/>
      <c r="G1498" s="26"/>
      <c r="H1498" s="26"/>
      <c r="I1498" s="24"/>
      <c r="J1498" s="24"/>
      <c r="K1498" s="24"/>
      <c r="L1498" s="24"/>
      <c r="M1498" s="24"/>
      <c r="N1498" s="25"/>
    </row>
    <row r="1499" spans="2:14" x14ac:dyDescent="0.25">
      <c r="B1499" s="24"/>
      <c r="C1499" s="24"/>
      <c r="D1499" s="24"/>
      <c r="E1499" s="25"/>
      <c r="F1499" s="29"/>
      <c r="G1499" s="26"/>
      <c r="H1499" s="26"/>
      <c r="I1499" s="24"/>
      <c r="J1499" s="24"/>
      <c r="K1499" s="24"/>
      <c r="L1499" s="24"/>
      <c r="M1499" s="24"/>
      <c r="N1499" s="25"/>
    </row>
    <row r="1500" spans="2:14" x14ac:dyDescent="0.25">
      <c r="B1500" s="24"/>
      <c r="C1500" s="24"/>
      <c r="D1500" s="24"/>
      <c r="E1500" s="25"/>
      <c r="F1500" s="29"/>
      <c r="G1500" s="26"/>
      <c r="H1500" s="26"/>
      <c r="I1500" s="24"/>
      <c r="J1500" s="24"/>
      <c r="K1500" s="24"/>
      <c r="L1500" s="24"/>
      <c r="M1500" s="24"/>
      <c r="N1500" s="25"/>
    </row>
    <row r="1501" spans="2:14" x14ac:dyDescent="0.25">
      <c r="B1501" s="24"/>
      <c r="C1501" s="24"/>
      <c r="D1501" s="24"/>
      <c r="E1501" s="25"/>
      <c r="F1501" s="29"/>
      <c r="G1501" s="26"/>
      <c r="H1501" s="26"/>
      <c r="I1501" s="24"/>
      <c r="J1501" s="24"/>
      <c r="K1501" s="24"/>
      <c r="L1501" s="24"/>
      <c r="M1501" s="24"/>
      <c r="N1501" s="25"/>
    </row>
    <row r="1502" spans="2:14" x14ac:dyDescent="0.25">
      <c r="B1502" s="24"/>
      <c r="C1502" s="24"/>
      <c r="D1502" s="24"/>
      <c r="E1502" s="25"/>
      <c r="F1502" s="29"/>
      <c r="G1502" s="26"/>
      <c r="H1502" s="26"/>
      <c r="I1502" s="24"/>
      <c r="J1502" s="24"/>
      <c r="K1502" s="24"/>
      <c r="L1502" s="24"/>
      <c r="M1502" s="24"/>
      <c r="N1502" s="25"/>
    </row>
    <row r="1503" spans="2:14" x14ac:dyDescent="0.25">
      <c r="B1503" s="1"/>
      <c r="C1503" s="1"/>
      <c r="D1503" s="1"/>
      <c r="G1503" s="1"/>
      <c r="H1503" s="1"/>
      <c r="I1503" s="1"/>
      <c r="J1503" s="1"/>
      <c r="K1503" s="1"/>
      <c r="L1503" s="1"/>
      <c r="M1503" s="1"/>
    </row>
    <row r="1504" spans="2:14" x14ac:dyDescent="0.25">
      <c r="B1504" s="1"/>
      <c r="C1504" s="1"/>
      <c r="D1504" s="1"/>
      <c r="G1504" s="1"/>
      <c r="H1504" s="1"/>
      <c r="I1504" s="1"/>
      <c r="J1504" s="1"/>
      <c r="K1504" s="1"/>
      <c r="L1504" s="1"/>
      <c r="M1504" s="1"/>
    </row>
    <row r="1505" spans="6:6" s="1" customFormat="1" x14ac:dyDescent="0.25">
      <c r="F1505" s="4"/>
    </row>
    <row r="1506" spans="6:6" s="1" customFormat="1" x14ac:dyDescent="0.25">
      <c r="F1506" s="4"/>
    </row>
    <row r="1507" spans="6:6" s="1" customFormat="1" x14ac:dyDescent="0.25">
      <c r="F1507" s="4"/>
    </row>
    <row r="1508" spans="6:6" s="1" customFormat="1" x14ac:dyDescent="0.25">
      <c r="F1508" s="4"/>
    </row>
    <row r="1509" spans="6:6" s="1" customFormat="1" x14ac:dyDescent="0.25">
      <c r="F1509" s="4"/>
    </row>
    <row r="1510" spans="6:6" s="1" customFormat="1" x14ac:dyDescent="0.25">
      <c r="F1510" s="4"/>
    </row>
    <row r="1511" spans="6:6" s="1" customFormat="1" x14ac:dyDescent="0.25">
      <c r="F1511" s="4"/>
    </row>
    <row r="1512" spans="6:6" s="1" customFormat="1" x14ac:dyDescent="0.25">
      <c r="F1512" s="4"/>
    </row>
    <row r="1513" spans="6:6" s="1" customFormat="1" x14ac:dyDescent="0.25">
      <c r="F1513" s="4"/>
    </row>
    <row r="1514" spans="6:6" s="1" customFormat="1" x14ac:dyDescent="0.25">
      <c r="F1514" s="4"/>
    </row>
    <row r="1515" spans="6:6" s="1" customFormat="1" x14ac:dyDescent="0.25">
      <c r="F1515" s="4"/>
    </row>
    <row r="1516" spans="6:6" s="1" customFormat="1" x14ac:dyDescent="0.25">
      <c r="F1516" s="4"/>
    </row>
    <row r="1517" spans="6:6" s="1" customFormat="1" x14ac:dyDescent="0.25">
      <c r="F1517" s="4"/>
    </row>
    <row r="1518" spans="6:6" s="1" customFormat="1" x14ac:dyDescent="0.25">
      <c r="F1518" s="4"/>
    </row>
    <row r="1519" spans="6:6" s="1" customFormat="1" x14ac:dyDescent="0.25">
      <c r="F1519" s="4"/>
    </row>
    <row r="1520" spans="6:6" s="1" customFormat="1" x14ac:dyDescent="0.25">
      <c r="F1520" s="4"/>
    </row>
    <row r="1521" spans="6:6" s="1" customFormat="1" x14ac:dyDescent="0.25">
      <c r="F1521" s="4"/>
    </row>
    <row r="1522" spans="6:6" s="1" customFormat="1" x14ac:dyDescent="0.25">
      <c r="F1522" s="4"/>
    </row>
    <row r="1523" spans="6:6" s="1" customFormat="1" x14ac:dyDescent="0.25">
      <c r="F1523" s="4"/>
    </row>
    <row r="1524" spans="6:6" s="1" customFormat="1" x14ac:dyDescent="0.25">
      <c r="F1524" s="4"/>
    </row>
    <row r="1525" spans="6:6" s="1" customFormat="1" x14ac:dyDescent="0.25">
      <c r="F1525" s="4"/>
    </row>
    <row r="1526" spans="6:6" s="1" customFormat="1" x14ac:dyDescent="0.25">
      <c r="F1526" s="4"/>
    </row>
    <row r="1527" spans="6:6" s="1" customFormat="1" x14ac:dyDescent="0.25">
      <c r="F1527" s="4"/>
    </row>
    <row r="1528" spans="6:6" s="1" customFormat="1" x14ac:dyDescent="0.25">
      <c r="F1528" s="4"/>
    </row>
    <row r="1529" spans="6:6" s="1" customFormat="1" x14ac:dyDescent="0.25">
      <c r="F1529" s="4"/>
    </row>
    <row r="1530" spans="6:6" s="1" customFormat="1" x14ac:dyDescent="0.25">
      <c r="F1530" s="4"/>
    </row>
    <row r="1531" spans="6:6" s="1" customFormat="1" x14ac:dyDescent="0.25">
      <c r="F1531" s="4"/>
    </row>
    <row r="1532" spans="6:6" s="1" customFormat="1" x14ac:dyDescent="0.25">
      <c r="F1532" s="4"/>
    </row>
    <row r="1533" spans="6:6" s="1" customFormat="1" x14ac:dyDescent="0.25">
      <c r="F1533" s="4"/>
    </row>
    <row r="1534" spans="6:6" s="1" customFormat="1" x14ac:dyDescent="0.25">
      <c r="F1534" s="4"/>
    </row>
    <row r="1535" spans="6:6" s="1" customFormat="1" x14ac:dyDescent="0.25">
      <c r="F1535" s="4"/>
    </row>
    <row r="1536" spans="6:6" s="1" customFormat="1" x14ac:dyDescent="0.25">
      <c r="F1536" s="4"/>
    </row>
    <row r="1537" spans="6:6" s="1" customFormat="1" x14ac:dyDescent="0.25">
      <c r="F1537" s="4"/>
    </row>
    <row r="1538" spans="6:6" s="1" customFormat="1" x14ac:dyDescent="0.25">
      <c r="F1538" s="4"/>
    </row>
    <row r="1539" spans="6:6" s="1" customFormat="1" x14ac:dyDescent="0.25">
      <c r="F1539" s="4"/>
    </row>
    <row r="1540" spans="6:6" s="1" customFormat="1" x14ac:dyDescent="0.25">
      <c r="F1540" s="4"/>
    </row>
    <row r="1541" spans="6:6" s="1" customFormat="1" x14ac:dyDescent="0.25">
      <c r="F1541" s="4"/>
    </row>
    <row r="1542" spans="6:6" s="1" customFormat="1" x14ac:dyDescent="0.25">
      <c r="F1542" s="4"/>
    </row>
    <row r="1543" spans="6:6" s="1" customFormat="1" x14ac:dyDescent="0.25">
      <c r="F1543" s="4"/>
    </row>
    <row r="1544" spans="6:6" s="1" customFormat="1" x14ac:dyDescent="0.25">
      <c r="F1544" s="4"/>
    </row>
    <row r="1545" spans="6:6" s="1" customFormat="1" x14ac:dyDescent="0.25">
      <c r="F1545" s="4"/>
    </row>
    <row r="1546" spans="6:6" s="1" customFormat="1" x14ac:dyDescent="0.25">
      <c r="F1546" s="4"/>
    </row>
    <row r="1547" spans="6:6" s="1" customFormat="1" x14ac:dyDescent="0.25">
      <c r="F1547" s="4"/>
    </row>
    <row r="1548" spans="6:6" s="1" customFormat="1" x14ac:dyDescent="0.25">
      <c r="F1548" s="4"/>
    </row>
    <row r="1549" spans="6:6" s="1" customFormat="1" x14ac:dyDescent="0.25">
      <c r="F1549" s="4"/>
    </row>
    <row r="1550" spans="6:6" s="1" customFormat="1" x14ac:dyDescent="0.25">
      <c r="F1550" s="4"/>
    </row>
    <row r="1551" spans="6:6" s="1" customFormat="1" x14ac:dyDescent="0.25">
      <c r="F1551" s="4"/>
    </row>
    <row r="1552" spans="6:6" s="1" customFormat="1" x14ac:dyDescent="0.25">
      <c r="F1552" s="4"/>
    </row>
    <row r="1553" spans="6:6" s="1" customFormat="1" x14ac:dyDescent="0.25">
      <c r="F1553" s="4"/>
    </row>
    <row r="1554" spans="6:6" s="1" customFormat="1" x14ac:dyDescent="0.25">
      <c r="F1554" s="4"/>
    </row>
    <row r="1555" spans="6:6" s="1" customFormat="1" x14ac:dyDescent="0.25">
      <c r="F1555" s="4"/>
    </row>
    <row r="1556" spans="6:6" s="1" customFormat="1" x14ac:dyDescent="0.25">
      <c r="F1556" s="4"/>
    </row>
    <row r="1557" spans="6:6" s="1" customFormat="1" x14ac:dyDescent="0.25">
      <c r="F1557" s="4"/>
    </row>
    <row r="1558" spans="6:6" s="1" customFormat="1" x14ac:dyDescent="0.25">
      <c r="F1558" s="4"/>
    </row>
    <row r="1559" spans="6:6" s="1" customFormat="1" x14ac:dyDescent="0.25">
      <c r="F1559" s="4"/>
    </row>
    <row r="1560" spans="6:6" s="1" customFormat="1" x14ac:dyDescent="0.25">
      <c r="F1560" s="4"/>
    </row>
    <row r="1561" spans="6:6" s="1" customFormat="1" x14ac:dyDescent="0.25">
      <c r="F1561" s="4"/>
    </row>
    <row r="1562" spans="6:6" s="1" customFormat="1" x14ac:dyDescent="0.25">
      <c r="F1562" s="4"/>
    </row>
    <row r="1563" spans="6:6" s="1" customFormat="1" x14ac:dyDescent="0.25">
      <c r="F1563" s="4"/>
    </row>
    <row r="1564" spans="6:6" s="1" customFormat="1" x14ac:dyDescent="0.25">
      <c r="F1564" s="4"/>
    </row>
    <row r="1565" spans="6:6" s="1" customFormat="1" x14ac:dyDescent="0.25">
      <c r="F1565" s="4"/>
    </row>
    <row r="1566" spans="6:6" s="1" customFormat="1" x14ac:dyDescent="0.25">
      <c r="F1566" s="4"/>
    </row>
    <row r="1567" spans="6:6" s="1" customFormat="1" x14ac:dyDescent="0.25">
      <c r="F1567" s="4"/>
    </row>
    <row r="1568" spans="6:6" s="1" customFormat="1" x14ac:dyDescent="0.25">
      <c r="F1568" s="4"/>
    </row>
    <row r="1569" spans="6:6" s="1" customFormat="1" x14ac:dyDescent="0.25">
      <c r="F1569" s="4"/>
    </row>
    <row r="1570" spans="6:6" s="1" customFormat="1" x14ac:dyDescent="0.25">
      <c r="F1570" s="4"/>
    </row>
    <row r="1571" spans="6:6" s="1" customFormat="1" x14ac:dyDescent="0.25">
      <c r="F1571" s="4"/>
    </row>
    <row r="1572" spans="6:6" s="1" customFormat="1" x14ac:dyDescent="0.25">
      <c r="F1572" s="4"/>
    </row>
    <row r="1573" spans="6:6" s="1" customFormat="1" x14ac:dyDescent="0.25">
      <c r="F1573" s="4"/>
    </row>
    <row r="1574" spans="6:6" s="1" customFormat="1" x14ac:dyDescent="0.25">
      <c r="F1574" s="4"/>
    </row>
    <row r="1575" spans="6:6" s="1" customFormat="1" x14ac:dyDescent="0.25">
      <c r="F1575" s="4"/>
    </row>
    <row r="1576" spans="6:6" s="1" customFormat="1" x14ac:dyDescent="0.25">
      <c r="F1576" s="4"/>
    </row>
    <row r="1577" spans="6:6" s="1" customFormat="1" x14ac:dyDescent="0.25">
      <c r="F1577" s="4"/>
    </row>
    <row r="1578" spans="6:6" s="1" customFormat="1" x14ac:dyDescent="0.25">
      <c r="F1578" s="4"/>
    </row>
    <row r="1579" spans="6:6" s="1" customFormat="1" x14ac:dyDescent="0.25">
      <c r="F1579" s="4"/>
    </row>
    <row r="1580" spans="6:6" s="1" customFormat="1" x14ac:dyDescent="0.25">
      <c r="F1580" s="4"/>
    </row>
    <row r="1581" spans="6:6" s="1" customFormat="1" x14ac:dyDescent="0.25">
      <c r="F1581" s="4"/>
    </row>
    <row r="1582" spans="6:6" s="1" customFormat="1" x14ac:dyDescent="0.25">
      <c r="F1582" s="4"/>
    </row>
    <row r="1583" spans="6:6" s="1" customFormat="1" x14ac:dyDescent="0.25">
      <c r="F1583" s="4"/>
    </row>
    <row r="1584" spans="6:6" s="1" customFormat="1" x14ac:dyDescent="0.25">
      <c r="F1584" s="4"/>
    </row>
    <row r="1585" spans="6:6" s="1" customFormat="1" x14ac:dyDescent="0.25">
      <c r="F1585" s="4"/>
    </row>
    <row r="1586" spans="6:6" s="1" customFormat="1" x14ac:dyDescent="0.25">
      <c r="F1586" s="4"/>
    </row>
    <row r="1587" spans="6:6" s="1" customFormat="1" x14ac:dyDescent="0.25">
      <c r="F1587" s="4"/>
    </row>
    <row r="1588" spans="6:6" s="1" customFormat="1" x14ac:dyDescent="0.25">
      <c r="F1588" s="4"/>
    </row>
    <row r="1589" spans="6:6" s="1" customFormat="1" x14ac:dyDescent="0.25">
      <c r="F1589" s="4"/>
    </row>
    <row r="1590" spans="6:6" s="1" customFormat="1" x14ac:dyDescent="0.25">
      <c r="F1590" s="4"/>
    </row>
    <row r="1591" spans="6:6" s="1" customFormat="1" x14ac:dyDescent="0.25">
      <c r="F1591" s="4"/>
    </row>
    <row r="1592" spans="6:6" s="1" customFormat="1" x14ac:dyDescent="0.25">
      <c r="F1592" s="4"/>
    </row>
    <row r="1593" spans="6:6" s="1" customFormat="1" x14ac:dyDescent="0.25">
      <c r="F1593" s="4"/>
    </row>
    <row r="1594" spans="6:6" s="1" customFormat="1" x14ac:dyDescent="0.25">
      <c r="F1594" s="4"/>
    </row>
    <row r="1595" spans="6:6" s="1" customFormat="1" x14ac:dyDescent="0.25">
      <c r="F1595" s="4"/>
    </row>
    <row r="1596" spans="6:6" s="1" customFormat="1" x14ac:dyDescent="0.25">
      <c r="F1596" s="4"/>
    </row>
    <row r="1597" spans="6:6" s="1" customFormat="1" x14ac:dyDescent="0.25">
      <c r="F1597" s="4"/>
    </row>
    <row r="1598" spans="6:6" s="1" customFormat="1" x14ac:dyDescent="0.25">
      <c r="F1598" s="4"/>
    </row>
    <row r="1599" spans="6:6" s="1" customFormat="1" x14ac:dyDescent="0.25">
      <c r="F1599" s="4"/>
    </row>
    <row r="1600" spans="6:6" s="1" customFormat="1" x14ac:dyDescent="0.25">
      <c r="F1600" s="4"/>
    </row>
    <row r="1601" spans="6:6" s="1" customFormat="1" x14ac:dyDescent="0.25">
      <c r="F1601" s="4"/>
    </row>
    <row r="1602" spans="6:6" s="1" customFormat="1" x14ac:dyDescent="0.25">
      <c r="F1602" s="4"/>
    </row>
    <row r="1603" spans="6:6" s="1" customFormat="1" x14ac:dyDescent="0.25">
      <c r="F1603" s="4"/>
    </row>
    <row r="1604" spans="6:6" s="1" customFormat="1" x14ac:dyDescent="0.25">
      <c r="F1604" s="4"/>
    </row>
    <row r="1605" spans="6:6" s="1" customFormat="1" x14ac:dyDescent="0.25">
      <c r="F1605" s="4"/>
    </row>
    <row r="1606" spans="6:6" s="1" customFormat="1" x14ac:dyDescent="0.25">
      <c r="F1606" s="4"/>
    </row>
    <row r="1607" spans="6:6" s="1" customFormat="1" x14ac:dyDescent="0.25">
      <c r="F1607" s="4"/>
    </row>
    <row r="1608" spans="6:6" s="1" customFormat="1" x14ac:dyDescent="0.25">
      <c r="F1608" s="4"/>
    </row>
    <row r="1609" spans="6:6" s="1" customFormat="1" x14ac:dyDescent="0.25">
      <c r="F1609" s="4"/>
    </row>
    <row r="1610" spans="6:6" s="1" customFormat="1" x14ac:dyDescent="0.25">
      <c r="F1610" s="4"/>
    </row>
    <row r="1611" spans="6:6" s="1" customFormat="1" x14ac:dyDescent="0.25">
      <c r="F1611" s="4"/>
    </row>
    <row r="1612" spans="6:6" s="1" customFormat="1" x14ac:dyDescent="0.25">
      <c r="F1612" s="4"/>
    </row>
    <row r="1613" spans="6:6" s="1" customFormat="1" x14ac:dyDescent="0.25">
      <c r="F1613" s="4"/>
    </row>
    <row r="1614" spans="6:6" s="1" customFormat="1" x14ac:dyDescent="0.25">
      <c r="F1614" s="4"/>
    </row>
    <row r="1615" spans="6:6" s="1" customFormat="1" x14ac:dyDescent="0.25">
      <c r="F1615" s="4"/>
    </row>
    <row r="1616" spans="6:6" s="1" customFormat="1" x14ac:dyDescent="0.25">
      <c r="F1616" s="4"/>
    </row>
    <row r="1617" spans="6:6" s="1" customFormat="1" x14ac:dyDescent="0.25">
      <c r="F1617" s="4"/>
    </row>
    <row r="1618" spans="6:6" s="1" customFormat="1" x14ac:dyDescent="0.25">
      <c r="F1618" s="4"/>
    </row>
    <row r="1619" spans="6:6" s="1" customFormat="1" x14ac:dyDescent="0.25">
      <c r="F1619" s="4"/>
    </row>
    <row r="1620" spans="6:6" s="1" customFormat="1" x14ac:dyDescent="0.25">
      <c r="F1620" s="4"/>
    </row>
    <row r="1621" spans="6:6" s="1" customFormat="1" x14ac:dyDescent="0.25">
      <c r="F1621" s="4"/>
    </row>
    <row r="1622" spans="6:6" s="1" customFormat="1" x14ac:dyDescent="0.25">
      <c r="F1622" s="4"/>
    </row>
    <row r="1623" spans="6:6" s="1" customFormat="1" x14ac:dyDescent="0.25">
      <c r="F1623" s="4"/>
    </row>
    <row r="1624" spans="6:6" s="1" customFormat="1" x14ac:dyDescent="0.25">
      <c r="F1624" s="4"/>
    </row>
    <row r="1625" spans="6:6" s="1" customFormat="1" x14ac:dyDescent="0.25">
      <c r="F1625" s="4"/>
    </row>
    <row r="1626" spans="6:6" s="1" customFormat="1" x14ac:dyDescent="0.25">
      <c r="F1626" s="4"/>
    </row>
    <row r="1627" spans="6:6" s="1" customFormat="1" x14ac:dyDescent="0.25">
      <c r="F1627" s="4"/>
    </row>
    <row r="1628" spans="6:6" s="1" customFormat="1" x14ac:dyDescent="0.25">
      <c r="F1628" s="4"/>
    </row>
    <row r="1629" spans="6:6" s="1" customFormat="1" x14ac:dyDescent="0.25">
      <c r="F1629" s="4"/>
    </row>
    <row r="1630" spans="6:6" s="1" customFormat="1" x14ac:dyDescent="0.25">
      <c r="F1630" s="4"/>
    </row>
    <row r="1631" spans="6:6" s="1" customFormat="1" x14ac:dyDescent="0.25">
      <c r="F1631" s="4"/>
    </row>
    <row r="1632" spans="6:6" s="1" customFormat="1" x14ac:dyDescent="0.25">
      <c r="F1632" s="4"/>
    </row>
    <row r="1633" spans="6:6" s="1" customFormat="1" x14ac:dyDescent="0.25">
      <c r="F1633" s="4"/>
    </row>
    <row r="1634" spans="6:6" s="1" customFormat="1" x14ac:dyDescent="0.25">
      <c r="F1634" s="4"/>
    </row>
    <row r="1635" spans="6:6" s="1" customFormat="1" x14ac:dyDescent="0.25">
      <c r="F1635" s="4"/>
    </row>
    <row r="1636" spans="6:6" s="1" customFormat="1" x14ac:dyDescent="0.25">
      <c r="F1636" s="4"/>
    </row>
    <row r="1637" spans="6:6" s="1" customFormat="1" x14ac:dyDescent="0.25">
      <c r="F1637" s="4"/>
    </row>
    <row r="1638" spans="6:6" s="1" customFormat="1" x14ac:dyDescent="0.25">
      <c r="F1638" s="4"/>
    </row>
    <row r="1639" spans="6:6" s="1" customFormat="1" x14ac:dyDescent="0.25">
      <c r="F1639" s="4"/>
    </row>
    <row r="1640" spans="6:6" s="1" customFormat="1" x14ac:dyDescent="0.25">
      <c r="F1640" s="4"/>
    </row>
    <row r="1641" spans="6:6" s="1" customFormat="1" x14ac:dyDescent="0.25">
      <c r="F1641" s="4"/>
    </row>
    <row r="1642" spans="6:6" s="1" customFormat="1" x14ac:dyDescent="0.25">
      <c r="F1642" s="4"/>
    </row>
    <row r="1643" spans="6:6" s="1" customFormat="1" x14ac:dyDescent="0.25">
      <c r="F1643" s="4"/>
    </row>
    <row r="1644" spans="6:6" s="1" customFormat="1" x14ac:dyDescent="0.25">
      <c r="F1644" s="4"/>
    </row>
    <row r="1645" spans="6:6" s="1" customFormat="1" x14ac:dyDescent="0.25">
      <c r="F1645" s="4"/>
    </row>
    <row r="1646" spans="6:6" s="1" customFormat="1" x14ac:dyDescent="0.25">
      <c r="F1646" s="4"/>
    </row>
    <row r="1647" spans="6:6" s="1" customFormat="1" x14ac:dyDescent="0.25">
      <c r="F1647" s="4"/>
    </row>
    <row r="1648" spans="6:6" s="1" customFormat="1" x14ac:dyDescent="0.25">
      <c r="F1648" s="4"/>
    </row>
    <row r="1649" spans="6:6" s="1" customFormat="1" x14ac:dyDescent="0.25">
      <c r="F1649" s="4"/>
    </row>
    <row r="1650" spans="6:6" s="1" customFormat="1" x14ac:dyDescent="0.25">
      <c r="F1650" s="4"/>
    </row>
    <row r="1651" spans="6:6" s="1" customFormat="1" x14ac:dyDescent="0.25">
      <c r="F1651" s="4"/>
    </row>
    <row r="1652" spans="6:6" s="1" customFormat="1" x14ac:dyDescent="0.25">
      <c r="F1652" s="4"/>
    </row>
    <row r="1653" spans="6:6" s="1" customFormat="1" x14ac:dyDescent="0.25">
      <c r="F1653" s="4"/>
    </row>
    <row r="1654" spans="6:6" s="1" customFormat="1" x14ac:dyDescent="0.25">
      <c r="F1654" s="4"/>
    </row>
    <row r="1655" spans="6:6" s="1" customFormat="1" x14ac:dyDescent="0.25">
      <c r="F1655" s="4"/>
    </row>
    <row r="1656" spans="6:6" s="1" customFormat="1" x14ac:dyDescent="0.25">
      <c r="F1656" s="4"/>
    </row>
    <row r="1657" spans="6:6" s="1" customFormat="1" x14ac:dyDescent="0.25">
      <c r="F1657" s="4"/>
    </row>
    <row r="1658" spans="6:6" s="1" customFormat="1" x14ac:dyDescent="0.25">
      <c r="F1658" s="4"/>
    </row>
    <row r="1659" spans="6:6" s="1" customFormat="1" x14ac:dyDescent="0.25">
      <c r="F1659" s="4"/>
    </row>
    <row r="1660" spans="6:6" s="1" customFormat="1" x14ac:dyDescent="0.25">
      <c r="F1660" s="4"/>
    </row>
    <row r="1661" spans="6:6" s="1" customFormat="1" x14ac:dyDescent="0.25">
      <c r="F1661" s="4"/>
    </row>
    <row r="1662" spans="6:6" s="1" customFormat="1" x14ac:dyDescent="0.25">
      <c r="F1662" s="4"/>
    </row>
    <row r="1663" spans="6:6" s="1" customFormat="1" x14ac:dyDescent="0.25">
      <c r="F1663" s="4"/>
    </row>
    <row r="1664" spans="6:6" s="1" customFormat="1" x14ac:dyDescent="0.25">
      <c r="F1664" s="4"/>
    </row>
    <row r="1665" spans="6:6" s="1" customFormat="1" x14ac:dyDescent="0.25">
      <c r="F1665" s="4"/>
    </row>
    <row r="1666" spans="6:6" s="1" customFormat="1" x14ac:dyDescent="0.25">
      <c r="F1666" s="4"/>
    </row>
    <row r="1667" spans="6:6" s="1" customFormat="1" x14ac:dyDescent="0.25">
      <c r="F1667" s="4"/>
    </row>
    <row r="1668" spans="6:6" s="1" customFormat="1" x14ac:dyDescent="0.25">
      <c r="F1668" s="4"/>
    </row>
    <row r="1669" spans="6:6" s="1" customFormat="1" x14ac:dyDescent="0.25">
      <c r="F1669" s="4"/>
    </row>
    <row r="1670" spans="6:6" s="1" customFormat="1" x14ac:dyDescent="0.25">
      <c r="F1670" s="4"/>
    </row>
    <row r="1671" spans="6:6" s="1" customFormat="1" x14ac:dyDescent="0.25">
      <c r="F1671" s="4"/>
    </row>
    <row r="1672" spans="6:6" s="1" customFormat="1" x14ac:dyDescent="0.25">
      <c r="F1672" s="4"/>
    </row>
    <row r="1673" spans="6:6" s="1" customFormat="1" x14ac:dyDescent="0.25">
      <c r="F1673" s="4"/>
    </row>
    <row r="1674" spans="6:6" s="1" customFormat="1" x14ac:dyDescent="0.25">
      <c r="F1674" s="4"/>
    </row>
    <row r="1675" spans="6:6" s="1" customFormat="1" x14ac:dyDescent="0.25">
      <c r="F1675" s="4"/>
    </row>
    <row r="1676" spans="6:6" s="1" customFormat="1" x14ac:dyDescent="0.25">
      <c r="F1676" s="4"/>
    </row>
    <row r="1677" spans="6:6" s="1" customFormat="1" x14ac:dyDescent="0.25">
      <c r="F1677" s="4"/>
    </row>
    <row r="1678" spans="6:6" s="1" customFormat="1" x14ac:dyDescent="0.25">
      <c r="F1678" s="4"/>
    </row>
    <row r="1679" spans="6:6" s="1" customFormat="1" x14ac:dyDescent="0.25">
      <c r="F1679" s="4"/>
    </row>
    <row r="1680" spans="6:6" s="1" customFormat="1" x14ac:dyDescent="0.25">
      <c r="F1680" s="4"/>
    </row>
    <row r="1681" spans="6:6" s="1" customFormat="1" x14ac:dyDescent="0.25">
      <c r="F1681" s="4"/>
    </row>
    <row r="1682" spans="6:6" s="1" customFormat="1" x14ac:dyDescent="0.25">
      <c r="F1682" s="4"/>
    </row>
    <row r="1683" spans="6:6" s="1" customFormat="1" x14ac:dyDescent="0.25">
      <c r="F1683" s="4"/>
    </row>
    <row r="1684" spans="6:6" s="1" customFormat="1" x14ac:dyDescent="0.25">
      <c r="F1684" s="4"/>
    </row>
    <row r="1685" spans="6:6" s="1" customFormat="1" x14ac:dyDescent="0.25">
      <c r="F1685" s="4"/>
    </row>
    <row r="1686" spans="6:6" s="1" customFormat="1" x14ac:dyDescent="0.25">
      <c r="F1686" s="4"/>
    </row>
    <row r="1687" spans="6:6" s="1" customFormat="1" x14ac:dyDescent="0.25">
      <c r="F1687" s="4"/>
    </row>
    <row r="1688" spans="6:6" s="1" customFormat="1" x14ac:dyDescent="0.25">
      <c r="F1688" s="4"/>
    </row>
    <row r="1689" spans="6:6" s="1" customFormat="1" x14ac:dyDescent="0.25">
      <c r="F1689" s="4"/>
    </row>
    <row r="1690" spans="6:6" s="1" customFormat="1" x14ac:dyDescent="0.25">
      <c r="F1690" s="4"/>
    </row>
    <row r="1691" spans="6:6" s="1" customFormat="1" x14ac:dyDescent="0.25">
      <c r="F1691" s="4"/>
    </row>
    <row r="1692" spans="6:6" s="1" customFormat="1" x14ac:dyDescent="0.25">
      <c r="F1692" s="4"/>
    </row>
    <row r="1693" spans="6:6" s="1" customFormat="1" x14ac:dyDescent="0.25">
      <c r="F1693" s="4"/>
    </row>
    <row r="1694" spans="6:6" s="1" customFormat="1" x14ac:dyDescent="0.25">
      <c r="F1694" s="4"/>
    </row>
    <row r="1695" spans="6:6" s="1" customFormat="1" x14ac:dyDescent="0.25">
      <c r="F1695" s="4"/>
    </row>
    <row r="1696" spans="6:6" s="1" customFormat="1" x14ac:dyDescent="0.25">
      <c r="F1696" s="4"/>
    </row>
    <row r="1697" spans="6:6" s="1" customFormat="1" x14ac:dyDescent="0.25">
      <c r="F1697" s="4"/>
    </row>
    <row r="1698" spans="6:6" s="1" customFormat="1" x14ac:dyDescent="0.25">
      <c r="F1698" s="4"/>
    </row>
    <row r="1699" spans="6:6" s="1" customFormat="1" x14ac:dyDescent="0.25">
      <c r="F1699" s="4"/>
    </row>
    <row r="1700" spans="6:6" s="1" customFormat="1" x14ac:dyDescent="0.25">
      <c r="F1700" s="4"/>
    </row>
    <row r="1701" spans="6:6" s="1" customFormat="1" x14ac:dyDescent="0.25">
      <c r="F1701" s="4"/>
    </row>
    <row r="1702" spans="6:6" s="1" customFormat="1" x14ac:dyDescent="0.25">
      <c r="F1702" s="4"/>
    </row>
    <row r="1703" spans="6:6" s="1" customFormat="1" x14ac:dyDescent="0.25">
      <c r="F1703" s="4"/>
    </row>
    <row r="1704" spans="6:6" s="1" customFormat="1" x14ac:dyDescent="0.25">
      <c r="F1704" s="4"/>
    </row>
    <row r="1705" spans="6:6" s="1" customFormat="1" x14ac:dyDescent="0.25">
      <c r="F1705" s="4"/>
    </row>
    <row r="1706" spans="6:6" s="1" customFormat="1" x14ac:dyDescent="0.25">
      <c r="F1706" s="4"/>
    </row>
    <row r="1707" spans="6:6" s="1" customFormat="1" x14ac:dyDescent="0.25">
      <c r="F1707" s="4"/>
    </row>
    <row r="1708" spans="6:6" s="1" customFormat="1" x14ac:dyDescent="0.25">
      <c r="F1708" s="4"/>
    </row>
    <row r="1709" spans="6:6" s="1" customFormat="1" x14ac:dyDescent="0.25">
      <c r="F1709" s="4"/>
    </row>
    <row r="1710" spans="6:6" s="1" customFormat="1" x14ac:dyDescent="0.25">
      <c r="F1710" s="4"/>
    </row>
    <row r="1711" spans="6:6" s="1" customFormat="1" x14ac:dyDescent="0.25">
      <c r="F1711" s="4"/>
    </row>
    <row r="1712" spans="6:6" s="1" customFormat="1" x14ac:dyDescent="0.25">
      <c r="F1712" s="4"/>
    </row>
    <row r="1713" spans="6:6" s="1" customFormat="1" x14ac:dyDescent="0.25">
      <c r="F1713" s="4"/>
    </row>
    <row r="1714" spans="6:6" s="1" customFormat="1" x14ac:dyDescent="0.25">
      <c r="F1714" s="4"/>
    </row>
    <row r="1715" spans="6:6" s="1" customFormat="1" x14ac:dyDescent="0.25">
      <c r="F1715" s="4"/>
    </row>
    <row r="1716" spans="6:6" s="1" customFormat="1" x14ac:dyDescent="0.25">
      <c r="F1716" s="4"/>
    </row>
    <row r="1717" spans="6:6" s="1" customFormat="1" x14ac:dyDescent="0.25">
      <c r="F1717" s="4"/>
    </row>
    <row r="1718" spans="6:6" s="1" customFormat="1" x14ac:dyDescent="0.25">
      <c r="F1718" s="4"/>
    </row>
    <row r="1719" spans="6:6" s="1" customFormat="1" x14ac:dyDescent="0.25">
      <c r="F1719" s="4"/>
    </row>
    <row r="1720" spans="6:6" s="1" customFormat="1" x14ac:dyDescent="0.25">
      <c r="F1720" s="4"/>
    </row>
    <row r="1721" spans="6:6" s="1" customFormat="1" x14ac:dyDescent="0.25">
      <c r="F1721" s="4"/>
    </row>
    <row r="1722" spans="6:6" s="1" customFormat="1" x14ac:dyDescent="0.25">
      <c r="F1722" s="4"/>
    </row>
    <row r="1723" spans="6:6" s="1" customFormat="1" x14ac:dyDescent="0.25">
      <c r="F1723" s="4"/>
    </row>
    <row r="1724" spans="6:6" s="1" customFormat="1" x14ac:dyDescent="0.25">
      <c r="F1724" s="4"/>
    </row>
    <row r="1725" spans="6:6" s="1" customFormat="1" x14ac:dyDescent="0.25">
      <c r="F1725" s="4"/>
    </row>
    <row r="1726" spans="6:6" s="1" customFormat="1" x14ac:dyDescent="0.25">
      <c r="F1726" s="4"/>
    </row>
    <row r="1727" spans="6:6" s="1" customFormat="1" x14ac:dyDescent="0.25">
      <c r="F1727" s="4"/>
    </row>
    <row r="1728" spans="6:6" s="1" customFormat="1" x14ac:dyDescent="0.25">
      <c r="F1728" s="4"/>
    </row>
    <row r="1729" spans="6:6" s="1" customFormat="1" x14ac:dyDescent="0.25">
      <c r="F1729" s="4"/>
    </row>
    <row r="1730" spans="6:6" s="1" customFormat="1" x14ac:dyDescent="0.25">
      <c r="F1730" s="4"/>
    </row>
    <row r="1731" spans="6:6" s="1" customFormat="1" x14ac:dyDescent="0.25">
      <c r="F1731" s="4"/>
    </row>
    <row r="1732" spans="6:6" s="1" customFormat="1" x14ac:dyDescent="0.25">
      <c r="F1732" s="4"/>
    </row>
    <row r="1733" spans="6:6" s="1" customFormat="1" x14ac:dyDescent="0.25">
      <c r="F1733" s="4"/>
    </row>
    <row r="1734" spans="6:6" s="1" customFormat="1" x14ac:dyDescent="0.25">
      <c r="F1734" s="4"/>
    </row>
    <row r="1735" spans="6:6" s="1" customFormat="1" x14ac:dyDescent="0.25">
      <c r="F1735" s="4"/>
    </row>
    <row r="1736" spans="6:6" s="1" customFormat="1" x14ac:dyDescent="0.25">
      <c r="F1736" s="4"/>
    </row>
    <row r="1737" spans="6:6" s="1" customFormat="1" x14ac:dyDescent="0.25">
      <c r="F1737" s="4"/>
    </row>
    <row r="1738" spans="6:6" s="1" customFormat="1" x14ac:dyDescent="0.25">
      <c r="F1738" s="4"/>
    </row>
    <row r="1739" spans="6:6" s="1" customFormat="1" x14ac:dyDescent="0.25">
      <c r="F1739" s="4"/>
    </row>
    <row r="1740" spans="6:6" s="1" customFormat="1" x14ac:dyDescent="0.25">
      <c r="F1740" s="4"/>
    </row>
    <row r="1741" spans="6:6" s="1" customFormat="1" x14ac:dyDescent="0.25">
      <c r="F1741" s="4"/>
    </row>
    <row r="1742" spans="6:6" s="1" customFormat="1" x14ac:dyDescent="0.25">
      <c r="F1742" s="4"/>
    </row>
    <row r="1743" spans="6:6" s="1" customFormat="1" x14ac:dyDescent="0.25">
      <c r="F1743" s="4"/>
    </row>
    <row r="1744" spans="6:6" s="1" customFormat="1" x14ac:dyDescent="0.25">
      <c r="F1744" s="4"/>
    </row>
    <row r="1745" spans="6:6" s="1" customFormat="1" x14ac:dyDescent="0.25">
      <c r="F1745" s="4"/>
    </row>
    <row r="1746" spans="6:6" s="1" customFormat="1" x14ac:dyDescent="0.25">
      <c r="F1746" s="4"/>
    </row>
  </sheetData>
  <autoFilter ref="B3:N1730" xr:uid="{5A6D2F51-FFD4-48B3-9087-E006EB9C2862}">
    <sortState xmlns:xlrd2="http://schemas.microsoft.com/office/spreadsheetml/2017/richdata2" ref="B5:N190">
      <sortCondition ref="H3:H647"/>
    </sortState>
  </autoFilter>
  <phoneticPr fontId="4" type="noConversion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15E79-FC38-4169-82AA-0D2AC4D95966}">
  <sheetPr codeName="Hoja2"/>
  <dimension ref="B1:C1305"/>
  <sheetViews>
    <sheetView topLeftCell="A1130" workbookViewId="0">
      <selection activeCell="B1143" sqref="B1143"/>
    </sheetView>
  </sheetViews>
  <sheetFormatPr baseColWidth="10" defaultRowHeight="15" x14ac:dyDescent="0.25"/>
  <cols>
    <col min="1" max="1" width="11.42578125" style="1"/>
    <col min="2" max="2" width="16.140625" style="23" customWidth="1"/>
    <col min="3" max="3" width="14.7109375" style="4" customWidth="1"/>
    <col min="4" max="4" width="11.42578125" style="1"/>
    <col min="5" max="5" width="12" style="1" bestFit="1" customWidth="1"/>
    <col min="6" max="7" width="11.42578125" style="1"/>
    <col min="8" max="8" width="11.85546875" style="1" bestFit="1" customWidth="1"/>
    <col min="9" max="16384" width="11.42578125" style="1"/>
  </cols>
  <sheetData>
    <row r="1" spans="2:3" x14ac:dyDescent="0.25">
      <c r="B1" s="4"/>
    </row>
    <row r="2" spans="2:3" ht="18.75" x14ac:dyDescent="0.3">
      <c r="B2" s="27" t="s">
        <v>16</v>
      </c>
      <c r="C2" s="27"/>
    </row>
    <row r="3" spans="2:3" x14ac:dyDescent="0.25">
      <c r="B3" s="4"/>
    </row>
    <row r="4" spans="2:3" x14ac:dyDescent="0.25">
      <c r="B4" s="5" t="s">
        <v>5</v>
      </c>
      <c r="C4" s="13" t="s">
        <v>17</v>
      </c>
    </row>
    <row r="5" spans="2:3" x14ac:dyDescent="0.25">
      <c r="B5" s="30"/>
      <c r="C5" s="7"/>
    </row>
    <row r="6" spans="2:3" x14ac:dyDescent="0.25">
      <c r="B6" s="31"/>
      <c r="C6" s="9"/>
    </row>
    <row r="7" spans="2:3" x14ac:dyDescent="0.25">
      <c r="B7" s="9"/>
      <c r="C7" s="9"/>
    </row>
    <row r="8" spans="2:3" x14ac:dyDescent="0.25">
      <c r="B8" s="9"/>
      <c r="C8" s="9"/>
    </row>
    <row r="9" spans="2:3" x14ac:dyDescent="0.25">
      <c r="B9" s="9"/>
      <c r="C9" s="9"/>
    </row>
    <row r="10" spans="2:3" x14ac:dyDescent="0.25">
      <c r="B10" s="9"/>
      <c r="C10" s="9"/>
    </row>
    <row r="11" spans="2:3" x14ac:dyDescent="0.25">
      <c r="B11" s="9"/>
      <c r="C11" s="9"/>
    </row>
    <row r="12" spans="2:3" x14ac:dyDescent="0.25">
      <c r="B12" s="9"/>
      <c r="C12" s="9"/>
    </row>
    <row r="13" spans="2:3" x14ac:dyDescent="0.25">
      <c r="B13" s="9"/>
      <c r="C13" s="9"/>
    </row>
    <row r="14" spans="2:3" x14ac:dyDescent="0.25">
      <c r="B14" s="16"/>
      <c r="C14" s="16"/>
    </row>
    <row r="15" spans="2:3" x14ac:dyDescent="0.25">
      <c r="B15" s="17"/>
      <c r="C15" s="17"/>
    </row>
    <row r="16" spans="2:3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17"/>
      <c r="C23" s="17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18"/>
      <c r="C31" s="18"/>
    </row>
    <row r="32" spans="2:3" x14ac:dyDescent="0.25">
      <c r="B32" s="18"/>
      <c r="C32" s="18"/>
    </row>
    <row r="33" spans="2:3" x14ac:dyDescent="0.25">
      <c r="B33" s="17"/>
      <c r="C33" s="17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16"/>
      <c r="C41" s="16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16"/>
      <c r="C49" s="16"/>
    </row>
    <row r="50" spans="2:3" x14ac:dyDescent="0.25">
      <c r="B50" s="9"/>
      <c r="C50" s="9"/>
    </row>
    <row r="51" spans="2:3" x14ac:dyDescent="0.25">
      <c r="B51" s="8"/>
      <c r="C51" s="8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8"/>
      <c r="C57" s="8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8"/>
      <c r="C63" s="8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8"/>
      <c r="C68" s="8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8"/>
      <c r="C73" s="8"/>
    </row>
    <row r="74" spans="2:3" x14ac:dyDescent="0.25">
      <c r="B74" s="9"/>
      <c r="C74" s="9"/>
    </row>
    <row r="75" spans="2:3" x14ac:dyDescent="0.25">
      <c r="B75" s="9"/>
      <c r="C75" s="9"/>
    </row>
    <row r="76" spans="2:3" x14ac:dyDescent="0.25">
      <c r="B76" s="9"/>
      <c r="C76" s="9"/>
    </row>
    <row r="77" spans="2:3" x14ac:dyDescent="0.25">
      <c r="B77" s="17"/>
      <c r="C77" s="17"/>
    </row>
    <row r="78" spans="2:3" x14ac:dyDescent="0.25">
      <c r="B78" s="9"/>
      <c r="C78" s="9"/>
    </row>
    <row r="79" spans="2:3" x14ac:dyDescent="0.25">
      <c r="B79" s="9"/>
      <c r="C79" s="9"/>
    </row>
    <row r="80" spans="2:3" x14ac:dyDescent="0.25">
      <c r="B80" s="9"/>
      <c r="C80" s="9"/>
    </row>
    <row r="81" spans="2:3" x14ac:dyDescent="0.25">
      <c r="B81" s="17"/>
      <c r="C81" s="17"/>
    </row>
    <row r="82" spans="2:3" x14ac:dyDescent="0.25">
      <c r="B82" s="8"/>
      <c r="C82" s="8"/>
    </row>
    <row r="83" spans="2:3" x14ac:dyDescent="0.25">
      <c r="B83" s="9"/>
      <c r="C83" s="9"/>
    </row>
    <row r="84" spans="2:3" x14ac:dyDescent="0.25">
      <c r="B84" s="8"/>
      <c r="C84" s="8"/>
    </row>
    <row r="85" spans="2:3" x14ac:dyDescent="0.25">
      <c r="B85" s="8"/>
      <c r="C85" s="8"/>
    </row>
    <row r="86" spans="2:3" x14ac:dyDescent="0.25">
      <c r="B86" s="9"/>
      <c r="C86" s="9"/>
    </row>
    <row r="87" spans="2:3" x14ac:dyDescent="0.25">
      <c r="B87" s="9"/>
      <c r="C87" s="9"/>
    </row>
    <row r="88" spans="2:3" x14ac:dyDescent="0.25">
      <c r="B88" s="9"/>
      <c r="C88" s="9"/>
    </row>
    <row r="89" spans="2:3" x14ac:dyDescent="0.25">
      <c r="B89" s="8"/>
      <c r="C89" s="8"/>
    </row>
    <row r="90" spans="2:3" x14ac:dyDescent="0.25">
      <c r="B90" s="8"/>
      <c r="C90" s="8"/>
    </row>
    <row r="91" spans="2:3" x14ac:dyDescent="0.25">
      <c r="B91" s="9"/>
      <c r="C91" s="9"/>
    </row>
    <row r="92" spans="2:3" x14ac:dyDescent="0.25">
      <c r="B92" s="8"/>
      <c r="C92" s="8"/>
    </row>
    <row r="93" spans="2:3" x14ac:dyDescent="0.25">
      <c r="B93" s="8"/>
      <c r="C93" s="8"/>
    </row>
    <row r="94" spans="2:3" x14ac:dyDescent="0.25">
      <c r="B94" s="8"/>
      <c r="C94" s="8"/>
    </row>
    <row r="95" spans="2:3" x14ac:dyDescent="0.25">
      <c r="B95" s="8"/>
      <c r="C95" s="8"/>
    </row>
    <row r="96" spans="2:3" x14ac:dyDescent="0.25">
      <c r="B96" s="8"/>
      <c r="C96" s="8"/>
    </row>
    <row r="97" spans="2:3" x14ac:dyDescent="0.25">
      <c r="B97" s="8"/>
      <c r="C97" s="8"/>
    </row>
    <row r="98" spans="2:3" x14ac:dyDescent="0.25">
      <c r="B98" s="9"/>
      <c r="C98" s="9"/>
    </row>
    <row r="99" spans="2:3" x14ac:dyDescent="0.25">
      <c r="B99" s="9"/>
      <c r="C99" s="9"/>
    </row>
    <row r="100" spans="2:3" x14ac:dyDescent="0.25">
      <c r="B100" s="9"/>
      <c r="C100" s="9"/>
    </row>
    <row r="101" spans="2:3" x14ac:dyDescent="0.25">
      <c r="B101" s="9"/>
      <c r="C101" s="9"/>
    </row>
    <row r="102" spans="2:3" x14ac:dyDescent="0.25">
      <c r="B102" s="9"/>
      <c r="C102" s="9"/>
    </row>
    <row r="103" spans="2:3" x14ac:dyDescent="0.25">
      <c r="B103" s="9"/>
      <c r="C103" s="9"/>
    </row>
    <row r="104" spans="2:3" x14ac:dyDescent="0.25">
      <c r="B104" s="9"/>
      <c r="C104" s="9"/>
    </row>
    <row r="105" spans="2:3" x14ac:dyDescent="0.25">
      <c r="B105" s="9"/>
      <c r="C105" s="9"/>
    </row>
    <row r="106" spans="2:3" x14ac:dyDescent="0.25">
      <c r="B106" s="9"/>
      <c r="C106" s="9"/>
    </row>
    <row r="107" spans="2:3" x14ac:dyDescent="0.25">
      <c r="B107" s="9"/>
      <c r="C107" s="9"/>
    </row>
    <row r="108" spans="2:3" x14ac:dyDescent="0.25">
      <c r="B108" s="9"/>
      <c r="C108" s="9"/>
    </row>
    <row r="109" spans="2:3" x14ac:dyDescent="0.25">
      <c r="B109" s="9"/>
      <c r="C109" s="9"/>
    </row>
    <row r="110" spans="2:3" x14ac:dyDescent="0.25">
      <c r="B110" s="9"/>
      <c r="C110" s="9"/>
    </row>
    <row r="111" spans="2:3" x14ac:dyDescent="0.25">
      <c r="B111" s="9"/>
      <c r="C111" s="9"/>
    </row>
    <row r="112" spans="2:3" x14ac:dyDescent="0.25">
      <c r="B112" s="19"/>
      <c r="C112" s="19"/>
    </row>
    <row r="113" spans="2:3" x14ac:dyDescent="0.25">
      <c r="B113" s="16"/>
      <c r="C113" s="16"/>
    </row>
    <row r="114" spans="2:3" x14ac:dyDescent="0.25">
      <c r="B114" s="16"/>
      <c r="C114" s="16"/>
    </row>
    <row r="115" spans="2:3" x14ac:dyDescent="0.25">
      <c r="B115" s="16"/>
      <c r="C115" s="16"/>
    </row>
    <row r="116" spans="2:3" x14ac:dyDescent="0.25">
      <c r="B116" s="16"/>
      <c r="C116" s="16"/>
    </row>
    <row r="117" spans="2:3" x14ac:dyDescent="0.25">
      <c r="B117" s="16"/>
      <c r="C117" s="16"/>
    </row>
    <row r="118" spans="2:3" x14ac:dyDescent="0.25">
      <c r="B118" s="16"/>
      <c r="C118" s="16"/>
    </row>
    <row r="119" spans="2:3" x14ac:dyDescent="0.25">
      <c r="B119" s="16"/>
      <c r="C119" s="16"/>
    </row>
    <row r="120" spans="2:3" x14ac:dyDescent="0.25">
      <c r="B120" s="16"/>
      <c r="C120" s="16"/>
    </row>
    <row r="121" spans="2:3" x14ac:dyDescent="0.25">
      <c r="B121" s="16"/>
      <c r="C121" s="16"/>
    </row>
    <row r="122" spans="2:3" x14ac:dyDescent="0.25">
      <c r="B122" s="16"/>
      <c r="C122" s="16"/>
    </row>
    <row r="123" spans="2:3" x14ac:dyDescent="0.25">
      <c r="B123" s="16"/>
      <c r="C123" s="16"/>
    </row>
    <row r="124" spans="2:3" x14ac:dyDescent="0.25">
      <c r="B124" s="9"/>
      <c r="C124" s="9"/>
    </row>
    <row r="125" spans="2:3" x14ac:dyDescent="0.25">
      <c r="B125" s="9"/>
      <c r="C125" s="9"/>
    </row>
    <row r="126" spans="2:3" x14ac:dyDescent="0.25">
      <c r="B126" s="17"/>
      <c r="C126" s="17"/>
    </row>
    <row r="127" spans="2:3" x14ac:dyDescent="0.25">
      <c r="B127" s="17"/>
      <c r="C127" s="17"/>
    </row>
    <row r="128" spans="2:3" x14ac:dyDescent="0.25">
      <c r="B128" s="9"/>
      <c r="C128" s="9"/>
    </row>
    <row r="129" spans="2:3" x14ac:dyDescent="0.25">
      <c r="B129" s="9"/>
      <c r="C129" s="9"/>
    </row>
    <row r="130" spans="2:3" x14ac:dyDescent="0.25">
      <c r="B130" s="17"/>
      <c r="C130" s="17"/>
    </row>
    <row r="131" spans="2:3" x14ac:dyDescent="0.25">
      <c r="B131" s="17"/>
      <c r="C131" s="17"/>
    </row>
    <row r="132" spans="2:3" x14ac:dyDescent="0.25">
      <c r="B132" s="9"/>
      <c r="C132" s="9"/>
    </row>
    <row r="133" spans="2:3" x14ac:dyDescent="0.25">
      <c r="B133" s="17"/>
      <c r="C133" s="17"/>
    </row>
    <row r="134" spans="2:3" x14ac:dyDescent="0.25">
      <c r="B134" s="9"/>
      <c r="C134" s="9"/>
    </row>
    <row r="135" spans="2:3" x14ac:dyDescent="0.25">
      <c r="B135" s="9"/>
      <c r="C135" s="9"/>
    </row>
    <row r="136" spans="2:3" x14ac:dyDescent="0.25">
      <c r="B136" s="9"/>
      <c r="C136" s="9"/>
    </row>
    <row r="137" spans="2:3" x14ac:dyDescent="0.25">
      <c r="B137" s="9"/>
      <c r="C137" s="9"/>
    </row>
    <row r="138" spans="2:3" x14ac:dyDescent="0.25">
      <c r="B138" s="9"/>
      <c r="C138" s="9"/>
    </row>
    <row r="139" spans="2:3" x14ac:dyDescent="0.25">
      <c r="B139" s="17"/>
      <c r="C139" s="17"/>
    </row>
    <row r="140" spans="2:3" x14ac:dyDescent="0.25">
      <c r="B140" s="17"/>
      <c r="C140" s="17"/>
    </row>
    <row r="141" spans="2:3" x14ac:dyDescent="0.25">
      <c r="B141" s="9"/>
      <c r="C141" s="9"/>
    </row>
    <row r="142" spans="2:3" x14ac:dyDescent="0.25">
      <c r="B142" s="9"/>
      <c r="C142" s="9"/>
    </row>
    <row r="143" spans="2:3" x14ac:dyDescent="0.25">
      <c r="B143" s="9"/>
      <c r="C143" s="9"/>
    </row>
    <row r="144" spans="2:3" x14ac:dyDescent="0.25">
      <c r="B144" s="17"/>
      <c r="C144" s="17"/>
    </row>
    <row r="145" spans="2:3" x14ac:dyDescent="0.25">
      <c r="B145" s="17"/>
      <c r="C145" s="17"/>
    </row>
    <row r="146" spans="2:3" x14ac:dyDescent="0.25">
      <c r="B146" s="9"/>
      <c r="C146" s="9"/>
    </row>
    <row r="147" spans="2:3" x14ac:dyDescent="0.25">
      <c r="B147" s="9"/>
      <c r="C147" s="9"/>
    </row>
    <row r="148" spans="2:3" x14ac:dyDescent="0.25">
      <c r="B148" s="9"/>
      <c r="C148" s="9"/>
    </row>
    <row r="149" spans="2:3" x14ac:dyDescent="0.25">
      <c r="B149" s="8"/>
      <c r="C149" s="8"/>
    </row>
    <row r="150" spans="2:3" x14ac:dyDescent="0.25">
      <c r="B150" s="9"/>
      <c r="C150" s="9"/>
    </row>
    <row r="151" spans="2:3" x14ac:dyDescent="0.25">
      <c r="B151" s="17"/>
      <c r="C151" s="17"/>
    </row>
    <row r="152" spans="2:3" x14ac:dyDescent="0.25">
      <c r="B152" s="18"/>
      <c r="C152" s="18"/>
    </row>
    <row r="153" spans="2:3" x14ac:dyDescent="0.25">
      <c r="B153" s="17"/>
      <c r="C153" s="17"/>
    </row>
    <row r="154" spans="2:3" x14ac:dyDescent="0.25">
      <c r="B154" s="9"/>
      <c r="C154" s="9"/>
    </row>
    <row r="155" spans="2:3" x14ac:dyDescent="0.25">
      <c r="B155" s="9"/>
      <c r="C155" s="9"/>
    </row>
    <row r="156" spans="2:3" x14ac:dyDescent="0.25">
      <c r="B156" s="18"/>
      <c r="C156" s="18"/>
    </row>
    <row r="157" spans="2:3" x14ac:dyDescent="0.25">
      <c r="B157" s="17"/>
      <c r="C157" s="17"/>
    </row>
    <row r="158" spans="2:3" x14ac:dyDescent="0.25">
      <c r="B158" s="9"/>
      <c r="C158" s="9"/>
    </row>
    <row r="159" spans="2:3" x14ac:dyDescent="0.25">
      <c r="B159" s="18"/>
      <c r="C159" s="18"/>
    </row>
    <row r="160" spans="2:3" x14ac:dyDescent="0.25">
      <c r="B160" s="17"/>
      <c r="C160" s="17"/>
    </row>
    <row r="161" spans="2:3" x14ac:dyDescent="0.25">
      <c r="B161" s="9"/>
      <c r="C161" s="9"/>
    </row>
    <row r="162" spans="2:3" x14ac:dyDescent="0.25">
      <c r="B162" s="9"/>
      <c r="C162" s="9"/>
    </row>
    <row r="163" spans="2:3" x14ac:dyDescent="0.25">
      <c r="B163" s="9"/>
      <c r="C163" s="9"/>
    </row>
    <row r="164" spans="2:3" x14ac:dyDescent="0.25">
      <c r="B164" s="8"/>
      <c r="C164" s="8"/>
    </row>
    <row r="165" spans="2:3" x14ac:dyDescent="0.25">
      <c r="B165" s="9"/>
      <c r="C165" s="9"/>
    </row>
    <row r="166" spans="2:3" x14ac:dyDescent="0.25">
      <c r="B166" s="9"/>
      <c r="C166" s="9"/>
    </row>
    <row r="167" spans="2:3" x14ac:dyDescent="0.25">
      <c r="B167" s="9"/>
      <c r="C167" s="9"/>
    </row>
    <row r="168" spans="2:3" x14ac:dyDescent="0.25">
      <c r="B168" s="17"/>
      <c r="C168" s="17"/>
    </row>
    <row r="169" spans="2:3" x14ac:dyDescent="0.25">
      <c r="B169" s="9"/>
      <c r="C169" s="9"/>
    </row>
    <row r="170" spans="2:3" x14ac:dyDescent="0.25">
      <c r="B170" s="9"/>
      <c r="C170" s="9"/>
    </row>
    <row r="171" spans="2:3" x14ac:dyDescent="0.25">
      <c r="B171" s="9"/>
      <c r="C171" s="9"/>
    </row>
    <row r="172" spans="2:3" x14ac:dyDescent="0.25">
      <c r="B172" s="9"/>
      <c r="C172" s="9"/>
    </row>
    <row r="173" spans="2:3" x14ac:dyDescent="0.25">
      <c r="B173" s="9"/>
      <c r="C173" s="9"/>
    </row>
    <row r="174" spans="2:3" x14ac:dyDescent="0.25">
      <c r="B174" s="18"/>
      <c r="C174" s="18"/>
    </row>
    <row r="175" spans="2:3" x14ac:dyDescent="0.25">
      <c r="B175" s="9"/>
      <c r="C175" s="9"/>
    </row>
    <row r="176" spans="2:3" x14ac:dyDescent="0.25">
      <c r="B176" s="9"/>
      <c r="C176" s="9"/>
    </row>
    <row r="177" spans="2:3" x14ac:dyDescent="0.25">
      <c r="B177" s="9"/>
      <c r="C177" s="9"/>
    </row>
    <row r="178" spans="2:3" x14ac:dyDescent="0.25">
      <c r="B178" s="9"/>
      <c r="C178" s="9"/>
    </row>
    <row r="179" spans="2:3" x14ac:dyDescent="0.25">
      <c r="B179" s="9"/>
      <c r="C179" s="9"/>
    </row>
    <row r="180" spans="2:3" x14ac:dyDescent="0.25">
      <c r="B180" s="9"/>
      <c r="C180" s="9"/>
    </row>
    <row r="181" spans="2:3" x14ac:dyDescent="0.25">
      <c r="B181" s="9"/>
      <c r="C181" s="9"/>
    </row>
    <row r="182" spans="2:3" x14ac:dyDescent="0.25">
      <c r="B182" s="9"/>
      <c r="C182" s="9"/>
    </row>
    <row r="183" spans="2:3" x14ac:dyDescent="0.25">
      <c r="B183" s="16"/>
      <c r="C183" s="16"/>
    </row>
    <row r="184" spans="2:3" x14ac:dyDescent="0.25">
      <c r="B184" s="9"/>
      <c r="C184" s="9"/>
    </row>
    <row r="185" spans="2:3" x14ac:dyDescent="0.25">
      <c r="B185" s="9"/>
      <c r="C185" s="9"/>
    </row>
    <row r="186" spans="2:3" x14ac:dyDescent="0.25">
      <c r="B186" s="18"/>
      <c r="C186" s="18"/>
    </row>
    <row r="187" spans="2:3" x14ac:dyDescent="0.25">
      <c r="B187" s="17"/>
      <c r="C187" s="17"/>
    </row>
    <row r="188" spans="2:3" x14ac:dyDescent="0.25">
      <c r="B188" s="18"/>
      <c r="C188" s="18"/>
    </row>
    <row r="189" spans="2:3" x14ac:dyDescent="0.25">
      <c r="B189" s="18"/>
      <c r="C189" s="18"/>
    </row>
    <row r="190" spans="2:3" x14ac:dyDescent="0.25">
      <c r="B190" s="9"/>
      <c r="C190" s="9"/>
    </row>
    <row r="191" spans="2:3" x14ac:dyDescent="0.25">
      <c r="B191" s="9"/>
      <c r="C191" s="9"/>
    </row>
    <row r="192" spans="2:3" x14ac:dyDescent="0.25">
      <c r="B192" s="9"/>
      <c r="C192" s="9"/>
    </row>
    <row r="193" spans="2:3" x14ac:dyDescent="0.25">
      <c r="B193" s="9"/>
      <c r="C193" s="9"/>
    </row>
    <row r="194" spans="2:3" x14ac:dyDescent="0.25">
      <c r="B194" s="9"/>
      <c r="C194" s="9"/>
    </row>
    <row r="195" spans="2:3" x14ac:dyDescent="0.25">
      <c r="B195" s="9"/>
      <c r="C195" s="9"/>
    </row>
    <row r="196" spans="2:3" x14ac:dyDescent="0.25">
      <c r="B196" s="17"/>
      <c r="C196" s="17"/>
    </row>
    <row r="197" spans="2:3" x14ac:dyDescent="0.25">
      <c r="B197" s="18"/>
      <c r="C197" s="18"/>
    </row>
    <row r="198" spans="2:3" x14ac:dyDescent="0.25">
      <c r="B198" s="17"/>
      <c r="C198" s="17"/>
    </row>
    <row r="199" spans="2:3" x14ac:dyDescent="0.25">
      <c r="B199" s="17"/>
      <c r="C199" s="17"/>
    </row>
    <row r="200" spans="2:3" x14ac:dyDescent="0.25">
      <c r="B200" s="9"/>
      <c r="C200" s="9"/>
    </row>
    <row r="201" spans="2:3" x14ac:dyDescent="0.25">
      <c r="B201" s="9"/>
      <c r="C201" s="9"/>
    </row>
    <row r="202" spans="2:3" x14ac:dyDescent="0.25">
      <c r="B202" s="9"/>
      <c r="C202" s="9"/>
    </row>
    <row r="203" spans="2:3" x14ac:dyDescent="0.25">
      <c r="B203" s="9"/>
      <c r="C203" s="9"/>
    </row>
    <row r="204" spans="2:3" x14ac:dyDescent="0.25">
      <c r="B204" s="20"/>
      <c r="C204" s="20"/>
    </row>
    <row r="205" spans="2:3" x14ac:dyDescent="0.25">
      <c r="B205" s="9"/>
      <c r="C205" s="9"/>
    </row>
    <row r="206" spans="2:3" x14ac:dyDescent="0.25">
      <c r="B206" s="9"/>
      <c r="C206" s="9"/>
    </row>
    <row r="207" spans="2:3" x14ac:dyDescent="0.25">
      <c r="B207" s="9"/>
      <c r="C207" s="9"/>
    </row>
    <row r="208" spans="2:3" x14ac:dyDescent="0.25">
      <c r="B208" s="9"/>
      <c r="C208" s="9"/>
    </row>
    <row r="209" spans="2:3" x14ac:dyDescent="0.25">
      <c r="B209" s="9"/>
      <c r="C209" s="9"/>
    </row>
    <row r="210" spans="2:3" x14ac:dyDescent="0.25">
      <c r="B210" s="9"/>
      <c r="C210" s="9"/>
    </row>
    <row r="211" spans="2:3" x14ac:dyDescent="0.25">
      <c r="B211" s="9"/>
      <c r="C211" s="9"/>
    </row>
    <row r="212" spans="2:3" x14ac:dyDescent="0.25">
      <c r="B212" s="9"/>
      <c r="C212" s="9"/>
    </row>
    <row r="213" spans="2:3" x14ac:dyDescent="0.25">
      <c r="B213" s="9"/>
      <c r="C213" s="9"/>
    </row>
    <row r="214" spans="2:3" x14ac:dyDescent="0.25">
      <c r="B214" s="9"/>
      <c r="C214" s="9"/>
    </row>
    <row r="215" spans="2:3" x14ac:dyDescent="0.25">
      <c r="B215" s="16"/>
      <c r="C215" s="16"/>
    </row>
    <row r="216" spans="2:3" x14ac:dyDescent="0.25">
      <c r="B216" s="9"/>
      <c r="C216" s="9"/>
    </row>
    <row r="217" spans="2:3" x14ac:dyDescent="0.25">
      <c r="B217" s="9"/>
      <c r="C217" s="9"/>
    </row>
    <row r="218" spans="2:3" x14ac:dyDescent="0.25">
      <c r="B218" s="9"/>
      <c r="C218" s="9"/>
    </row>
    <row r="219" spans="2:3" x14ac:dyDescent="0.25">
      <c r="B219" s="9"/>
      <c r="C219" s="9"/>
    </row>
    <row r="220" spans="2:3" x14ac:dyDescent="0.25">
      <c r="B220" s="17"/>
      <c r="C220" s="17"/>
    </row>
    <row r="221" spans="2:3" x14ac:dyDescent="0.25">
      <c r="B221" s="9"/>
      <c r="C221" s="9"/>
    </row>
    <row r="222" spans="2:3" x14ac:dyDescent="0.25">
      <c r="B222" s="9"/>
      <c r="C222" s="9"/>
    </row>
    <row r="223" spans="2:3" x14ac:dyDescent="0.25">
      <c r="B223" s="9"/>
      <c r="C223" s="9"/>
    </row>
    <row r="224" spans="2:3" x14ac:dyDescent="0.25">
      <c r="B224" s="9"/>
      <c r="C224" s="9"/>
    </row>
    <row r="225" spans="2:3" x14ac:dyDescent="0.25">
      <c r="B225" s="16"/>
      <c r="C225" s="16"/>
    </row>
    <row r="226" spans="2:3" x14ac:dyDescent="0.25">
      <c r="B226" s="9"/>
      <c r="C226" s="9"/>
    </row>
    <row r="227" spans="2:3" x14ac:dyDescent="0.25">
      <c r="B227" s="9"/>
      <c r="C227" s="9"/>
    </row>
    <row r="228" spans="2:3" x14ac:dyDescent="0.25">
      <c r="B228" s="9"/>
      <c r="C228" s="9"/>
    </row>
    <row r="229" spans="2:3" x14ac:dyDescent="0.25">
      <c r="B229" s="9"/>
      <c r="C229" s="9"/>
    </row>
    <row r="230" spans="2:3" x14ac:dyDescent="0.25">
      <c r="B230" s="9"/>
      <c r="C230" s="9"/>
    </row>
    <row r="231" spans="2:3" x14ac:dyDescent="0.25">
      <c r="B231" s="8"/>
      <c r="C231" s="8"/>
    </row>
    <row r="232" spans="2:3" x14ac:dyDescent="0.25">
      <c r="B232" s="9"/>
      <c r="C232" s="9"/>
    </row>
    <row r="233" spans="2:3" x14ac:dyDescent="0.25">
      <c r="B233" s="9"/>
      <c r="C233" s="9"/>
    </row>
    <row r="234" spans="2:3" x14ac:dyDescent="0.25">
      <c r="B234" s="9"/>
      <c r="C234" s="9"/>
    </row>
    <row r="235" spans="2:3" x14ac:dyDescent="0.25">
      <c r="B235" s="9"/>
      <c r="C235" s="9"/>
    </row>
    <row r="236" spans="2:3" x14ac:dyDescent="0.25">
      <c r="B236" s="9"/>
      <c r="C236" s="9"/>
    </row>
    <row r="237" spans="2:3" x14ac:dyDescent="0.25">
      <c r="B237" s="17"/>
      <c r="C237" s="17"/>
    </row>
    <row r="238" spans="2:3" x14ac:dyDescent="0.25">
      <c r="B238" s="9"/>
      <c r="C238" s="9"/>
    </row>
    <row r="239" spans="2:3" x14ac:dyDescent="0.25">
      <c r="B239" s="9"/>
      <c r="C239" s="9"/>
    </row>
    <row r="240" spans="2:3" x14ac:dyDescent="0.25">
      <c r="B240" s="9"/>
      <c r="C240" s="9"/>
    </row>
    <row r="241" spans="2:3" x14ac:dyDescent="0.25">
      <c r="B241" s="9"/>
      <c r="C241" s="9"/>
    </row>
    <row r="242" spans="2:3" x14ac:dyDescent="0.25">
      <c r="B242" s="9"/>
      <c r="C242" s="9"/>
    </row>
    <row r="243" spans="2:3" x14ac:dyDescent="0.25">
      <c r="B243" s="9"/>
      <c r="C243" s="9"/>
    </row>
    <row r="244" spans="2:3" x14ac:dyDescent="0.25">
      <c r="B244" s="9"/>
      <c r="C244" s="9"/>
    </row>
    <row r="245" spans="2:3" x14ac:dyDescent="0.25">
      <c r="B245" s="9"/>
      <c r="C245" s="9"/>
    </row>
    <row r="246" spans="2:3" x14ac:dyDescent="0.25">
      <c r="B246" s="9"/>
      <c r="C246" s="9"/>
    </row>
    <row r="247" spans="2:3" x14ac:dyDescent="0.25">
      <c r="B247" s="9"/>
      <c r="C247" s="9"/>
    </row>
    <row r="248" spans="2:3" x14ac:dyDescent="0.25">
      <c r="B248" s="16"/>
      <c r="C248" s="16"/>
    </row>
    <row r="249" spans="2:3" x14ac:dyDescent="0.25">
      <c r="B249" s="9"/>
      <c r="C249" s="9"/>
    </row>
    <row r="250" spans="2:3" x14ac:dyDescent="0.25">
      <c r="B250" s="17"/>
      <c r="C250" s="17"/>
    </row>
    <row r="251" spans="2:3" x14ac:dyDescent="0.25">
      <c r="B251" s="9"/>
      <c r="C251" s="9"/>
    </row>
    <row r="252" spans="2:3" x14ac:dyDescent="0.25">
      <c r="B252" s="9"/>
      <c r="C252" s="9"/>
    </row>
    <row r="253" spans="2:3" x14ac:dyDescent="0.25">
      <c r="B253" s="9"/>
      <c r="C253" s="9"/>
    </row>
    <row r="254" spans="2:3" x14ac:dyDescent="0.25">
      <c r="B254" s="8"/>
      <c r="C254" s="8"/>
    </row>
    <row r="255" spans="2:3" x14ac:dyDescent="0.25">
      <c r="B255" s="9"/>
      <c r="C255" s="9"/>
    </row>
    <row r="256" spans="2:3" x14ac:dyDescent="0.25">
      <c r="B256" s="9"/>
      <c r="C256" s="9"/>
    </row>
    <row r="257" spans="2:3" x14ac:dyDescent="0.25">
      <c r="B257" s="9"/>
      <c r="C257" s="9"/>
    </row>
    <row r="258" spans="2:3" x14ac:dyDescent="0.25">
      <c r="B258" s="9"/>
      <c r="C258" s="9"/>
    </row>
    <row r="259" spans="2:3" x14ac:dyDescent="0.25">
      <c r="B259" s="9"/>
      <c r="C259" s="9"/>
    </row>
    <row r="260" spans="2:3" x14ac:dyDescent="0.25">
      <c r="B260" s="9"/>
      <c r="C260" s="9"/>
    </row>
    <row r="261" spans="2:3" x14ac:dyDescent="0.25">
      <c r="B261" s="9"/>
      <c r="C261" s="9"/>
    </row>
    <row r="262" spans="2:3" x14ac:dyDescent="0.25">
      <c r="B262" s="8"/>
      <c r="C262" s="8"/>
    </row>
    <row r="263" spans="2:3" x14ac:dyDescent="0.25">
      <c r="B263" s="9"/>
      <c r="C263" s="9"/>
    </row>
    <row r="264" spans="2:3" x14ac:dyDescent="0.25">
      <c r="B264" s="9"/>
      <c r="C264" s="9"/>
    </row>
    <row r="265" spans="2:3" x14ac:dyDescent="0.25">
      <c r="B265" s="9"/>
      <c r="C265" s="9"/>
    </row>
    <row r="266" spans="2:3" x14ac:dyDescent="0.25">
      <c r="B266" s="9"/>
      <c r="C266" s="9"/>
    </row>
    <row r="267" spans="2:3" x14ac:dyDescent="0.25">
      <c r="B267" s="9"/>
      <c r="C267" s="9"/>
    </row>
    <row r="268" spans="2:3" x14ac:dyDescent="0.25">
      <c r="B268" s="9"/>
      <c r="C268" s="9"/>
    </row>
    <row r="269" spans="2:3" x14ac:dyDescent="0.25">
      <c r="B269" s="9"/>
      <c r="C269" s="9"/>
    </row>
    <row r="270" spans="2:3" x14ac:dyDescent="0.25">
      <c r="B270" s="9"/>
      <c r="C270" s="9"/>
    </row>
    <row r="271" spans="2:3" x14ac:dyDescent="0.25">
      <c r="B271" s="9"/>
      <c r="C271" s="9"/>
    </row>
    <row r="272" spans="2:3" x14ac:dyDescent="0.25">
      <c r="B272" s="8"/>
      <c r="C272" s="8"/>
    </row>
    <row r="273" spans="2:3" x14ac:dyDescent="0.25">
      <c r="B273" s="8"/>
      <c r="C273" s="8"/>
    </row>
    <row r="274" spans="2:3" x14ac:dyDescent="0.25">
      <c r="B274" s="9"/>
      <c r="C274" s="9"/>
    </row>
    <row r="275" spans="2:3" x14ac:dyDescent="0.25">
      <c r="B275" s="9"/>
      <c r="C275" s="9"/>
    </row>
    <row r="276" spans="2:3" x14ac:dyDescent="0.25">
      <c r="B276" s="9"/>
      <c r="C276" s="9"/>
    </row>
    <row r="277" spans="2:3" x14ac:dyDescent="0.25">
      <c r="B277" s="9"/>
      <c r="C277" s="9"/>
    </row>
    <row r="278" spans="2:3" x14ac:dyDescent="0.25">
      <c r="B278" s="9"/>
      <c r="C278" s="9"/>
    </row>
    <row r="279" spans="2:3" x14ac:dyDescent="0.25">
      <c r="B279" s="9"/>
      <c r="C279" s="9"/>
    </row>
    <row r="280" spans="2:3" x14ac:dyDescent="0.25">
      <c r="B280" s="8"/>
      <c r="C280" s="8"/>
    </row>
    <row r="281" spans="2:3" x14ac:dyDescent="0.25">
      <c r="B281" s="9"/>
      <c r="C281" s="9"/>
    </row>
    <row r="282" spans="2:3" x14ac:dyDescent="0.25">
      <c r="B282" s="9"/>
      <c r="C282" s="9"/>
    </row>
    <row r="283" spans="2:3" x14ac:dyDescent="0.25">
      <c r="B283" s="8"/>
      <c r="C283" s="8"/>
    </row>
    <row r="284" spans="2:3" x14ac:dyDescent="0.25">
      <c r="B284" s="9"/>
      <c r="C284" s="9"/>
    </row>
    <row r="285" spans="2:3" x14ac:dyDescent="0.25">
      <c r="B285" s="9"/>
      <c r="C285" s="9"/>
    </row>
    <row r="286" spans="2:3" x14ac:dyDescent="0.25">
      <c r="B286" s="9"/>
      <c r="C286" s="9"/>
    </row>
    <row r="287" spans="2:3" x14ac:dyDescent="0.25">
      <c r="B287" s="9"/>
      <c r="C287" s="9"/>
    </row>
    <row r="288" spans="2:3" x14ac:dyDescent="0.25">
      <c r="B288" s="9"/>
      <c r="C288" s="9"/>
    </row>
    <row r="289" spans="2:3" x14ac:dyDescent="0.25">
      <c r="B289" s="9"/>
      <c r="C289" s="9"/>
    </row>
    <row r="290" spans="2:3" x14ac:dyDescent="0.25">
      <c r="B290" s="9"/>
      <c r="C290" s="9"/>
    </row>
    <row r="291" spans="2:3" x14ac:dyDescent="0.25">
      <c r="B291" s="9"/>
      <c r="C291" s="9"/>
    </row>
    <row r="292" spans="2:3" x14ac:dyDescent="0.25">
      <c r="B292" s="9"/>
      <c r="C292" s="9"/>
    </row>
    <row r="293" spans="2:3" x14ac:dyDescent="0.25">
      <c r="B293" s="9"/>
      <c r="C293" s="9"/>
    </row>
    <row r="294" spans="2:3" x14ac:dyDescent="0.25">
      <c r="B294" s="9"/>
      <c r="C294" s="9"/>
    </row>
    <row r="295" spans="2:3" x14ac:dyDescent="0.25">
      <c r="B295" s="9"/>
      <c r="C295" s="9"/>
    </row>
    <row r="296" spans="2:3" x14ac:dyDescent="0.25">
      <c r="B296" s="18"/>
      <c r="C296" s="18"/>
    </row>
    <row r="297" spans="2:3" x14ac:dyDescent="0.25">
      <c r="B297" s="9"/>
      <c r="C297" s="9"/>
    </row>
    <row r="298" spans="2:3" x14ac:dyDescent="0.25">
      <c r="B298" s="9"/>
      <c r="C298" s="9"/>
    </row>
    <row r="299" spans="2:3" x14ac:dyDescent="0.25">
      <c r="B299" s="9"/>
      <c r="C299" s="9"/>
    </row>
    <row r="300" spans="2:3" x14ac:dyDescent="0.25">
      <c r="B300" s="9"/>
      <c r="C300" s="9"/>
    </row>
    <row r="301" spans="2:3" x14ac:dyDescent="0.25">
      <c r="B301" s="9"/>
      <c r="C301" s="9"/>
    </row>
    <row r="302" spans="2:3" x14ac:dyDescent="0.25">
      <c r="B302" s="9"/>
      <c r="C302" s="9"/>
    </row>
    <row r="303" spans="2:3" x14ac:dyDescent="0.25">
      <c r="B303" s="9"/>
      <c r="C303" s="9"/>
    </row>
    <row r="304" spans="2:3" x14ac:dyDescent="0.25">
      <c r="B304" s="9"/>
      <c r="C304" s="9"/>
    </row>
    <row r="305" spans="2:3" x14ac:dyDescent="0.25">
      <c r="B305" s="9"/>
      <c r="C305" s="9"/>
    </row>
    <row r="306" spans="2:3" x14ac:dyDescent="0.25">
      <c r="B306" s="9"/>
      <c r="C306" s="9"/>
    </row>
    <row r="307" spans="2:3" x14ac:dyDescent="0.25">
      <c r="B307" s="17"/>
      <c r="C307" s="17"/>
    </row>
    <row r="308" spans="2:3" x14ac:dyDescent="0.25">
      <c r="B308" s="9"/>
      <c r="C308" s="9"/>
    </row>
    <row r="309" spans="2:3" x14ac:dyDescent="0.25">
      <c r="B309" s="17"/>
      <c r="C309" s="17"/>
    </row>
    <row r="310" spans="2:3" x14ac:dyDescent="0.25">
      <c r="B310" s="8"/>
      <c r="C310" s="8"/>
    </row>
    <row r="311" spans="2:3" x14ac:dyDescent="0.25">
      <c r="B311" s="9"/>
      <c r="C311" s="9"/>
    </row>
    <row r="312" spans="2:3" x14ac:dyDescent="0.25">
      <c r="B312" s="9"/>
      <c r="C312" s="9"/>
    </row>
    <row r="313" spans="2:3" x14ac:dyDescent="0.25">
      <c r="B313" s="9"/>
      <c r="C313" s="9"/>
    </row>
    <row r="314" spans="2:3" x14ac:dyDescent="0.25">
      <c r="B314" s="9"/>
      <c r="C314" s="9"/>
    </row>
    <row r="315" spans="2:3" x14ac:dyDescent="0.25">
      <c r="B315" s="18"/>
      <c r="C315" s="18"/>
    </row>
    <row r="316" spans="2:3" x14ac:dyDescent="0.25">
      <c r="B316" s="9"/>
      <c r="C316" s="9"/>
    </row>
    <row r="317" spans="2:3" x14ac:dyDescent="0.25">
      <c r="B317" s="8"/>
      <c r="C317" s="8"/>
    </row>
    <row r="318" spans="2:3" x14ac:dyDescent="0.25">
      <c r="B318" s="9"/>
      <c r="C318" s="9"/>
    </row>
    <row r="319" spans="2:3" x14ac:dyDescent="0.25">
      <c r="B319" s="9"/>
      <c r="C319" s="9"/>
    </row>
    <row r="320" spans="2:3" x14ac:dyDescent="0.25">
      <c r="B320" s="17"/>
      <c r="C320" s="17"/>
    </row>
    <row r="321" spans="2:3" x14ac:dyDescent="0.25">
      <c r="B321" s="8"/>
      <c r="C321" s="8"/>
    </row>
    <row r="322" spans="2:3" x14ac:dyDescent="0.25">
      <c r="B322" s="9"/>
      <c r="C322" s="9"/>
    </row>
    <row r="323" spans="2:3" x14ac:dyDescent="0.25">
      <c r="B323" s="8"/>
      <c r="C323" s="8"/>
    </row>
    <row r="324" spans="2:3" x14ac:dyDescent="0.25">
      <c r="B324" s="17"/>
      <c r="C324" s="17"/>
    </row>
    <row r="325" spans="2:3" x14ac:dyDescent="0.25">
      <c r="B325" s="9"/>
      <c r="C325" s="9"/>
    </row>
    <row r="326" spans="2:3" x14ac:dyDescent="0.25">
      <c r="B326" s="18"/>
      <c r="C326" s="18"/>
    </row>
    <row r="327" spans="2:3" x14ac:dyDescent="0.25">
      <c r="B327" s="9"/>
      <c r="C327" s="9"/>
    </row>
    <row r="328" spans="2:3" x14ac:dyDescent="0.25">
      <c r="B328" s="9"/>
      <c r="C328" s="9"/>
    </row>
    <row r="329" spans="2:3" x14ac:dyDescent="0.25">
      <c r="B329" s="17"/>
      <c r="C329" s="17"/>
    </row>
    <row r="330" spans="2:3" x14ac:dyDescent="0.25">
      <c r="B330" s="9"/>
      <c r="C330" s="9"/>
    </row>
    <row r="331" spans="2:3" x14ac:dyDescent="0.25">
      <c r="B331" s="9"/>
      <c r="C331" s="9"/>
    </row>
    <row r="332" spans="2:3" x14ac:dyDescent="0.25">
      <c r="B332" s="9"/>
      <c r="C332" s="9"/>
    </row>
    <row r="333" spans="2:3" x14ac:dyDescent="0.25">
      <c r="B333" s="9"/>
      <c r="C333" s="9"/>
    </row>
    <row r="334" spans="2:3" x14ac:dyDescent="0.25">
      <c r="B334" s="17"/>
      <c r="C334" s="17"/>
    </row>
    <row r="335" spans="2:3" x14ac:dyDescent="0.25">
      <c r="B335" s="9"/>
      <c r="C335" s="9"/>
    </row>
    <row r="336" spans="2:3" x14ac:dyDescent="0.25">
      <c r="B336" s="9"/>
      <c r="C336" s="9"/>
    </row>
    <row r="337" spans="2:3" x14ac:dyDescent="0.25">
      <c r="B337" s="8"/>
      <c r="C337" s="8"/>
    </row>
    <row r="338" spans="2:3" x14ac:dyDescent="0.25">
      <c r="B338" s="9"/>
      <c r="C338" s="9"/>
    </row>
    <row r="339" spans="2:3" x14ac:dyDescent="0.25">
      <c r="B339" s="9"/>
      <c r="C339" s="9"/>
    </row>
    <row r="340" spans="2:3" x14ac:dyDescent="0.25">
      <c r="B340" s="17"/>
      <c r="C340" s="17"/>
    </row>
    <row r="341" spans="2:3" x14ac:dyDescent="0.25">
      <c r="B341" s="9"/>
      <c r="C341" s="9"/>
    </row>
    <row r="342" spans="2:3" x14ac:dyDescent="0.25">
      <c r="B342" s="17"/>
      <c r="C342" s="17"/>
    </row>
    <row r="343" spans="2:3" x14ac:dyDescent="0.25">
      <c r="B343" s="9"/>
      <c r="C343" s="9"/>
    </row>
    <row r="344" spans="2:3" x14ac:dyDescent="0.25">
      <c r="B344" s="17"/>
      <c r="C344" s="17"/>
    </row>
    <row r="345" spans="2:3" x14ac:dyDescent="0.25">
      <c r="B345" s="8"/>
      <c r="C345" s="8"/>
    </row>
    <row r="346" spans="2:3" x14ac:dyDescent="0.25">
      <c r="B346" s="9"/>
      <c r="C346" s="9"/>
    </row>
    <row r="347" spans="2:3" x14ac:dyDescent="0.25">
      <c r="B347" s="9"/>
      <c r="C347" s="9"/>
    </row>
    <row r="348" spans="2:3" x14ac:dyDescent="0.25">
      <c r="B348" s="9"/>
      <c r="C348" s="9"/>
    </row>
    <row r="349" spans="2:3" x14ac:dyDescent="0.25">
      <c r="B349" s="8"/>
      <c r="C349" s="8"/>
    </row>
    <row r="350" spans="2:3" x14ac:dyDescent="0.25">
      <c r="B350" s="9"/>
      <c r="C350" s="9"/>
    </row>
    <row r="351" spans="2:3" x14ac:dyDescent="0.25">
      <c r="B351" s="10"/>
      <c r="C351" s="10"/>
    </row>
    <row r="352" spans="2:3" x14ac:dyDescent="0.25">
      <c r="B352" s="9"/>
      <c r="C352" s="9"/>
    </row>
    <row r="353" spans="2:3" x14ac:dyDescent="0.25">
      <c r="B353" s="17"/>
      <c r="C353" s="17"/>
    </row>
    <row r="354" spans="2:3" x14ac:dyDescent="0.25">
      <c r="B354" s="18"/>
      <c r="C354" s="18"/>
    </row>
    <row r="355" spans="2:3" x14ac:dyDescent="0.25">
      <c r="B355" s="17"/>
      <c r="C355" s="17"/>
    </row>
    <row r="356" spans="2:3" x14ac:dyDescent="0.25">
      <c r="B356" s="9"/>
      <c r="C356" s="9"/>
    </row>
    <row r="357" spans="2:3" x14ac:dyDescent="0.25">
      <c r="B357" s="17"/>
      <c r="C357" s="17"/>
    </row>
    <row r="358" spans="2:3" x14ac:dyDescent="0.25">
      <c r="B358" s="9"/>
      <c r="C358" s="9"/>
    </row>
    <row r="359" spans="2:3" x14ac:dyDescent="0.25">
      <c r="B359" s="9"/>
      <c r="C359" s="9"/>
    </row>
    <row r="360" spans="2:3" x14ac:dyDescent="0.25">
      <c r="B360" s="9"/>
      <c r="C360" s="9"/>
    </row>
    <row r="361" spans="2:3" x14ac:dyDescent="0.25">
      <c r="B361" s="9"/>
      <c r="C361" s="9"/>
    </row>
    <row r="362" spans="2:3" x14ac:dyDescent="0.25">
      <c r="B362" s="9"/>
      <c r="C362" s="9"/>
    </row>
    <row r="363" spans="2:3" x14ac:dyDescent="0.25">
      <c r="B363" s="9"/>
      <c r="C363" s="9"/>
    </row>
    <row r="364" spans="2:3" x14ac:dyDescent="0.25">
      <c r="B364" s="18"/>
      <c r="C364" s="18"/>
    </row>
    <row r="365" spans="2:3" x14ac:dyDescent="0.25">
      <c r="B365" s="9"/>
      <c r="C365" s="9"/>
    </row>
    <row r="366" spans="2:3" x14ac:dyDescent="0.25">
      <c r="B366" s="8"/>
      <c r="C366" s="8"/>
    </row>
    <row r="367" spans="2:3" x14ac:dyDescent="0.25">
      <c r="B367" s="9"/>
      <c r="C367" s="9"/>
    </row>
    <row r="368" spans="2:3" x14ac:dyDescent="0.25">
      <c r="B368" s="17"/>
      <c r="C368" s="17"/>
    </row>
    <row r="369" spans="2:3" x14ac:dyDescent="0.25">
      <c r="B369" s="18"/>
      <c r="C369" s="18"/>
    </row>
    <row r="370" spans="2:3" x14ac:dyDescent="0.25">
      <c r="B370" s="8"/>
      <c r="C370" s="8"/>
    </row>
    <row r="371" spans="2:3" x14ac:dyDescent="0.25">
      <c r="B371" s="17"/>
      <c r="C371" s="17"/>
    </row>
    <row r="372" spans="2:3" x14ac:dyDescent="0.25">
      <c r="B372" s="9"/>
      <c r="C372" s="9"/>
    </row>
    <row r="373" spans="2:3" x14ac:dyDescent="0.25">
      <c r="B373" s="17"/>
      <c r="C373" s="17"/>
    </row>
    <row r="374" spans="2:3" x14ac:dyDescent="0.25">
      <c r="B374" s="9"/>
      <c r="C374" s="9"/>
    </row>
    <row r="375" spans="2:3" x14ac:dyDescent="0.25">
      <c r="B375" s="17"/>
      <c r="C375" s="17"/>
    </row>
    <row r="376" spans="2:3" x14ac:dyDescent="0.25">
      <c r="B376" s="8"/>
      <c r="C376" s="8"/>
    </row>
    <row r="377" spans="2:3" x14ac:dyDescent="0.25">
      <c r="B377" s="8"/>
      <c r="C377" s="8"/>
    </row>
    <row r="378" spans="2:3" x14ac:dyDescent="0.25">
      <c r="B378" s="8"/>
      <c r="C378" s="8"/>
    </row>
    <row r="379" spans="2:3" x14ac:dyDescent="0.25">
      <c r="B379" s="9"/>
      <c r="C379" s="9"/>
    </row>
    <row r="380" spans="2:3" x14ac:dyDescent="0.25">
      <c r="B380" s="9"/>
      <c r="C380" s="9"/>
    </row>
    <row r="381" spans="2:3" x14ac:dyDescent="0.25">
      <c r="B381" s="9"/>
      <c r="C381" s="9"/>
    </row>
    <row r="382" spans="2:3" x14ac:dyDescent="0.25">
      <c r="B382" s="9"/>
      <c r="C382" s="9"/>
    </row>
    <row r="383" spans="2:3" x14ac:dyDescent="0.25">
      <c r="B383" s="8"/>
      <c r="C383" s="8"/>
    </row>
    <row r="384" spans="2:3" x14ac:dyDescent="0.25">
      <c r="B384" s="8"/>
      <c r="C384" s="8"/>
    </row>
    <row r="385" spans="2:3" x14ac:dyDescent="0.25">
      <c r="B385" s="8"/>
      <c r="C385" s="8"/>
    </row>
    <row r="386" spans="2:3" x14ac:dyDescent="0.25">
      <c r="B386" s="9"/>
      <c r="C386" s="9"/>
    </row>
    <row r="387" spans="2:3" x14ac:dyDescent="0.25">
      <c r="B387" s="9"/>
      <c r="C387" s="9"/>
    </row>
    <row r="388" spans="2:3" x14ac:dyDescent="0.25">
      <c r="B388" s="9"/>
      <c r="C388" s="9"/>
    </row>
    <row r="389" spans="2:3" x14ac:dyDescent="0.25">
      <c r="B389" s="8"/>
      <c r="C389" s="8"/>
    </row>
    <row r="390" spans="2:3" x14ac:dyDescent="0.25">
      <c r="B390" s="8"/>
      <c r="C390" s="8"/>
    </row>
    <row r="391" spans="2:3" x14ac:dyDescent="0.25">
      <c r="B391" s="9"/>
      <c r="C391" s="9"/>
    </row>
    <row r="392" spans="2:3" x14ac:dyDescent="0.25">
      <c r="B392" s="8"/>
      <c r="C392" s="8"/>
    </row>
    <row r="393" spans="2:3" x14ac:dyDescent="0.25">
      <c r="B393" s="8"/>
      <c r="C393" s="8"/>
    </row>
    <row r="394" spans="2:3" x14ac:dyDescent="0.25">
      <c r="B394" s="9"/>
      <c r="C394" s="9"/>
    </row>
    <row r="395" spans="2:3" x14ac:dyDescent="0.25">
      <c r="B395" s="8"/>
      <c r="C395" s="8"/>
    </row>
    <row r="396" spans="2:3" x14ac:dyDescent="0.25">
      <c r="B396" s="9"/>
      <c r="C396" s="9"/>
    </row>
    <row r="397" spans="2:3" x14ac:dyDescent="0.25">
      <c r="B397" s="9"/>
      <c r="C397" s="9"/>
    </row>
    <row r="398" spans="2:3" x14ac:dyDescent="0.25">
      <c r="B398" s="9"/>
      <c r="C398" s="9"/>
    </row>
    <row r="399" spans="2:3" x14ac:dyDescent="0.25">
      <c r="B399" s="8"/>
      <c r="C399" s="8"/>
    </row>
    <row r="400" spans="2:3" x14ac:dyDescent="0.25">
      <c r="B400" s="8"/>
      <c r="C400" s="8"/>
    </row>
    <row r="401" spans="2:3" x14ac:dyDescent="0.25">
      <c r="B401" s="8"/>
      <c r="C401" s="8"/>
    </row>
    <row r="402" spans="2:3" x14ac:dyDescent="0.25">
      <c r="B402" s="8"/>
      <c r="C402" s="8"/>
    </row>
    <row r="403" spans="2:3" x14ac:dyDescent="0.25">
      <c r="B403" s="9"/>
      <c r="C403" s="9"/>
    </row>
    <row r="404" spans="2:3" x14ac:dyDescent="0.25">
      <c r="B404" s="9"/>
      <c r="C404" s="9"/>
    </row>
    <row r="405" spans="2:3" x14ac:dyDescent="0.25">
      <c r="B405" s="8"/>
      <c r="C405" s="8"/>
    </row>
    <row r="406" spans="2:3" x14ac:dyDescent="0.25">
      <c r="B406" s="9"/>
      <c r="C406" s="9"/>
    </row>
    <row r="407" spans="2:3" x14ac:dyDescent="0.25">
      <c r="B407" s="8"/>
      <c r="C407" s="8"/>
    </row>
    <row r="408" spans="2:3" x14ac:dyDescent="0.25">
      <c r="B408" s="9"/>
      <c r="C408" s="9"/>
    </row>
    <row r="409" spans="2:3" x14ac:dyDescent="0.25">
      <c r="B409" s="8"/>
      <c r="C409" s="8"/>
    </row>
    <row r="410" spans="2:3" x14ac:dyDescent="0.25">
      <c r="B410" s="9"/>
      <c r="C410" s="9"/>
    </row>
    <row r="411" spans="2:3" x14ac:dyDescent="0.25">
      <c r="B411" s="9"/>
      <c r="C411" s="9"/>
    </row>
    <row r="412" spans="2:3" x14ac:dyDescent="0.25">
      <c r="B412" s="9"/>
      <c r="C412" s="9"/>
    </row>
    <row r="413" spans="2:3" x14ac:dyDescent="0.25">
      <c r="B413" s="8"/>
      <c r="C413" s="8"/>
    </row>
    <row r="414" spans="2:3" x14ac:dyDescent="0.25">
      <c r="B414" s="8"/>
      <c r="C414" s="8"/>
    </row>
    <row r="415" spans="2:3" x14ac:dyDescent="0.25">
      <c r="B415" s="9"/>
      <c r="C415" s="9"/>
    </row>
    <row r="416" spans="2:3" x14ac:dyDescent="0.25">
      <c r="B416" s="8"/>
      <c r="C416" s="8"/>
    </row>
    <row r="417" spans="2:3" x14ac:dyDescent="0.25">
      <c r="B417" s="8"/>
      <c r="C417" s="8"/>
    </row>
    <row r="418" spans="2:3" x14ac:dyDescent="0.25">
      <c r="B418" s="8"/>
      <c r="C418" s="8"/>
    </row>
    <row r="419" spans="2:3" x14ac:dyDescent="0.25">
      <c r="B419" s="8"/>
      <c r="C419" s="8"/>
    </row>
    <row r="420" spans="2:3" x14ac:dyDescent="0.25">
      <c r="B420" s="8"/>
      <c r="C420" s="8"/>
    </row>
    <row r="421" spans="2:3" x14ac:dyDescent="0.25">
      <c r="B421" s="8"/>
      <c r="C421" s="8"/>
    </row>
    <row r="422" spans="2:3" x14ac:dyDescent="0.25">
      <c r="B422" s="9"/>
      <c r="C422" s="9"/>
    </row>
    <row r="423" spans="2:3" x14ac:dyDescent="0.25">
      <c r="B423" s="8"/>
      <c r="C423" s="8"/>
    </row>
    <row r="424" spans="2:3" x14ac:dyDescent="0.25">
      <c r="B424" s="8"/>
      <c r="C424" s="8"/>
    </row>
    <row r="425" spans="2:3" x14ac:dyDescent="0.25">
      <c r="B425" s="8"/>
      <c r="C425" s="8"/>
    </row>
    <row r="426" spans="2:3" x14ac:dyDescent="0.25">
      <c r="B426" s="9"/>
      <c r="C426" s="9"/>
    </row>
    <row r="427" spans="2:3" x14ac:dyDescent="0.25">
      <c r="B427" s="9"/>
      <c r="C427" s="9"/>
    </row>
    <row r="428" spans="2:3" x14ac:dyDescent="0.25">
      <c r="B428" s="9"/>
      <c r="C428" s="9"/>
    </row>
    <row r="429" spans="2:3" x14ac:dyDescent="0.25">
      <c r="B429" s="9"/>
      <c r="C429" s="9"/>
    </row>
    <row r="430" spans="2:3" x14ac:dyDescent="0.25">
      <c r="B430" s="8"/>
      <c r="C430" s="8"/>
    </row>
    <row r="431" spans="2:3" x14ac:dyDescent="0.25">
      <c r="B431" s="9"/>
      <c r="C431" s="9"/>
    </row>
    <row r="432" spans="2:3" x14ac:dyDescent="0.25">
      <c r="B432" s="9"/>
      <c r="C432" s="9"/>
    </row>
    <row r="433" spans="2:3" x14ac:dyDescent="0.25">
      <c r="B433" s="8"/>
      <c r="C433" s="8"/>
    </row>
    <row r="434" spans="2:3" x14ac:dyDescent="0.25">
      <c r="B434" s="8"/>
      <c r="C434" s="8"/>
    </row>
    <row r="435" spans="2:3" x14ac:dyDescent="0.25">
      <c r="B435" s="8"/>
      <c r="C435" s="8"/>
    </row>
    <row r="436" spans="2:3" x14ac:dyDescent="0.25">
      <c r="B436" s="9"/>
      <c r="C436" s="9"/>
    </row>
    <row r="437" spans="2:3" x14ac:dyDescent="0.25">
      <c r="B437" s="9"/>
      <c r="C437" s="9"/>
    </row>
    <row r="438" spans="2:3" x14ac:dyDescent="0.25">
      <c r="B438" s="8"/>
      <c r="C438" s="8"/>
    </row>
    <row r="439" spans="2:3" x14ac:dyDescent="0.25">
      <c r="B439" s="8"/>
      <c r="C439" s="8"/>
    </row>
    <row r="440" spans="2:3" x14ac:dyDescent="0.25">
      <c r="B440" s="8"/>
      <c r="C440" s="8"/>
    </row>
    <row r="441" spans="2:3" x14ac:dyDescent="0.25">
      <c r="B441" s="9"/>
      <c r="C441" s="9"/>
    </row>
    <row r="442" spans="2:3" x14ac:dyDescent="0.25">
      <c r="B442" s="8"/>
      <c r="C442" s="8"/>
    </row>
    <row r="443" spans="2:3" x14ac:dyDescent="0.25">
      <c r="B443" s="8"/>
      <c r="C443" s="8"/>
    </row>
    <row r="444" spans="2:3" x14ac:dyDescent="0.25">
      <c r="B444" s="8"/>
      <c r="C444" s="8"/>
    </row>
    <row r="445" spans="2:3" x14ac:dyDescent="0.25">
      <c r="B445" s="8"/>
      <c r="C445" s="8"/>
    </row>
    <row r="446" spans="2:3" x14ac:dyDescent="0.25">
      <c r="B446" s="9"/>
      <c r="C446" s="9"/>
    </row>
    <row r="447" spans="2:3" x14ac:dyDescent="0.25">
      <c r="B447" s="8"/>
      <c r="C447" s="8"/>
    </row>
    <row r="448" spans="2:3" x14ac:dyDescent="0.25">
      <c r="B448" s="8"/>
      <c r="C448" s="8"/>
    </row>
    <row r="449" spans="2:3" x14ac:dyDescent="0.25">
      <c r="B449" s="8"/>
      <c r="C449" s="8"/>
    </row>
    <row r="450" spans="2:3" x14ac:dyDescent="0.25">
      <c r="B450" s="9"/>
      <c r="C450" s="9"/>
    </row>
    <row r="451" spans="2:3" x14ac:dyDescent="0.25">
      <c r="B451" s="9"/>
      <c r="C451" s="9"/>
    </row>
    <row r="452" spans="2:3" x14ac:dyDescent="0.25">
      <c r="B452" s="9"/>
      <c r="C452" s="9"/>
    </row>
    <row r="453" spans="2:3" x14ac:dyDescent="0.25">
      <c r="B453" s="9"/>
      <c r="C453" s="9"/>
    </row>
    <row r="454" spans="2:3" x14ac:dyDescent="0.25">
      <c r="B454" s="9"/>
      <c r="C454" s="9"/>
    </row>
    <row r="455" spans="2:3" x14ac:dyDescent="0.25">
      <c r="B455" s="9"/>
      <c r="C455" s="9"/>
    </row>
    <row r="456" spans="2:3" x14ac:dyDescent="0.25">
      <c r="B456" s="9"/>
      <c r="C456" s="9"/>
    </row>
    <row r="457" spans="2:3" x14ac:dyDescent="0.25">
      <c r="B457" s="9"/>
      <c r="C457" s="9"/>
    </row>
    <row r="458" spans="2:3" x14ac:dyDescent="0.25">
      <c r="B458" s="9"/>
      <c r="C458" s="9"/>
    </row>
    <row r="459" spans="2:3" x14ac:dyDescent="0.25">
      <c r="B459" s="9"/>
      <c r="C459" s="9"/>
    </row>
    <row r="460" spans="2:3" x14ac:dyDescent="0.25">
      <c r="B460" s="9"/>
      <c r="C460" s="9"/>
    </row>
    <row r="461" spans="2:3" x14ac:dyDescent="0.25">
      <c r="B461" s="9"/>
      <c r="C461" s="9"/>
    </row>
    <row r="462" spans="2:3" x14ac:dyDescent="0.25">
      <c r="B462" s="9"/>
      <c r="C462" s="9"/>
    </row>
    <row r="463" spans="2:3" x14ac:dyDescent="0.25">
      <c r="B463" s="9"/>
      <c r="C463" s="9"/>
    </row>
    <row r="464" spans="2:3" x14ac:dyDescent="0.25">
      <c r="B464" s="9"/>
      <c r="C464" s="9"/>
    </row>
    <row r="465" spans="2:3" x14ac:dyDescent="0.25">
      <c r="B465" s="9"/>
      <c r="C465" s="9"/>
    </row>
    <row r="466" spans="2:3" x14ac:dyDescent="0.25">
      <c r="B466" s="9"/>
      <c r="C466" s="9"/>
    </row>
    <row r="467" spans="2:3" x14ac:dyDescent="0.25">
      <c r="B467" s="9"/>
      <c r="C467" s="9"/>
    </row>
    <row r="468" spans="2:3" x14ac:dyDescent="0.25">
      <c r="B468" s="9"/>
      <c r="C468" s="9"/>
    </row>
    <row r="469" spans="2:3" x14ac:dyDescent="0.25">
      <c r="B469" s="9"/>
      <c r="C469" s="9"/>
    </row>
    <row r="470" spans="2:3" x14ac:dyDescent="0.25">
      <c r="B470" s="9"/>
      <c r="C470" s="9"/>
    </row>
    <row r="471" spans="2:3" x14ac:dyDescent="0.25">
      <c r="B471" s="9"/>
      <c r="C471" s="9"/>
    </row>
    <row r="472" spans="2:3" x14ac:dyDescent="0.25">
      <c r="B472" s="9"/>
      <c r="C472" s="9"/>
    </row>
    <row r="473" spans="2:3" x14ac:dyDescent="0.25">
      <c r="B473" s="9"/>
      <c r="C473" s="9"/>
    </row>
    <row r="474" spans="2:3" x14ac:dyDescent="0.25">
      <c r="B474" s="9"/>
      <c r="C474" s="9"/>
    </row>
    <row r="475" spans="2:3" x14ac:dyDescent="0.25">
      <c r="B475" s="9"/>
      <c r="C475" s="9"/>
    </row>
    <row r="476" spans="2:3" x14ac:dyDescent="0.25">
      <c r="B476" s="9"/>
      <c r="C476" s="9"/>
    </row>
    <row r="477" spans="2:3" x14ac:dyDescent="0.25">
      <c r="B477" s="9"/>
      <c r="C477" s="9"/>
    </row>
    <row r="478" spans="2:3" x14ac:dyDescent="0.25">
      <c r="B478" s="9"/>
      <c r="C478" s="9"/>
    </row>
    <row r="479" spans="2:3" x14ac:dyDescent="0.25">
      <c r="B479" s="9"/>
      <c r="C479" s="9"/>
    </row>
    <row r="480" spans="2:3" x14ac:dyDescent="0.25">
      <c r="B480" s="9"/>
      <c r="C480" s="9"/>
    </row>
    <row r="481" spans="2:3" x14ac:dyDescent="0.25">
      <c r="B481" s="9"/>
      <c r="C481" s="9"/>
    </row>
    <row r="482" spans="2:3" x14ac:dyDescent="0.25">
      <c r="B482" s="9"/>
      <c r="C482" s="9"/>
    </row>
    <row r="483" spans="2:3" x14ac:dyDescent="0.25">
      <c r="B483" s="9"/>
      <c r="C483" s="9"/>
    </row>
    <row r="484" spans="2:3" x14ac:dyDescent="0.25">
      <c r="B484" s="9"/>
      <c r="C484" s="9"/>
    </row>
    <row r="485" spans="2:3" x14ac:dyDescent="0.25">
      <c r="B485" s="9"/>
      <c r="C485" s="9"/>
    </row>
    <row r="486" spans="2:3" x14ac:dyDescent="0.25">
      <c r="B486" s="9"/>
      <c r="C486" s="9"/>
    </row>
    <row r="487" spans="2:3" x14ac:dyDescent="0.25">
      <c r="B487" s="9"/>
      <c r="C487" s="9"/>
    </row>
    <row r="488" spans="2:3" x14ac:dyDescent="0.25">
      <c r="B488" s="9"/>
      <c r="C488" s="9"/>
    </row>
    <row r="489" spans="2:3" x14ac:dyDescent="0.25">
      <c r="B489" s="9"/>
      <c r="C489" s="9"/>
    </row>
    <row r="490" spans="2:3" x14ac:dyDescent="0.25">
      <c r="B490" s="9"/>
      <c r="C490" s="9"/>
    </row>
    <row r="491" spans="2:3" x14ac:dyDescent="0.25">
      <c r="B491" s="9"/>
      <c r="C491" s="9"/>
    </row>
    <row r="492" spans="2:3" x14ac:dyDescent="0.25">
      <c r="B492" s="9"/>
      <c r="C492" s="9"/>
    </row>
    <row r="493" spans="2:3" x14ac:dyDescent="0.25">
      <c r="B493" s="9"/>
      <c r="C493" s="9"/>
    </row>
    <row r="494" spans="2:3" x14ac:dyDescent="0.25">
      <c r="B494" s="9"/>
      <c r="C494" s="9"/>
    </row>
    <row r="495" spans="2:3" x14ac:dyDescent="0.25">
      <c r="B495" s="9"/>
      <c r="C495" s="9"/>
    </row>
    <row r="496" spans="2:3" x14ac:dyDescent="0.25">
      <c r="B496" s="9"/>
      <c r="C496" s="9"/>
    </row>
    <row r="497" spans="2:3" x14ac:dyDescent="0.25">
      <c r="B497" s="9"/>
      <c r="C497" s="9"/>
    </row>
    <row r="498" spans="2:3" x14ac:dyDescent="0.25">
      <c r="B498" s="9"/>
      <c r="C498" s="9"/>
    </row>
    <row r="499" spans="2:3" x14ac:dyDescent="0.25">
      <c r="B499" s="9"/>
      <c r="C499" s="9"/>
    </row>
    <row r="500" spans="2:3" x14ac:dyDescent="0.25">
      <c r="B500" s="9"/>
      <c r="C500" s="9"/>
    </row>
    <row r="501" spans="2:3" x14ac:dyDescent="0.25">
      <c r="B501" s="9"/>
      <c r="C501" s="9"/>
    </row>
    <row r="502" spans="2:3" x14ac:dyDescent="0.25">
      <c r="B502" s="9"/>
      <c r="C502" s="9"/>
    </row>
    <row r="503" spans="2:3" x14ac:dyDescent="0.25">
      <c r="B503" s="9"/>
      <c r="C503" s="9"/>
    </row>
    <row r="504" spans="2:3" x14ac:dyDescent="0.25">
      <c r="B504" s="9"/>
      <c r="C504" s="9"/>
    </row>
    <row r="505" spans="2:3" x14ac:dyDescent="0.25">
      <c r="B505" s="9"/>
      <c r="C505" s="9"/>
    </row>
    <row r="506" spans="2:3" x14ac:dyDescent="0.25">
      <c r="B506" s="9"/>
      <c r="C506" s="9"/>
    </row>
    <row r="507" spans="2:3" x14ac:dyDescent="0.25">
      <c r="B507" s="9"/>
      <c r="C507" s="9"/>
    </row>
    <row r="508" spans="2:3" x14ac:dyDescent="0.25">
      <c r="B508" s="9"/>
      <c r="C508" s="9"/>
    </row>
    <row r="509" spans="2:3" x14ac:dyDescent="0.25">
      <c r="B509" s="9"/>
      <c r="C509" s="9"/>
    </row>
    <row r="510" spans="2:3" x14ac:dyDescent="0.25">
      <c r="B510" s="9"/>
      <c r="C510" s="9"/>
    </row>
    <row r="511" spans="2:3" x14ac:dyDescent="0.25">
      <c r="B511" s="9"/>
      <c r="C511" s="9"/>
    </row>
    <row r="512" spans="2:3" x14ac:dyDescent="0.25">
      <c r="B512" s="9"/>
      <c r="C512" s="9"/>
    </row>
    <row r="513" spans="2:3" x14ac:dyDescent="0.25">
      <c r="B513" s="9"/>
      <c r="C513" s="9"/>
    </row>
    <row r="514" spans="2:3" x14ac:dyDescent="0.25">
      <c r="B514" s="9"/>
      <c r="C514" s="9"/>
    </row>
    <row r="515" spans="2:3" x14ac:dyDescent="0.25">
      <c r="B515" s="9"/>
      <c r="C515" s="9"/>
    </row>
    <row r="516" spans="2:3" x14ac:dyDescent="0.25">
      <c r="B516" s="9"/>
      <c r="C516" s="9"/>
    </row>
    <row r="517" spans="2:3" x14ac:dyDescent="0.25">
      <c r="B517" s="9"/>
      <c r="C517" s="9"/>
    </row>
    <row r="518" spans="2:3" x14ac:dyDescent="0.25">
      <c r="B518" s="9"/>
      <c r="C518" s="9"/>
    </row>
    <row r="519" spans="2:3" x14ac:dyDescent="0.25">
      <c r="B519" s="21"/>
      <c r="C519" s="21"/>
    </row>
    <row r="520" spans="2:3" x14ac:dyDescent="0.25">
      <c r="B520" s="9"/>
      <c r="C520" s="9"/>
    </row>
    <row r="521" spans="2:3" x14ac:dyDescent="0.25">
      <c r="B521" s="8"/>
      <c r="C521" s="8"/>
    </row>
    <row r="522" spans="2:3" x14ac:dyDescent="0.25">
      <c r="B522" s="9"/>
      <c r="C522" s="9"/>
    </row>
    <row r="523" spans="2:3" x14ac:dyDescent="0.25">
      <c r="B523" s="9"/>
      <c r="C523" s="9"/>
    </row>
    <row r="524" spans="2:3" x14ac:dyDescent="0.25">
      <c r="B524" s="8"/>
      <c r="C524" s="8"/>
    </row>
    <row r="525" spans="2:3" x14ac:dyDescent="0.25">
      <c r="B525" s="8"/>
      <c r="C525" s="8"/>
    </row>
    <row r="526" spans="2:3" x14ac:dyDescent="0.25">
      <c r="B526" s="9"/>
      <c r="C526" s="9"/>
    </row>
    <row r="527" spans="2:3" x14ac:dyDescent="0.25">
      <c r="B527" s="9"/>
      <c r="C527" s="9"/>
    </row>
    <row r="528" spans="2:3" x14ac:dyDescent="0.25">
      <c r="B528" s="9"/>
      <c r="C528" s="9"/>
    </row>
    <row r="529" spans="2:3" x14ac:dyDescent="0.25">
      <c r="B529" s="17"/>
      <c r="C529" s="17"/>
    </row>
    <row r="530" spans="2:3" x14ac:dyDescent="0.25">
      <c r="B530" s="17"/>
      <c r="C530" s="17"/>
    </row>
    <row r="531" spans="2:3" x14ac:dyDescent="0.25">
      <c r="B531" s="9"/>
      <c r="C531" s="9"/>
    </row>
    <row r="532" spans="2:3" x14ac:dyDescent="0.25">
      <c r="B532" s="17"/>
      <c r="C532" s="17"/>
    </row>
    <row r="533" spans="2:3" x14ac:dyDescent="0.25">
      <c r="B533" s="9"/>
      <c r="C533" s="9"/>
    </row>
    <row r="534" spans="2:3" x14ac:dyDescent="0.25">
      <c r="B534" s="9"/>
      <c r="C534" s="9"/>
    </row>
    <row r="535" spans="2:3" x14ac:dyDescent="0.25">
      <c r="B535" s="9"/>
      <c r="C535" s="9"/>
    </row>
    <row r="536" spans="2:3" x14ac:dyDescent="0.25">
      <c r="B536" s="9"/>
      <c r="C536" s="9"/>
    </row>
    <row r="537" spans="2:3" x14ac:dyDescent="0.25">
      <c r="B537" s="9"/>
      <c r="C537" s="9"/>
    </row>
    <row r="538" spans="2:3" x14ac:dyDescent="0.25">
      <c r="B538" s="9"/>
      <c r="C538" s="9"/>
    </row>
    <row r="539" spans="2:3" x14ac:dyDescent="0.25">
      <c r="B539" s="17"/>
      <c r="C539" s="17"/>
    </row>
    <row r="540" spans="2:3" x14ac:dyDescent="0.25">
      <c r="B540" s="9"/>
      <c r="C540" s="9"/>
    </row>
    <row r="541" spans="2:3" x14ac:dyDescent="0.25">
      <c r="B541" s="9"/>
      <c r="C541" s="9"/>
    </row>
    <row r="542" spans="2:3" x14ac:dyDescent="0.25">
      <c r="B542" s="9"/>
      <c r="C542" s="9"/>
    </row>
    <row r="543" spans="2:3" x14ac:dyDescent="0.25">
      <c r="B543" s="17"/>
      <c r="C543" s="17"/>
    </row>
    <row r="544" spans="2:3" x14ac:dyDescent="0.25">
      <c r="B544" s="8"/>
      <c r="C544" s="8"/>
    </row>
    <row r="545" spans="2:3" x14ac:dyDescent="0.25">
      <c r="B545" s="18"/>
      <c r="C545" s="18"/>
    </row>
    <row r="546" spans="2:3" x14ac:dyDescent="0.25">
      <c r="B546" s="18"/>
      <c r="C546" s="18"/>
    </row>
    <row r="547" spans="2:3" x14ac:dyDescent="0.25">
      <c r="B547" s="9"/>
      <c r="C547" s="9"/>
    </row>
    <row r="548" spans="2:3" x14ac:dyDescent="0.25">
      <c r="B548" s="16"/>
      <c r="C548" s="16"/>
    </row>
    <row r="549" spans="2:3" x14ac:dyDescent="0.25">
      <c r="B549" s="9"/>
      <c r="C549" s="9"/>
    </row>
    <row r="550" spans="2:3" x14ac:dyDescent="0.25">
      <c r="B550" s="9"/>
      <c r="C550" s="9"/>
    </row>
    <row r="551" spans="2:3" x14ac:dyDescent="0.25">
      <c r="B551" s="9"/>
      <c r="C551" s="9"/>
    </row>
    <row r="552" spans="2:3" x14ac:dyDescent="0.25">
      <c r="B552" s="9"/>
      <c r="C552" s="9"/>
    </row>
    <row r="553" spans="2:3" x14ac:dyDescent="0.25">
      <c r="B553" s="9"/>
      <c r="C553" s="9"/>
    </row>
    <row r="554" spans="2:3" x14ac:dyDescent="0.25">
      <c r="B554" s="9"/>
      <c r="C554" s="9"/>
    </row>
    <row r="555" spans="2:3" x14ac:dyDescent="0.25">
      <c r="B555" s="9"/>
      <c r="C555" s="9"/>
    </row>
    <row r="556" spans="2:3" x14ac:dyDescent="0.25">
      <c r="B556" s="9"/>
      <c r="C556" s="9"/>
    </row>
    <row r="557" spans="2:3" x14ac:dyDescent="0.25">
      <c r="B557" s="9"/>
      <c r="C557" s="9"/>
    </row>
    <row r="558" spans="2:3" x14ac:dyDescent="0.25">
      <c r="B558" s="9"/>
      <c r="C558" s="9"/>
    </row>
    <row r="559" spans="2:3" x14ac:dyDescent="0.25">
      <c r="B559" s="9"/>
      <c r="C559" s="9"/>
    </row>
    <row r="560" spans="2:3" x14ac:dyDescent="0.25">
      <c r="B560" s="9"/>
      <c r="C560" s="9"/>
    </row>
    <row r="561" spans="2:3" x14ac:dyDescent="0.25">
      <c r="B561" s="9"/>
      <c r="C561" s="9"/>
    </row>
    <row r="562" spans="2:3" x14ac:dyDescent="0.25">
      <c r="B562" s="9"/>
      <c r="C562" s="9"/>
    </row>
    <row r="563" spans="2:3" x14ac:dyDescent="0.25">
      <c r="B563" s="9"/>
      <c r="C563" s="9"/>
    </row>
    <row r="564" spans="2:3" x14ac:dyDescent="0.25">
      <c r="B564" s="9"/>
      <c r="C564" s="9"/>
    </row>
    <row r="565" spans="2:3" x14ac:dyDescent="0.25">
      <c r="B565" s="9"/>
      <c r="C565" s="9"/>
    </row>
    <row r="566" spans="2:3" x14ac:dyDescent="0.25">
      <c r="B566" s="9"/>
      <c r="C566" s="9"/>
    </row>
    <row r="567" spans="2:3" x14ac:dyDescent="0.25">
      <c r="B567" s="9"/>
      <c r="C567" s="9"/>
    </row>
    <row r="568" spans="2:3" x14ac:dyDescent="0.25">
      <c r="B568" s="9"/>
      <c r="C568" s="9"/>
    </row>
    <row r="569" spans="2:3" x14ac:dyDescent="0.25">
      <c r="B569" s="16"/>
      <c r="C569" s="16"/>
    </row>
    <row r="570" spans="2:3" x14ac:dyDescent="0.25">
      <c r="B570" s="9"/>
      <c r="C570" s="9"/>
    </row>
    <row r="571" spans="2:3" x14ac:dyDescent="0.25">
      <c r="B571" s="9"/>
      <c r="C571" s="9"/>
    </row>
    <row r="572" spans="2:3" x14ac:dyDescent="0.25">
      <c r="B572" s="9"/>
      <c r="C572" s="9"/>
    </row>
    <row r="573" spans="2:3" x14ac:dyDescent="0.25">
      <c r="B573" s="9"/>
      <c r="C573" s="9"/>
    </row>
    <row r="574" spans="2:3" x14ac:dyDescent="0.25">
      <c r="B574" s="9"/>
      <c r="C574" s="9"/>
    </row>
    <row r="575" spans="2:3" x14ac:dyDescent="0.25">
      <c r="B575" s="9"/>
      <c r="C575" s="9"/>
    </row>
    <row r="576" spans="2:3" x14ac:dyDescent="0.25">
      <c r="B576" s="9"/>
      <c r="C576" s="9"/>
    </row>
    <row r="577" spans="2:3" x14ac:dyDescent="0.25">
      <c r="B577" s="9"/>
      <c r="C577" s="9"/>
    </row>
    <row r="578" spans="2:3" x14ac:dyDescent="0.25">
      <c r="B578" s="9"/>
      <c r="C578" s="9"/>
    </row>
    <row r="579" spans="2:3" x14ac:dyDescent="0.25">
      <c r="B579" s="9"/>
      <c r="C579" s="9"/>
    </row>
    <row r="580" spans="2:3" x14ac:dyDescent="0.25">
      <c r="B580" s="9"/>
      <c r="C580" s="9"/>
    </row>
    <row r="581" spans="2:3" x14ac:dyDescent="0.25">
      <c r="B581" s="9"/>
      <c r="C581" s="9"/>
    </row>
    <row r="582" spans="2:3" x14ac:dyDescent="0.25">
      <c r="B582" s="9"/>
      <c r="C582" s="9"/>
    </row>
    <row r="583" spans="2:3" x14ac:dyDescent="0.25">
      <c r="B583" s="9"/>
      <c r="C583" s="9"/>
    </row>
    <row r="584" spans="2:3" x14ac:dyDescent="0.25">
      <c r="B584" s="9"/>
      <c r="C584" s="9"/>
    </row>
    <row r="585" spans="2:3" x14ac:dyDescent="0.25">
      <c r="B585" s="9"/>
      <c r="C585" s="9"/>
    </row>
    <row r="586" spans="2:3" x14ac:dyDescent="0.25">
      <c r="B586" s="9"/>
      <c r="C586" s="9"/>
    </row>
    <row r="587" spans="2:3" x14ac:dyDescent="0.25">
      <c r="B587" s="8"/>
      <c r="C587" s="8"/>
    </row>
    <row r="588" spans="2:3" x14ac:dyDescent="0.25">
      <c r="B588" s="9"/>
      <c r="C588" s="9"/>
    </row>
    <row r="589" spans="2:3" x14ac:dyDescent="0.25">
      <c r="B589" s="9"/>
      <c r="C589" s="9"/>
    </row>
    <row r="590" spans="2:3" x14ac:dyDescent="0.25">
      <c r="B590" s="9"/>
      <c r="C590" s="9"/>
    </row>
    <row r="591" spans="2:3" x14ac:dyDescent="0.25">
      <c r="B591" s="18"/>
      <c r="C591" s="18"/>
    </row>
    <row r="592" spans="2:3" x14ac:dyDescent="0.25">
      <c r="B592" s="17"/>
      <c r="C592" s="17"/>
    </row>
    <row r="593" spans="2:3" x14ac:dyDescent="0.25">
      <c r="B593" s="9"/>
      <c r="C593" s="9"/>
    </row>
    <row r="594" spans="2:3" x14ac:dyDescent="0.25">
      <c r="B594" s="9"/>
      <c r="C594" s="9"/>
    </row>
    <row r="595" spans="2:3" x14ac:dyDescent="0.25">
      <c r="B595" s="9"/>
      <c r="C595" s="9"/>
    </row>
    <row r="596" spans="2:3" x14ac:dyDescent="0.25">
      <c r="B596" s="8"/>
      <c r="C596" s="8"/>
    </row>
    <row r="597" spans="2:3" x14ac:dyDescent="0.25">
      <c r="B597" s="17"/>
      <c r="C597" s="17"/>
    </row>
    <row r="598" spans="2:3" x14ac:dyDescent="0.25">
      <c r="B598" s="17"/>
      <c r="C598" s="17"/>
    </row>
    <row r="599" spans="2:3" x14ac:dyDescent="0.25">
      <c r="B599" s="9"/>
      <c r="C599" s="9"/>
    </row>
    <row r="600" spans="2:3" x14ac:dyDescent="0.25">
      <c r="B600" s="17"/>
      <c r="C600" s="17"/>
    </row>
    <row r="601" spans="2:3" x14ac:dyDescent="0.25">
      <c r="B601" s="9"/>
      <c r="C601" s="9"/>
    </row>
    <row r="602" spans="2:3" x14ac:dyDescent="0.25">
      <c r="B602" s="18"/>
      <c r="C602" s="18"/>
    </row>
    <row r="603" spans="2:3" x14ac:dyDescent="0.25">
      <c r="B603" s="9"/>
      <c r="C603" s="9"/>
    </row>
    <row r="604" spans="2:3" x14ac:dyDescent="0.25">
      <c r="B604" s="8"/>
      <c r="C604" s="8"/>
    </row>
    <row r="605" spans="2:3" x14ac:dyDescent="0.25">
      <c r="B605" s="8"/>
      <c r="C605" s="8"/>
    </row>
    <row r="606" spans="2:3" x14ac:dyDescent="0.25">
      <c r="B606" s="9"/>
      <c r="C606" s="9"/>
    </row>
    <row r="607" spans="2:3" x14ac:dyDescent="0.25">
      <c r="B607" s="18"/>
      <c r="C607" s="18"/>
    </row>
    <row r="608" spans="2:3" x14ac:dyDescent="0.25">
      <c r="B608" s="20"/>
      <c r="C608" s="20"/>
    </row>
    <row r="609" spans="2:3" x14ac:dyDescent="0.25">
      <c r="B609" s="18"/>
      <c r="C609" s="18"/>
    </row>
    <row r="610" spans="2:3" x14ac:dyDescent="0.25">
      <c r="B610" s="9"/>
      <c r="C610" s="9"/>
    </row>
    <row r="611" spans="2:3" x14ac:dyDescent="0.25">
      <c r="B611" s="8"/>
      <c r="C611" s="8"/>
    </row>
    <row r="612" spans="2:3" x14ac:dyDescent="0.25">
      <c r="B612" s="9"/>
      <c r="C612" s="9"/>
    </row>
    <row r="613" spans="2:3" x14ac:dyDescent="0.25">
      <c r="B613" s="9"/>
      <c r="C613" s="9"/>
    </row>
    <row r="614" spans="2:3" x14ac:dyDescent="0.25">
      <c r="B614" s="9"/>
      <c r="C614" s="9"/>
    </row>
    <row r="615" spans="2:3" x14ac:dyDescent="0.25">
      <c r="B615" s="8"/>
      <c r="C615" s="8"/>
    </row>
    <row r="616" spans="2:3" x14ac:dyDescent="0.25">
      <c r="B616" s="8"/>
      <c r="C616" s="8"/>
    </row>
    <row r="617" spans="2:3" x14ac:dyDescent="0.25">
      <c r="B617" s="9"/>
      <c r="C617" s="9"/>
    </row>
    <row r="618" spans="2:3" x14ac:dyDescent="0.25">
      <c r="B618" s="9"/>
      <c r="C618" s="9"/>
    </row>
    <row r="619" spans="2:3" x14ac:dyDescent="0.25">
      <c r="B619" s="8"/>
      <c r="C619" s="8"/>
    </row>
    <row r="620" spans="2:3" x14ac:dyDescent="0.25">
      <c r="B620" s="9"/>
      <c r="C620" s="9"/>
    </row>
    <row r="621" spans="2:3" x14ac:dyDescent="0.25">
      <c r="B621" s="9"/>
      <c r="C621" s="9"/>
    </row>
    <row r="622" spans="2:3" x14ac:dyDescent="0.25">
      <c r="B622" s="8"/>
      <c r="C622" s="8"/>
    </row>
    <row r="623" spans="2:3" x14ac:dyDescent="0.25">
      <c r="B623" s="8"/>
      <c r="C623" s="8"/>
    </row>
    <row r="624" spans="2:3" x14ac:dyDescent="0.25">
      <c r="B624" s="8"/>
      <c r="C624" s="8"/>
    </row>
    <row r="625" spans="2:3" x14ac:dyDescent="0.25">
      <c r="B625" s="9"/>
      <c r="C625" s="9"/>
    </row>
    <row r="626" spans="2:3" x14ac:dyDescent="0.25">
      <c r="B626" s="9"/>
      <c r="C626" s="9"/>
    </row>
    <row r="627" spans="2:3" x14ac:dyDescent="0.25">
      <c r="B627" s="8"/>
      <c r="C627" s="8"/>
    </row>
    <row r="628" spans="2:3" x14ac:dyDescent="0.25">
      <c r="B628" s="9"/>
      <c r="C628" s="9"/>
    </row>
    <row r="629" spans="2:3" x14ac:dyDescent="0.25">
      <c r="B629" s="9"/>
      <c r="C629" s="9"/>
    </row>
    <row r="630" spans="2:3" x14ac:dyDescent="0.25">
      <c r="B630" s="8"/>
      <c r="C630" s="8"/>
    </row>
    <row r="631" spans="2:3" x14ac:dyDescent="0.25">
      <c r="B631" s="9"/>
      <c r="C631" s="9"/>
    </row>
    <row r="632" spans="2:3" x14ac:dyDescent="0.25">
      <c r="B632" s="9"/>
      <c r="C632" s="9"/>
    </row>
    <row r="633" spans="2:3" x14ac:dyDescent="0.25">
      <c r="B633" s="9"/>
      <c r="C633" s="9"/>
    </row>
    <row r="634" spans="2:3" x14ac:dyDescent="0.25">
      <c r="B634" s="9"/>
      <c r="C634" s="9"/>
    </row>
    <row r="635" spans="2:3" x14ac:dyDescent="0.25">
      <c r="B635" s="8"/>
      <c r="C635" s="8"/>
    </row>
    <row r="636" spans="2:3" x14ac:dyDescent="0.25">
      <c r="B636" s="8"/>
      <c r="C636" s="8"/>
    </row>
    <row r="637" spans="2:3" x14ac:dyDescent="0.25">
      <c r="B637" s="9"/>
      <c r="C637" s="9"/>
    </row>
    <row r="638" spans="2:3" x14ac:dyDescent="0.25">
      <c r="B638" s="9"/>
      <c r="C638" s="9"/>
    </row>
    <row r="639" spans="2:3" x14ac:dyDescent="0.25">
      <c r="B639" s="9"/>
      <c r="C639" s="9"/>
    </row>
    <row r="640" spans="2:3" x14ac:dyDescent="0.25">
      <c r="B640" s="9"/>
      <c r="C640" s="9"/>
    </row>
    <row r="641" spans="2:3" x14ac:dyDescent="0.25">
      <c r="B641" s="9"/>
      <c r="C641" s="9"/>
    </row>
    <row r="642" spans="2:3" x14ac:dyDescent="0.25">
      <c r="B642" s="8"/>
      <c r="C642" s="8"/>
    </row>
    <row r="643" spans="2:3" x14ac:dyDescent="0.25">
      <c r="B643" s="9"/>
      <c r="C643" s="9"/>
    </row>
    <row r="644" spans="2:3" x14ac:dyDescent="0.25">
      <c r="B644" s="9"/>
      <c r="C644" s="9"/>
    </row>
    <row r="645" spans="2:3" x14ac:dyDescent="0.25">
      <c r="B645" s="9"/>
      <c r="C645" s="9"/>
    </row>
    <row r="646" spans="2:3" x14ac:dyDescent="0.25">
      <c r="B646" s="9"/>
      <c r="C646" s="9"/>
    </row>
    <row r="647" spans="2:3" x14ac:dyDescent="0.25">
      <c r="B647" s="9"/>
      <c r="C647" s="9"/>
    </row>
    <row r="648" spans="2:3" x14ac:dyDescent="0.25">
      <c r="B648" s="9"/>
      <c r="C648" s="9"/>
    </row>
    <row r="649" spans="2:3" x14ac:dyDescent="0.25">
      <c r="B649" s="9"/>
      <c r="C649" s="9"/>
    </row>
    <row r="650" spans="2:3" x14ac:dyDescent="0.25">
      <c r="B650" s="9"/>
      <c r="C650" s="9"/>
    </row>
    <row r="651" spans="2:3" x14ac:dyDescent="0.25">
      <c r="B651" s="9"/>
      <c r="C651" s="9"/>
    </row>
    <row r="652" spans="2:3" x14ac:dyDescent="0.25">
      <c r="B652" s="9"/>
      <c r="C652" s="9"/>
    </row>
    <row r="653" spans="2:3" x14ac:dyDescent="0.25">
      <c r="B653" s="9"/>
      <c r="C653" s="9"/>
    </row>
    <row r="654" spans="2:3" x14ac:dyDescent="0.25">
      <c r="B654" s="9"/>
      <c r="C654" s="9"/>
    </row>
    <row r="655" spans="2:3" x14ac:dyDescent="0.25">
      <c r="B655" s="9"/>
      <c r="C655" s="9"/>
    </row>
    <row r="656" spans="2:3" x14ac:dyDescent="0.25">
      <c r="B656" s="9"/>
      <c r="C656" s="9"/>
    </row>
    <row r="657" spans="2:3" x14ac:dyDescent="0.25">
      <c r="B657" s="9"/>
      <c r="C657" s="9"/>
    </row>
    <row r="658" spans="2:3" x14ac:dyDescent="0.25">
      <c r="B658" s="9"/>
      <c r="C658" s="9"/>
    </row>
    <row r="659" spans="2:3" x14ac:dyDescent="0.25">
      <c r="B659" s="9"/>
      <c r="C659" s="9"/>
    </row>
    <row r="660" spans="2:3" x14ac:dyDescent="0.25">
      <c r="B660" s="9"/>
      <c r="C660" s="9"/>
    </row>
    <row r="661" spans="2:3" x14ac:dyDescent="0.25">
      <c r="B661" s="9"/>
      <c r="C661" s="9"/>
    </row>
    <row r="662" spans="2:3" x14ac:dyDescent="0.25">
      <c r="B662" s="9"/>
      <c r="C662" s="9"/>
    </row>
    <row r="663" spans="2:3" x14ac:dyDescent="0.25">
      <c r="B663" s="9"/>
      <c r="C663" s="9"/>
    </row>
    <row r="664" spans="2:3" x14ac:dyDescent="0.25">
      <c r="B664" s="9"/>
      <c r="C664" s="9"/>
    </row>
    <row r="665" spans="2:3" x14ac:dyDescent="0.25">
      <c r="B665" s="9"/>
      <c r="C665" s="9"/>
    </row>
    <row r="666" spans="2:3" x14ac:dyDescent="0.25">
      <c r="B666" s="9"/>
      <c r="C666" s="9"/>
    </row>
    <row r="667" spans="2:3" x14ac:dyDescent="0.25">
      <c r="B667" s="9"/>
      <c r="C667" s="9"/>
    </row>
    <row r="668" spans="2:3" x14ac:dyDescent="0.25">
      <c r="B668" s="18"/>
      <c r="C668" s="18"/>
    </row>
    <row r="669" spans="2:3" x14ac:dyDescent="0.25">
      <c r="B669" s="9"/>
      <c r="C669" s="9"/>
    </row>
    <row r="670" spans="2:3" x14ac:dyDescent="0.25">
      <c r="B670" s="9"/>
      <c r="C670" s="9"/>
    </row>
    <row r="671" spans="2:3" x14ac:dyDescent="0.25">
      <c r="B671" s="17"/>
      <c r="C671" s="17"/>
    </row>
    <row r="672" spans="2:3" x14ac:dyDescent="0.25">
      <c r="B672" s="9"/>
      <c r="C672" s="9"/>
    </row>
    <row r="673" spans="2:3" x14ac:dyDescent="0.25">
      <c r="B673" s="8"/>
      <c r="C673" s="8"/>
    </row>
    <row r="674" spans="2:3" x14ac:dyDescent="0.25">
      <c r="B674" s="9"/>
      <c r="C674" s="9"/>
    </row>
    <row r="675" spans="2:3" x14ac:dyDescent="0.25">
      <c r="B675" s="16"/>
      <c r="C675" s="16"/>
    </row>
    <row r="676" spans="2:3" x14ac:dyDescent="0.25">
      <c r="B676" s="9"/>
      <c r="C676" s="9"/>
    </row>
    <row r="677" spans="2:3" x14ac:dyDescent="0.25">
      <c r="B677" s="8"/>
      <c r="C677" s="8"/>
    </row>
    <row r="678" spans="2:3" x14ac:dyDescent="0.25">
      <c r="B678" s="20"/>
      <c r="C678" s="20"/>
    </row>
    <row r="679" spans="2:3" x14ac:dyDescent="0.25">
      <c r="B679" s="8"/>
      <c r="C679" s="8"/>
    </row>
    <row r="680" spans="2:3" x14ac:dyDescent="0.25">
      <c r="B680" s="9"/>
      <c r="C680" s="9"/>
    </row>
    <row r="681" spans="2:3" x14ac:dyDescent="0.25">
      <c r="B681" s="9"/>
      <c r="C681" s="9"/>
    </row>
    <row r="682" spans="2:3" x14ac:dyDescent="0.25">
      <c r="B682" s="9"/>
      <c r="C682" s="9"/>
    </row>
    <row r="683" spans="2:3" x14ac:dyDescent="0.25">
      <c r="B683" s="9"/>
      <c r="C683" s="9"/>
    </row>
    <row r="684" spans="2:3" x14ac:dyDescent="0.25">
      <c r="B684" s="9"/>
      <c r="C684" s="9"/>
    </row>
    <row r="685" spans="2:3" x14ac:dyDescent="0.25">
      <c r="B685" s="9"/>
      <c r="C685" s="9"/>
    </row>
    <row r="686" spans="2:3" x14ac:dyDescent="0.25">
      <c r="B686" s="9"/>
      <c r="C686" s="9"/>
    </row>
    <row r="687" spans="2:3" x14ac:dyDescent="0.25">
      <c r="B687" s="9"/>
      <c r="C687" s="9"/>
    </row>
    <row r="688" spans="2:3" x14ac:dyDescent="0.25">
      <c r="B688" s="8"/>
      <c r="C688" s="8"/>
    </row>
    <row r="689" spans="2:3" x14ac:dyDescent="0.25">
      <c r="B689" s="8"/>
      <c r="C689" s="8"/>
    </row>
    <row r="690" spans="2:3" x14ac:dyDescent="0.25">
      <c r="B690" s="9"/>
      <c r="C690" s="9"/>
    </row>
    <row r="691" spans="2:3" x14ac:dyDescent="0.25">
      <c r="B691" s="9"/>
      <c r="C691" s="9"/>
    </row>
    <row r="692" spans="2:3" x14ac:dyDescent="0.25">
      <c r="B692" s="9"/>
      <c r="C692" s="9"/>
    </row>
    <row r="693" spans="2:3" x14ac:dyDescent="0.25">
      <c r="B693" s="9"/>
      <c r="C693" s="9"/>
    </row>
    <row r="694" spans="2:3" x14ac:dyDescent="0.25">
      <c r="B694" s="9"/>
      <c r="C694" s="9"/>
    </row>
    <row r="695" spans="2:3" x14ac:dyDescent="0.25">
      <c r="B695" s="8"/>
      <c r="C695" s="8"/>
    </row>
    <row r="696" spans="2:3" x14ac:dyDescent="0.25">
      <c r="B696" s="9"/>
      <c r="C696" s="9"/>
    </row>
    <row r="697" spans="2:3" x14ac:dyDescent="0.25">
      <c r="B697" s="9"/>
      <c r="C697" s="9"/>
    </row>
    <row r="698" spans="2:3" x14ac:dyDescent="0.25">
      <c r="B698" s="9"/>
      <c r="C698" s="9"/>
    </row>
    <row r="699" spans="2:3" x14ac:dyDescent="0.25">
      <c r="B699" s="8"/>
      <c r="C699" s="8"/>
    </row>
    <row r="700" spans="2:3" x14ac:dyDescent="0.25">
      <c r="B700" s="8"/>
      <c r="C700" s="8"/>
    </row>
    <row r="701" spans="2:3" x14ac:dyDescent="0.25">
      <c r="B701" s="8"/>
      <c r="C701" s="8"/>
    </row>
    <row r="702" spans="2:3" x14ac:dyDescent="0.25">
      <c r="B702" s="22"/>
      <c r="C702" s="22"/>
    </row>
    <row r="703" spans="2:3" x14ac:dyDescent="0.25">
      <c r="B703" s="22"/>
      <c r="C703" s="22"/>
    </row>
    <row r="704" spans="2:3" x14ac:dyDescent="0.25">
      <c r="B704" s="8"/>
      <c r="C704" s="8"/>
    </row>
    <row r="705" spans="2:3" x14ac:dyDescent="0.25">
      <c r="B705" s="8"/>
      <c r="C705" s="8"/>
    </row>
    <row r="706" spans="2:3" x14ac:dyDescent="0.25">
      <c r="B706" s="9"/>
      <c r="C706" s="9"/>
    </row>
    <row r="707" spans="2:3" x14ac:dyDescent="0.25">
      <c r="B707" s="8"/>
      <c r="C707" s="8"/>
    </row>
    <row r="708" spans="2:3" x14ac:dyDescent="0.25">
      <c r="B708" s="8"/>
      <c r="C708" s="8"/>
    </row>
    <row r="709" spans="2:3" x14ac:dyDescent="0.25">
      <c r="B709" s="9"/>
      <c r="C709" s="9"/>
    </row>
    <row r="710" spans="2:3" x14ac:dyDescent="0.25">
      <c r="B710" s="9"/>
      <c r="C710" s="9"/>
    </row>
    <row r="711" spans="2:3" x14ac:dyDescent="0.25">
      <c r="B711" s="9"/>
      <c r="C711" s="9"/>
    </row>
    <row r="712" spans="2:3" x14ac:dyDescent="0.25">
      <c r="B712" s="9"/>
      <c r="C712" s="9"/>
    </row>
    <row r="713" spans="2:3" x14ac:dyDescent="0.25">
      <c r="B713" s="9"/>
      <c r="C713" s="9"/>
    </row>
    <row r="714" spans="2:3" x14ac:dyDescent="0.25">
      <c r="B714" s="9"/>
      <c r="C714" s="9"/>
    </row>
    <row r="715" spans="2:3" x14ac:dyDescent="0.25">
      <c r="B715" s="8"/>
      <c r="C715" s="8"/>
    </row>
    <row r="716" spans="2:3" x14ac:dyDescent="0.25">
      <c r="B716" s="9"/>
      <c r="C716" s="9"/>
    </row>
    <row r="717" spans="2:3" x14ac:dyDescent="0.25">
      <c r="B717" s="7"/>
      <c r="C717" s="7"/>
    </row>
    <row r="718" spans="2:3" x14ac:dyDescent="0.25">
      <c r="B718" s="8"/>
      <c r="C718" s="8"/>
    </row>
    <row r="719" spans="2:3" x14ac:dyDescent="0.25">
      <c r="B719" s="8"/>
      <c r="C719" s="8"/>
    </row>
    <row r="720" spans="2:3" x14ac:dyDescent="0.25">
      <c r="B720" s="8"/>
      <c r="C720" s="8"/>
    </row>
    <row r="721" spans="2:3" x14ac:dyDescent="0.25">
      <c r="B721" s="8"/>
      <c r="C721" s="8"/>
    </row>
    <row r="722" spans="2:3" x14ac:dyDescent="0.25">
      <c r="B722" s="8"/>
      <c r="C722" s="8"/>
    </row>
    <row r="723" spans="2:3" x14ac:dyDescent="0.25">
      <c r="B723" s="8"/>
      <c r="C723" s="8"/>
    </row>
    <row r="724" spans="2:3" x14ac:dyDescent="0.25">
      <c r="B724" s="8"/>
      <c r="C724" s="8"/>
    </row>
    <row r="725" spans="2:3" x14ac:dyDescent="0.25">
      <c r="B725" s="8"/>
      <c r="C725" s="8"/>
    </row>
    <row r="726" spans="2:3" x14ac:dyDescent="0.25">
      <c r="B726" s="8"/>
      <c r="C726" s="8"/>
    </row>
    <row r="727" spans="2:3" x14ac:dyDescent="0.25">
      <c r="B727" s="8"/>
      <c r="C727" s="8"/>
    </row>
    <row r="728" spans="2:3" x14ac:dyDescent="0.25">
      <c r="B728" s="8"/>
      <c r="C728" s="8"/>
    </row>
    <row r="729" spans="2:3" x14ac:dyDescent="0.25">
      <c r="B729" s="8"/>
      <c r="C729" s="8"/>
    </row>
    <row r="730" spans="2:3" x14ac:dyDescent="0.25">
      <c r="B730" s="8"/>
      <c r="C730" s="8"/>
    </row>
    <row r="731" spans="2:3" x14ac:dyDescent="0.25">
      <c r="B731" s="8"/>
      <c r="C731" s="8"/>
    </row>
    <row r="732" spans="2:3" x14ac:dyDescent="0.25">
      <c r="B732" s="8"/>
      <c r="C732" s="8"/>
    </row>
    <row r="733" spans="2:3" x14ac:dyDescent="0.25">
      <c r="B733" s="8"/>
      <c r="C733" s="8"/>
    </row>
    <row r="734" spans="2:3" x14ac:dyDescent="0.25">
      <c r="B734" s="8"/>
      <c r="C734" s="8"/>
    </row>
    <row r="735" spans="2:3" x14ac:dyDescent="0.25">
      <c r="B735" s="8"/>
      <c r="C735" s="8"/>
    </row>
    <row r="736" spans="2:3" x14ac:dyDescent="0.25">
      <c r="B736" s="8"/>
      <c r="C736" s="8"/>
    </row>
    <row r="737" spans="2:3" x14ac:dyDescent="0.25">
      <c r="B737" s="8"/>
      <c r="C737" s="8"/>
    </row>
    <row r="738" spans="2:3" x14ac:dyDescent="0.25">
      <c r="B738" s="8"/>
      <c r="C738" s="8"/>
    </row>
    <row r="739" spans="2:3" x14ac:dyDescent="0.25">
      <c r="B739" s="8"/>
      <c r="C739" s="8"/>
    </row>
    <row r="740" spans="2:3" x14ac:dyDescent="0.25">
      <c r="B740" s="8"/>
      <c r="C740" s="8"/>
    </row>
    <row r="741" spans="2:3" x14ac:dyDescent="0.25">
      <c r="B741" s="8"/>
      <c r="C741" s="8"/>
    </row>
    <row r="742" spans="2:3" x14ac:dyDescent="0.25">
      <c r="B742" s="8"/>
      <c r="C742" s="8"/>
    </row>
    <row r="743" spans="2:3" x14ac:dyDescent="0.25">
      <c r="B743" s="8"/>
      <c r="C743" s="8"/>
    </row>
    <row r="744" spans="2:3" x14ac:dyDescent="0.25">
      <c r="B744" s="8"/>
      <c r="C744" s="8"/>
    </row>
    <row r="745" spans="2:3" x14ac:dyDescent="0.25">
      <c r="B745" s="8"/>
      <c r="C745" s="8"/>
    </row>
    <row r="746" spans="2:3" x14ac:dyDescent="0.25">
      <c r="B746" s="8"/>
      <c r="C746" s="8"/>
    </row>
    <row r="747" spans="2:3" x14ac:dyDescent="0.25">
      <c r="B747" s="8"/>
      <c r="C747" s="8"/>
    </row>
    <row r="748" spans="2:3" x14ac:dyDescent="0.25">
      <c r="B748" s="8"/>
      <c r="C748" s="8"/>
    </row>
    <row r="749" spans="2:3" x14ac:dyDescent="0.25">
      <c r="B749" s="8"/>
      <c r="C749" s="8"/>
    </row>
    <row r="750" spans="2:3" x14ac:dyDescent="0.25">
      <c r="B750" s="8"/>
      <c r="C750" s="8"/>
    </row>
    <row r="751" spans="2:3" x14ac:dyDescent="0.25">
      <c r="B751" s="8"/>
      <c r="C751" s="8"/>
    </row>
    <row r="752" spans="2:3" x14ac:dyDescent="0.25">
      <c r="B752" s="8"/>
      <c r="C752" s="8"/>
    </row>
    <row r="753" spans="2:3" x14ac:dyDescent="0.25">
      <c r="B753" s="8"/>
      <c r="C753" s="8"/>
    </row>
    <row r="754" spans="2:3" x14ac:dyDescent="0.25">
      <c r="B754" s="8"/>
      <c r="C754" s="8"/>
    </row>
    <row r="755" spans="2:3" x14ac:dyDescent="0.25">
      <c r="B755" s="8"/>
      <c r="C755" s="8"/>
    </row>
    <row r="756" spans="2:3" x14ac:dyDescent="0.25">
      <c r="B756" s="8"/>
      <c r="C756" s="8"/>
    </row>
    <row r="757" spans="2:3" x14ac:dyDescent="0.25">
      <c r="B757" s="8"/>
      <c r="C757" s="8"/>
    </row>
    <row r="758" spans="2:3" x14ac:dyDescent="0.25">
      <c r="B758" s="8"/>
      <c r="C758" s="8"/>
    </row>
    <row r="759" spans="2:3" x14ac:dyDescent="0.25">
      <c r="B759" s="8"/>
      <c r="C759" s="8"/>
    </row>
    <row r="760" spans="2:3" x14ac:dyDescent="0.25">
      <c r="B760" s="8"/>
      <c r="C760" s="8"/>
    </row>
    <row r="761" spans="2:3" x14ac:dyDescent="0.25">
      <c r="B761" s="8"/>
      <c r="C761" s="8"/>
    </row>
    <row r="762" spans="2:3" x14ac:dyDescent="0.25">
      <c r="B762" s="8"/>
      <c r="C762" s="8"/>
    </row>
    <row r="763" spans="2:3" x14ac:dyDescent="0.25">
      <c r="B763" s="8"/>
      <c r="C763" s="8"/>
    </row>
    <row r="764" spans="2:3" x14ac:dyDescent="0.25">
      <c r="B764" s="8"/>
      <c r="C764" s="8"/>
    </row>
    <row r="765" spans="2:3" x14ac:dyDescent="0.25">
      <c r="B765" s="8"/>
      <c r="C765" s="8"/>
    </row>
    <row r="766" spans="2:3" x14ac:dyDescent="0.25">
      <c r="B766" s="8"/>
      <c r="C766" s="8"/>
    </row>
    <row r="767" spans="2:3" x14ac:dyDescent="0.25">
      <c r="B767" s="8"/>
      <c r="C767" s="8"/>
    </row>
    <row r="768" spans="2:3" x14ac:dyDescent="0.25">
      <c r="B768" s="8"/>
      <c r="C768" s="8"/>
    </row>
    <row r="769" spans="2:3" x14ac:dyDescent="0.25">
      <c r="B769" s="8"/>
      <c r="C769" s="8"/>
    </row>
    <row r="770" spans="2:3" x14ac:dyDescent="0.25">
      <c r="B770" s="8"/>
      <c r="C770" s="8"/>
    </row>
    <row r="771" spans="2:3" x14ac:dyDescent="0.25">
      <c r="B771" s="8"/>
      <c r="C771" s="8"/>
    </row>
    <row r="772" spans="2:3" x14ac:dyDescent="0.25">
      <c r="B772" s="8"/>
      <c r="C772" s="8"/>
    </row>
    <row r="773" spans="2:3" x14ac:dyDescent="0.25">
      <c r="B773" s="8"/>
      <c r="C773" s="8"/>
    </row>
    <row r="774" spans="2:3" x14ac:dyDescent="0.25">
      <c r="B774" s="8"/>
      <c r="C774" s="8"/>
    </row>
    <row r="775" spans="2:3" x14ac:dyDescent="0.25">
      <c r="B775" s="8"/>
      <c r="C775" s="8"/>
    </row>
    <row r="776" spans="2:3" x14ac:dyDescent="0.25">
      <c r="B776" s="8"/>
      <c r="C776" s="8"/>
    </row>
    <row r="777" spans="2:3" x14ac:dyDescent="0.25">
      <c r="B777" s="8"/>
      <c r="C777" s="8"/>
    </row>
    <row r="778" spans="2:3" x14ac:dyDescent="0.25">
      <c r="B778" s="8"/>
      <c r="C778" s="8"/>
    </row>
    <row r="779" spans="2:3" x14ac:dyDescent="0.25">
      <c r="B779" s="8"/>
      <c r="C779" s="8"/>
    </row>
    <row r="780" spans="2:3" x14ac:dyDescent="0.25">
      <c r="B780" s="8"/>
      <c r="C780" s="8"/>
    </row>
    <row r="781" spans="2:3" x14ac:dyDescent="0.25">
      <c r="B781" s="8"/>
      <c r="C781" s="8"/>
    </row>
    <row r="782" spans="2:3" x14ac:dyDescent="0.25">
      <c r="B782" s="8"/>
      <c r="C782" s="8"/>
    </row>
    <row r="783" spans="2:3" x14ac:dyDescent="0.25">
      <c r="B783" s="8"/>
      <c r="C783" s="8"/>
    </row>
    <row r="784" spans="2:3" x14ac:dyDescent="0.25">
      <c r="B784" s="8"/>
      <c r="C784" s="8"/>
    </row>
    <row r="785" spans="2:3" x14ac:dyDescent="0.25">
      <c r="B785" s="8"/>
      <c r="C785" s="8"/>
    </row>
    <row r="786" spans="2:3" x14ac:dyDescent="0.25">
      <c r="B786" s="8"/>
      <c r="C786" s="8"/>
    </row>
    <row r="787" spans="2:3" x14ac:dyDescent="0.25">
      <c r="B787" s="8"/>
      <c r="C787" s="8"/>
    </row>
    <row r="788" spans="2:3" x14ac:dyDescent="0.25">
      <c r="B788" s="8"/>
      <c r="C788" s="8"/>
    </row>
    <row r="789" spans="2:3" x14ac:dyDescent="0.25">
      <c r="B789" s="8"/>
      <c r="C789" s="8"/>
    </row>
    <row r="790" spans="2:3" x14ac:dyDescent="0.25">
      <c r="B790" s="8"/>
      <c r="C790" s="8"/>
    </row>
    <row r="791" spans="2:3" x14ac:dyDescent="0.25">
      <c r="B791" s="8"/>
      <c r="C791" s="8"/>
    </row>
    <row r="792" spans="2:3" x14ac:dyDescent="0.25">
      <c r="B792" s="8"/>
      <c r="C792" s="8"/>
    </row>
    <row r="793" spans="2:3" x14ac:dyDescent="0.25">
      <c r="B793" s="8"/>
      <c r="C793" s="8"/>
    </row>
    <row r="794" spans="2:3" x14ac:dyDescent="0.25">
      <c r="B794" s="8"/>
      <c r="C794" s="8"/>
    </row>
    <row r="795" spans="2:3" x14ac:dyDescent="0.25">
      <c r="B795" s="8"/>
      <c r="C795" s="8"/>
    </row>
    <row r="796" spans="2:3" x14ac:dyDescent="0.25">
      <c r="B796" s="8"/>
      <c r="C796" s="8"/>
    </row>
    <row r="797" spans="2:3" x14ac:dyDescent="0.25">
      <c r="B797" s="8"/>
      <c r="C797" s="8"/>
    </row>
    <row r="798" spans="2:3" x14ac:dyDescent="0.25">
      <c r="B798" s="8"/>
      <c r="C798" s="8"/>
    </row>
    <row r="799" spans="2:3" x14ac:dyDescent="0.25">
      <c r="B799" s="8"/>
      <c r="C799" s="8"/>
    </row>
    <row r="800" spans="2:3" x14ac:dyDescent="0.25">
      <c r="B800" s="8"/>
      <c r="C800" s="8"/>
    </row>
    <row r="801" spans="2:3" x14ac:dyDescent="0.25">
      <c r="B801" s="8"/>
      <c r="C801" s="8"/>
    </row>
    <row r="802" spans="2:3" x14ac:dyDescent="0.25">
      <c r="B802" s="8"/>
      <c r="C802" s="8"/>
    </row>
    <row r="803" spans="2:3" x14ac:dyDescent="0.25">
      <c r="B803" s="8"/>
      <c r="C803" s="8"/>
    </row>
    <row r="804" spans="2:3" x14ac:dyDescent="0.25">
      <c r="B804" s="8"/>
      <c r="C804" s="8"/>
    </row>
    <row r="805" spans="2:3" x14ac:dyDescent="0.25">
      <c r="B805" s="8"/>
      <c r="C805" s="8"/>
    </row>
    <row r="806" spans="2:3" x14ac:dyDescent="0.25">
      <c r="B806" s="8"/>
      <c r="C806" s="8"/>
    </row>
    <row r="807" spans="2:3" x14ac:dyDescent="0.25">
      <c r="B807" s="8"/>
      <c r="C807" s="8"/>
    </row>
    <row r="808" spans="2:3" x14ac:dyDescent="0.25">
      <c r="B808" s="8"/>
      <c r="C808" s="8"/>
    </row>
    <row r="809" spans="2:3" x14ac:dyDescent="0.25">
      <c r="B809" s="8"/>
      <c r="C809" s="8"/>
    </row>
    <row r="810" spans="2:3" x14ac:dyDescent="0.25">
      <c r="B810" s="8"/>
      <c r="C810" s="8"/>
    </row>
    <row r="811" spans="2:3" x14ac:dyDescent="0.25">
      <c r="B811" s="8"/>
      <c r="C811" s="8"/>
    </row>
    <row r="812" spans="2:3" x14ac:dyDescent="0.25">
      <c r="B812" s="8"/>
      <c r="C812" s="8"/>
    </row>
    <row r="813" spans="2:3" x14ac:dyDescent="0.25">
      <c r="B813" s="8"/>
      <c r="C813" s="8"/>
    </row>
    <row r="814" spans="2:3" x14ac:dyDescent="0.25">
      <c r="B814" s="8"/>
      <c r="C814" s="8"/>
    </row>
    <row r="815" spans="2:3" x14ac:dyDescent="0.25">
      <c r="B815" s="8"/>
      <c r="C815" s="8"/>
    </row>
    <row r="816" spans="2:3" x14ac:dyDescent="0.25">
      <c r="B816" s="8"/>
      <c r="C816" s="8"/>
    </row>
    <row r="817" spans="2:3" x14ac:dyDescent="0.25">
      <c r="B817" s="8"/>
      <c r="C817" s="8"/>
    </row>
    <row r="818" spans="2:3" x14ac:dyDescent="0.25">
      <c r="B818" s="8"/>
      <c r="C818" s="8"/>
    </row>
    <row r="819" spans="2:3" x14ac:dyDescent="0.25">
      <c r="B819" s="8"/>
      <c r="C819" s="8"/>
    </row>
    <row r="820" spans="2:3" x14ac:dyDescent="0.25">
      <c r="B820" s="8"/>
      <c r="C820" s="8"/>
    </row>
    <row r="821" spans="2:3" x14ac:dyDescent="0.25">
      <c r="B821" s="8"/>
      <c r="C821" s="8"/>
    </row>
    <row r="822" spans="2:3" x14ac:dyDescent="0.25">
      <c r="B822" s="8"/>
      <c r="C822" s="8"/>
    </row>
    <row r="823" spans="2:3" x14ac:dyDescent="0.25">
      <c r="B823" s="8"/>
      <c r="C823" s="8"/>
    </row>
    <row r="824" spans="2:3" x14ac:dyDescent="0.25">
      <c r="B824" s="8"/>
      <c r="C824" s="8"/>
    </row>
    <row r="825" spans="2:3" x14ac:dyDescent="0.25">
      <c r="B825" s="8"/>
      <c r="C825" s="8"/>
    </row>
    <row r="826" spans="2:3" x14ac:dyDescent="0.25">
      <c r="B826" s="8"/>
      <c r="C826" s="8"/>
    </row>
    <row r="827" spans="2:3" x14ac:dyDescent="0.25">
      <c r="B827" s="8"/>
      <c r="C827" s="8"/>
    </row>
    <row r="828" spans="2:3" x14ac:dyDescent="0.25">
      <c r="B828" s="8"/>
      <c r="C828" s="8"/>
    </row>
    <row r="829" spans="2:3" x14ac:dyDescent="0.25">
      <c r="B829" s="8"/>
      <c r="C829" s="8"/>
    </row>
    <row r="830" spans="2:3" x14ac:dyDescent="0.25">
      <c r="B830" s="8"/>
      <c r="C830" s="8"/>
    </row>
    <row r="831" spans="2:3" x14ac:dyDescent="0.25">
      <c r="B831" s="8"/>
      <c r="C831" s="8"/>
    </row>
    <row r="832" spans="2:3" x14ac:dyDescent="0.25">
      <c r="B832" s="8"/>
      <c r="C832" s="8"/>
    </row>
    <row r="833" spans="2:3" x14ac:dyDescent="0.25">
      <c r="B833" s="8"/>
      <c r="C833" s="8"/>
    </row>
    <row r="834" spans="2:3" x14ac:dyDescent="0.25">
      <c r="B834" s="8"/>
      <c r="C834" s="8"/>
    </row>
    <row r="835" spans="2:3" x14ac:dyDescent="0.25">
      <c r="B835" s="8"/>
      <c r="C835" s="8"/>
    </row>
    <row r="836" spans="2:3" x14ac:dyDescent="0.25">
      <c r="B836" s="8"/>
      <c r="C836" s="8"/>
    </row>
    <row r="837" spans="2:3" x14ac:dyDescent="0.25">
      <c r="B837" s="8"/>
      <c r="C837" s="8"/>
    </row>
    <row r="838" spans="2:3" x14ac:dyDescent="0.25">
      <c r="B838" s="8"/>
      <c r="C838" s="8"/>
    </row>
    <row r="839" spans="2:3" x14ac:dyDescent="0.25">
      <c r="B839" s="8"/>
      <c r="C839" s="8"/>
    </row>
    <row r="840" spans="2:3" x14ac:dyDescent="0.25">
      <c r="B840" s="8"/>
      <c r="C840" s="8"/>
    </row>
    <row r="841" spans="2:3" x14ac:dyDescent="0.25">
      <c r="B841" s="8"/>
      <c r="C841" s="8"/>
    </row>
    <row r="842" spans="2:3" x14ac:dyDescent="0.25">
      <c r="B842" s="8"/>
      <c r="C842" s="8"/>
    </row>
    <row r="843" spans="2:3" x14ac:dyDescent="0.25">
      <c r="B843" s="8"/>
      <c r="C843" s="8"/>
    </row>
    <row r="844" spans="2:3" x14ac:dyDescent="0.25">
      <c r="B844" s="8"/>
      <c r="C844" s="8"/>
    </row>
    <row r="845" spans="2:3" x14ac:dyDescent="0.25">
      <c r="B845" s="8"/>
      <c r="C845" s="8"/>
    </row>
    <row r="846" spans="2:3" x14ac:dyDescent="0.25">
      <c r="B846" s="8"/>
      <c r="C846" s="8"/>
    </row>
    <row r="847" spans="2:3" x14ac:dyDescent="0.25">
      <c r="B847" s="8"/>
      <c r="C847" s="8"/>
    </row>
    <row r="848" spans="2:3" x14ac:dyDescent="0.25">
      <c r="B848" s="8"/>
      <c r="C848" s="8"/>
    </row>
    <row r="849" spans="2:3" x14ac:dyDescent="0.25">
      <c r="B849" s="8"/>
      <c r="C849" s="8"/>
    </row>
    <row r="850" spans="2:3" x14ac:dyDescent="0.25">
      <c r="B850" s="8"/>
      <c r="C850" s="8"/>
    </row>
    <row r="851" spans="2:3" x14ac:dyDescent="0.25">
      <c r="B851" s="8"/>
      <c r="C851" s="8"/>
    </row>
    <row r="852" spans="2:3" x14ac:dyDescent="0.25">
      <c r="B852" s="8"/>
      <c r="C852" s="8"/>
    </row>
    <row r="853" spans="2:3" x14ac:dyDescent="0.25">
      <c r="B853" s="8"/>
      <c r="C853" s="8"/>
    </row>
    <row r="854" spans="2:3" x14ac:dyDescent="0.25">
      <c r="B854" s="8"/>
      <c r="C854" s="8"/>
    </row>
    <row r="855" spans="2:3" x14ac:dyDescent="0.25">
      <c r="B855" s="8"/>
      <c r="C855" s="8"/>
    </row>
    <row r="856" spans="2:3" x14ac:dyDescent="0.25">
      <c r="B856" s="8"/>
      <c r="C856" s="8"/>
    </row>
    <row r="857" spans="2:3" x14ac:dyDescent="0.25">
      <c r="B857" s="8"/>
      <c r="C857" s="8"/>
    </row>
    <row r="858" spans="2:3" x14ac:dyDescent="0.25">
      <c r="B858" s="8"/>
      <c r="C858" s="8"/>
    </row>
    <row r="859" spans="2:3" x14ac:dyDescent="0.25">
      <c r="B859" s="8"/>
      <c r="C859" s="8"/>
    </row>
    <row r="860" spans="2:3" x14ac:dyDescent="0.25">
      <c r="B860" s="8"/>
      <c r="C860" s="8"/>
    </row>
    <row r="861" spans="2:3" x14ac:dyDescent="0.25">
      <c r="B861" s="8"/>
      <c r="C861" s="8"/>
    </row>
    <row r="862" spans="2:3" x14ac:dyDescent="0.25">
      <c r="B862" s="8"/>
      <c r="C862" s="8"/>
    </row>
    <row r="863" spans="2:3" x14ac:dyDescent="0.25">
      <c r="B863" s="8"/>
      <c r="C863" s="8"/>
    </row>
    <row r="864" spans="2:3" x14ac:dyDescent="0.25">
      <c r="B864" s="8"/>
      <c r="C864" s="8"/>
    </row>
    <row r="865" spans="2:3" x14ac:dyDescent="0.25">
      <c r="B865" s="8"/>
      <c r="C865" s="8"/>
    </row>
    <row r="866" spans="2:3" x14ac:dyDescent="0.25">
      <c r="B866" s="8"/>
      <c r="C866" s="8"/>
    </row>
    <row r="867" spans="2:3" x14ac:dyDescent="0.25">
      <c r="B867" s="8"/>
      <c r="C867" s="8"/>
    </row>
    <row r="868" spans="2:3" x14ac:dyDescent="0.25">
      <c r="B868" s="8"/>
      <c r="C868" s="8"/>
    </row>
    <row r="869" spans="2:3" x14ac:dyDescent="0.25">
      <c r="B869" s="8"/>
      <c r="C869" s="8"/>
    </row>
    <row r="870" spans="2:3" x14ac:dyDescent="0.25">
      <c r="B870" s="8"/>
      <c r="C870" s="8"/>
    </row>
    <row r="871" spans="2:3" x14ac:dyDescent="0.25">
      <c r="B871" s="8"/>
      <c r="C871" s="8"/>
    </row>
    <row r="872" spans="2:3" x14ac:dyDescent="0.25">
      <c r="B872" s="8"/>
      <c r="C872" s="8"/>
    </row>
    <row r="873" spans="2:3" x14ac:dyDescent="0.25">
      <c r="B873" s="8"/>
      <c r="C873" s="8"/>
    </row>
    <row r="874" spans="2:3" x14ac:dyDescent="0.25">
      <c r="B874" s="8"/>
      <c r="C874" s="8"/>
    </row>
    <row r="875" spans="2:3" x14ac:dyDescent="0.25">
      <c r="B875" s="8"/>
      <c r="C875" s="8"/>
    </row>
    <row r="876" spans="2:3" x14ac:dyDescent="0.25">
      <c r="B876" s="8"/>
      <c r="C876" s="8"/>
    </row>
    <row r="877" spans="2:3" x14ac:dyDescent="0.25">
      <c r="B877" s="8"/>
      <c r="C877" s="8"/>
    </row>
    <row r="878" spans="2:3" x14ac:dyDescent="0.25">
      <c r="B878" s="8"/>
      <c r="C878" s="8"/>
    </row>
    <row r="879" spans="2:3" x14ac:dyDescent="0.25">
      <c r="B879" s="8"/>
      <c r="C879" s="8"/>
    </row>
    <row r="880" spans="2:3" x14ac:dyDescent="0.25">
      <c r="B880" s="8"/>
      <c r="C880" s="8"/>
    </row>
    <row r="881" spans="2:3" x14ac:dyDescent="0.25">
      <c r="B881" s="8"/>
      <c r="C881" s="8"/>
    </row>
    <row r="882" spans="2:3" x14ac:dyDescent="0.25">
      <c r="B882" s="8"/>
      <c r="C882" s="8"/>
    </row>
    <row r="883" spans="2:3" x14ac:dyDescent="0.25">
      <c r="B883" s="8"/>
      <c r="C883" s="8"/>
    </row>
    <row r="884" spans="2:3" x14ac:dyDescent="0.25">
      <c r="B884" s="8"/>
      <c r="C884" s="8"/>
    </row>
    <row r="885" spans="2:3" x14ac:dyDescent="0.25">
      <c r="B885" s="8"/>
      <c r="C885" s="8"/>
    </row>
    <row r="886" spans="2:3" x14ac:dyDescent="0.25">
      <c r="B886" s="8"/>
      <c r="C886" s="8"/>
    </row>
    <row r="887" spans="2:3" x14ac:dyDescent="0.25">
      <c r="B887" s="8"/>
      <c r="C887" s="8"/>
    </row>
    <row r="888" spans="2:3" x14ac:dyDescent="0.25">
      <c r="B888" s="8"/>
      <c r="C888" s="8"/>
    </row>
    <row r="889" spans="2:3" x14ac:dyDescent="0.25">
      <c r="B889" s="8"/>
      <c r="C889" s="8"/>
    </row>
    <row r="890" spans="2:3" x14ac:dyDescent="0.25">
      <c r="B890" s="8"/>
      <c r="C890" s="8"/>
    </row>
    <row r="891" spans="2:3" x14ac:dyDescent="0.25">
      <c r="B891" s="8"/>
      <c r="C891" s="8"/>
    </row>
    <row r="892" spans="2:3" x14ac:dyDescent="0.25">
      <c r="B892" s="8"/>
      <c r="C892" s="8"/>
    </row>
    <row r="893" spans="2:3" x14ac:dyDescent="0.25">
      <c r="B893" s="8"/>
      <c r="C893" s="8"/>
    </row>
    <row r="894" spans="2:3" x14ac:dyDescent="0.25">
      <c r="B894" s="8"/>
      <c r="C894" s="8"/>
    </row>
    <row r="895" spans="2:3" x14ac:dyDescent="0.25">
      <c r="B895" s="8"/>
      <c r="C895" s="8"/>
    </row>
    <row r="896" spans="2:3" x14ac:dyDescent="0.25">
      <c r="B896" s="8"/>
      <c r="C896" s="8"/>
    </row>
    <row r="897" spans="2:3" x14ac:dyDescent="0.25">
      <c r="B897" s="8"/>
      <c r="C897" s="8"/>
    </row>
    <row r="898" spans="2:3" x14ac:dyDescent="0.25">
      <c r="B898" s="8"/>
      <c r="C898" s="8"/>
    </row>
    <row r="899" spans="2:3" x14ac:dyDescent="0.25">
      <c r="B899" s="8"/>
      <c r="C899" s="8"/>
    </row>
    <row r="900" spans="2:3" x14ac:dyDescent="0.25">
      <c r="B900" s="8"/>
      <c r="C900" s="8"/>
    </row>
    <row r="901" spans="2:3" x14ac:dyDescent="0.25">
      <c r="B901" s="8"/>
      <c r="C901" s="8"/>
    </row>
    <row r="902" spans="2:3" x14ac:dyDescent="0.25">
      <c r="B902" s="8"/>
      <c r="C902" s="8"/>
    </row>
    <row r="903" spans="2:3" x14ac:dyDescent="0.25">
      <c r="B903" s="8"/>
      <c r="C903" s="8"/>
    </row>
    <row r="904" spans="2:3" x14ac:dyDescent="0.25">
      <c r="B904" s="8"/>
      <c r="C904" s="8"/>
    </row>
    <row r="905" spans="2:3" x14ac:dyDescent="0.25">
      <c r="B905" s="8"/>
      <c r="C905" s="8"/>
    </row>
    <row r="906" spans="2:3" x14ac:dyDescent="0.25">
      <c r="B906" s="8"/>
      <c r="C906" s="8"/>
    </row>
    <row r="907" spans="2:3" x14ac:dyDescent="0.25">
      <c r="B907" s="8"/>
      <c r="C907" s="8"/>
    </row>
    <row r="908" spans="2:3" x14ac:dyDescent="0.25">
      <c r="B908" s="8"/>
      <c r="C908" s="8"/>
    </row>
    <row r="909" spans="2:3" x14ac:dyDescent="0.25">
      <c r="B909" s="8"/>
      <c r="C909" s="8"/>
    </row>
    <row r="910" spans="2:3" x14ac:dyDescent="0.25">
      <c r="B910" s="8"/>
      <c r="C910" s="8"/>
    </row>
    <row r="911" spans="2:3" x14ac:dyDescent="0.25">
      <c r="B911" s="8"/>
      <c r="C911" s="8"/>
    </row>
    <row r="912" spans="2:3" x14ac:dyDescent="0.25">
      <c r="B912" s="8"/>
      <c r="C912" s="8"/>
    </row>
    <row r="913" spans="2:3" x14ac:dyDescent="0.25">
      <c r="B913" s="8"/>
      <c r="C913" s="8"/>
    </row>
    <row r="914" spans="2:3" x14ac:dyDescent="0.25">
      <c r="B914" s="8"/>
      <c r="C914" s="8"/>
    </row>
    <row r="915" spans="2:3" x14ac:dyDescent="0.25">
      <c r="B915" s="8"/>
      <c r="C915" s="8"/>
    </row>
    <row r="916" spans="2:3" x14ac:dyDescent="0.25">
      <c r="B916" s="8"/>
      <c r="C916" s="8"/>
    </row>
    <row r="917" spans="2:3" x14ac:dyDescent="0.25">
      <c r="B917" s="8"/>
      <c r="C917" s="8"/>
    </row>
    <row r="918" spans="2:3" x14ac:dyDescent="0.25">
      <c r="B918" s="8"/>
      <c r="C918" s="8"/>
    </row>
    <row r="919" spans="2:3" x14ac:dyDescent="0.25">
      <c r="B919" s="8"/>
      <c r="C919" s="8"/>
    </row>
    <row r="920" spans="2:3" x14ac:dyDescent="0.25">
      <c r="B920" s="8"/>
      <c r="C920" s="8"/>
    </row>
    <row r="921" spans="2:3" x14ac:dyDescent="0.25">
      <c r="B921" s="8"/>
      <c r="C921" s="8"/>
    </row>
    <row r="922" spans="2:3" x14ac:dyDescent="0.25">
      <c r="B922" s="8"/>
      <c r="C922" s="8"/>
    </row>
    <row r="923" spans="2:3" x14ac:dyDescent="0.25">
      <c r="B923" s="8"/>
      <c r="C923" s="8"/>
    </row>
    <row r="924" spans="2:3" x14ac:dyDescent="0.25">
      <c r="B924" s="8"/>
      <c r="C924" s="8"/>
    </row>
    <row r="925" spans="2:3" x14ac:dyDescent="0.25">
      <c r="B925" s="8"/>
      <c r="C925" s="8"/>
    </row>
    <row r="926" spans="2:3" x14ac:dyDescent="0.25">
      <c r="B926" s="8"/>
      <c r="C926" s="8"/>
    </row>
    <row r="927" spans="2:3" x14ac:dyDescent="0.25">
      <c r="B927" s="8"/>
      <c r="C927" s="8"/>
    </row>
    <row r="928" spans="2:3" x14ac:dyDescent="0.25">
      <c r="B928" s="8"/>
      <c r="C928" s="8"/>
    </row>
    <row r="929" spans="2:3" x14ac:dyDescent="0.25">
      <c r="B929" s="8"/>
      <c r="C929" s="8"/>
    </row>
    <row r="930" spans="2:3" x14ac:dyDescent="0.25">
      <c r="B930" s="8"/>
      <c r="C930" s="8"/>
    </row>
    <row r="931" spans="2:3" x14ac:dyDescent="0.25">
      <c r="B931" s="8"/>
      <c r="C931" s="8"/>
    </row>
    <row r="932" spans="2:3" x14ac:dyDescent="0.25">
      <c r="B932" s="8"/>
      <c r="C932" s="8"/>
    </row>
    <row r="933" spans="2:3" x14ac:dyDescent="0.25">
      <c r="B933" s="8"/>
      <c r="C933" s="8"/>
    </row>
    <row r="934" spans="2:3" x14ac:dyDescent="0.25">
      <c r="B934" s="8"/>
      <c r="C934" s="8"/>
    </row>
    <row r="935" spans="2:3" x14ac:dyDescent="0.25">
      <c r="B935" s="8"/>
      <c r="C935" s="8"/>
    </row>
    <row r="936" spans="2:3" x14ac:dyDescent="0.25">
      <c r="B936" s="8"/>
      <c r="C936" s="8"/>
    </row>
    <row r="937" spans="2:3" x14ac:dyDescent="0.25">
      <c r="B937" s="8"/>
      <c r="C937" s="8"/>
    </row>
    <row r="938" spans="2:3" x14ac:dyDescent="0.25">
      <c r="B938" s="8"/>
      <c r="C938" s="8"/>
    </row>
    <row r="939" spans="2:3" x14ac:dyDescent="0.25">
      <c r="B939" s="8"/>
      <c r="C939" s="8"/>
    </row>
    <row r="940" spans="2:3" x14ac:dyDescent="0.25">
      <c r="B940" s="8"/>
      <c r="C940" s="8"/>
    </row>
    <row r="941" spans="2:3" x14ac:dyDescent="0.25">
      <c r="B941" s="8"/>
      <c r="C941" s="8"/>
    </row>
    <row r="942" spans="2:3" x14ac:dyDescent="0.25">
      <c r="B942" s="8"/>
      <c r="C942" s="8"/>
    </row>
    <row r="943" spans="2:3" x14ac:dyDescent="0.25">
      <c r="B943" s="8"/>
      <c r="C943" s="8"/>
    </row>
    <row r="944" spans="2:3" x14ac:dyDescent="0.25">
      <c r="B944" s="8"/>
      <c r="C944" s="8"/>
    </row>
    <row r="945" spans="2:3" x14ac:dyDescent="0.25">
      <c r="B945" s="8"/>
      <c r="C945" s="8"/>
    </row>
    <row r="946" spans="2:3" x14ac:dyDescent="0.25">
      <c r="B946" s="8"/>
      <c r="C946" s="8"/>
    </row>
    <row r="947" spans="2:3" x14ac:dyDescent="0.25">
      <c r="B947" s="8"/>
      <c r="C947" s="8"/>
    </row>
    <row r="948" spans="2:3" x14ac:dyDescent="0.25">
      <c r="B948" s="8"/>
      <c r="C948" s="8"/>
    </row>
    <row r="949" spans="2:3" x14ac:dyDescent="0.25">
      <c r="B949" s="8"/>
      <c r="C949" s="8"/>
    </row>
    <row r="950" spans="2:3" x14ac:dyDescent="0.25">
      <c r="B950" s="8"/>
      <c r="C950" s="8"/>
    </row>
    <row r="951" spans="2:3" x14ac:dyDescent="0.25">
      <c r="B951" s="8"/>
      <c r="C951" s="8"/>
    </row>
    <row r="952" spans="2:3" x14ac:dyDescent="0.25">
      <c r="B952" s="8"/>
      <c r="C952" s="8"/>
    </row>
    <row r="953" spans="2:3" x14ac:dyDescent="0.25">
      <c r="B953" s="8"/>
      <c r="C953" s="8"/>
    </row>
    <row r="954" spans="2:3" x14ac:dyDescent="0.25">
      <c r="B954" s="8"/>
      <c r="C954" s="8"/>
    </row>
    <row r="955" spans="2:3" x14ac:dyDescent="0.25">
      <c r="B955" s="8"/>
      <c r="C955" s="8"/>
    </row>
    <row r="956" spans="2:3" x14ac:dyDescent="0.25">
      <c r="B956" s="8"/>
      <c r="C956" s="8"/>
    </row>
    <row r="957" spans="2:3" x14ac:dyDescent="0.25">
      <c r="B957" s="8"/>
      <c r="C957" s="8"/>
    </row>
    <row r="958" spans="2:3" x14ac:dyDescent="0.25">
      <c r="B958" s="8"/>
      <c r="C958" s="8"/>
    </row>
    <row r="959" spans="2:3" x14ac:dyDescent="0.25">
      <c r="B959" s="8"/>
      <c r="C959" s="8"/>
    </row>
    <row r="960" spans="2:3" x14ac:dyDescent="0.25">
      <c r="B960" s="8"/>
      <c r="C960" s="8"/>
    </row>
    <row r="961" spans="2:3" x14ac:dyDescent="0.25">
      <c r="B961" s="8"/>
      <c r="C961" s="8"/>
    </row>
    <row r="962" spans="2:3" x14ac:dyDescent="0.25">
      <c r="B962" s="8"/>
      <c r="C962" s="8"/>
    </row>
    <row r="963" spans="2:3" x14ac:dyDescent="0.25">
      <c r="B963" s="8"/>
      <c r="C963" s="8"/>
    </row>
    <row r="964" spans="2:3" x14ac:dyDescent="0.25">
      <c r="B964" s="8"/>
      <c r="C964" s="8"/>
    </row>
    <row r="965" spans="2:3" x14ac:dyDescent="0.25">
      <c r="B965" s="8"/>
      <c r="C965" s="8"/>
    </row>
    <row r="966" spans="2:3" x14ac:dyDescent="0.25">
      <c r="B966" s="8"/>
      <c r="C966" s="8"/>
    </row>
    <row r="967" spans="2:3" x14ac:dyDescent="0.25">
      <c r="B967" s="8"/>
      <c r="C967" s="8"/>
    </row>
    <row r="968" spans="2:3" x14ac:dyDescent="0.25">
      <c r="B968" s="8"/>
      <c r="C968" s="8"/>
    </row>
    <row r="969" spans="2:3" x14ac:dyDescent="0.25">
      <c r="B969" s="8"/>
      <c r="C969" s="8"/>
    </row>
    <row r="970" spans="2:3" x14ac:dyDescent="0.25">
      <c r="B970" s="8"/>
      <c r="C970" s="8"/>
    </row>
    <row r="971" spans="2:3" x14ac:dyDescent="0.25">
      <c r="B971" s="8"/>
      <c r="C971" s="8"/>
    </row>
    <row r="972" spans="2:3" x14ac:dyDescent="0.25">
      <c r="B972" s="8"/>
      <c r="C972" s="8"/>
    </row>
    <row r="973" spans="2:3" x14ac:dyDescent="0.25">
      <c r="B973" s="8"/>
      <c r="C973" s="8"/>
    </row>
    <row r="974" spans="2:3" x14ac:dyDescent="0.25">
      <c r="B974" s="8"/>
      <c r="C974" s="8"/>
    </row>
    <row r="975" spans="2:3" x14ac:dyDescent="0.25">
      <c r="B975" s="8"/>
      <c r="C975" s="8"/>
    </row>
    <row r="976" spans="2:3" x14ac:dyDescent="0.25">
      <c r="B976" s="8"/>
      <c r="C976" s="8"/>
    </row>
    <row r="977" spans="2:3" x14ac:dyDescent="0.25">
      <c r="B977" s="8"/>
      <c r="C977" s="8"/>
    </row>
    <row r="978" spans="2:3" x14ac:dyDescent="0.25">
      <c r="B978" s="8"/>
      <c r="C978" s="8"/>
    </row>
    <row r="979" spans="2:3" x14ac:dyDescent="0.25">
      <c r="B979" s="8"/>
      <c r="C979" s="8"/>
    </row>
    <row r="980" spans="2:3" x14ac:dyDescent="0.25">
      <c r="B980" s="8"/>
      <c r="C980" s="8"/>
    </row>
    <row r="981" spans="2:3" x14ac:dyDescent="0.25">
      <c r="B981" s="8"/>
      <c r="C981" s="8"/>
    </row>
    <row r="982" spans="2:3" x14ac:dyDescent="0.25">
      <c r="B982" s="8"/>
      <c r="C982" s="8"/>
    </row>
    <row r="983" spans="2:3" x14ac:dyDescent="0.25">
      <c r="B983" s="8"/>
      <c r="C983" s="8"/>
    </row>
    <row r="984" spans="2:3" x14ac:dyDescent="0.25">
      <c r="B984" s="8"/>
      <c r="C984" s="8"/>
    </row>
    <row r="985" spans="2:3" x14ac:dyDescent="0.25">
      <c r="B985" s="8"/>
      <c r="C985" s="8"/>
    </row>
    <row r="986" spans="2:3" x14ac:dyDescent="0.25">
      <c r="B986" s="8"/>
      <c r="C986" s="8"/>
    </row>
    <row r="987" spans="2:3" x14ac:dyDescent="0.25">
      <c r="B987" s="8"/>
      <c r="C987" s="8"/>
    </row>
    <row r="988" spans="2:3" x14ac:dyDescent="0.25">
      <c r="B988" s="8"/>
      <c r="C988" s="8"/>
    </row>
    <row r="989" spans="2:3" x14ac:dyDescent="0.25">
      <c r="B989" s="8"/>
      <c r="C989" s="8"/>
    </row>
    <row r="990" spans="2:3" x14ac:dyDescent="0.25">
      <c r="B990" s="8"/>
      <c r="C990" s="8"/>
    </row>
    <row r="991" spans="2:3" x14ac:dyDescent="0.25">
      <c r="B991" s="8"/>
      <c r="C991" s="8"/>
    </row>
    <row r="992" spans="2:3" x14ac:dyDescent="0.25">
      <c r="B992" s="8"/>
      <c r="C992" s="8"/>
    </row>
    <row r="993" spans="2:3" x14ac:dyDescent="0.25">
      <c r="B993" s="8"/>
      <c r="C993" s="8"/>
    </row>
    <row r="994" spans="2:3" x14ac:dyDescent="0.25">
      <c r="B994" s="8"/>
      <c r="C994" s="8"/>
    </row>
    <row r="995" spans="2:3" x14ac:dyDescent="0.25">
      <c r="B995" s="8"/>
      <c r="C995" s="8"/>
    </row>
    <row r="996" spans="2:3" x14ac:dyDescent="0.25">
      <c r="B996" s="8"/>
      <c r="C996" s="8"/>
    </row>
    <row r="997" spans="2:3" x14ac:dyDescent="0.25">
      <c r="B997" s="8"/>
      <c r="C997" s="8"/>
    </row>
    <row r="998" spans="2:3" x14ac:dyDescent="0.25">
      <c r="B998" s="8"/>
      <c r="C998" s="8"/>
    </row>
    <row r="999" spans="2:3" x14ac:dyDescent="0.25">
      <c r="B999" s="8"/>
      <c r="C999" s="8"/>
    </row>
    <row r="1000" spans="2:3" x14ac:dyDescent="0.25">
      <c r="B1000" s="8"/>
      <c r="C1000" s="8"/>
    </row>
    <row r="1001" spans="2:3" x14ac:dyDescent="0.25">
      <c r="B1001" s="8"/>
      <c r="C1001" s="8"/>
    </row>
    <row r="1002" spans="2:3" x14ac:dyDescent="0.25">
      <c r="B1002" s="8"/>
      <c r="C1002" s="8"/>
    </row>
    <row r="1003" spans="2:3" x14ac:dyDescent="0.25">
      <c r="B1003" s="8"/>
      <c r="C1003" s="8"/>
    </row>
    <row r="1004" spans="2:3" x14ac:dyDescent="0.25">
      <c r="B1004" s="8"/>
      <c r="C1004" s="8"/>
    </row>
    <row r="1005" spans="2:3" x14ac:dyDescent="0.25">
      <c r="B1005" s="8"/>
      <c r="C1005" s="8"/>
    </row>
    <row r="1006" spans="2:3" x14ac:dyDescent="0.25">
      <c r="B1006" s="8"/>
      <c r="C1006" s="8"/>
    </row>
    <row r="1007" spans="2:3" x14ac:dyDescent="0.25">
      <c r="B1007" s="8"/>
      <c r="C1007" s="8"/>
    </row>
    <row r="1008" spans="2:3" x14ac:dyDescent="0.25">
      <c r="B1008" s="8"/>
      <c r="C1008" s="8"/>
    </row>
    <row r="1009" spans="2:3" x14ac:dyDescent="0.25">
      <c r="B1009" s="8"/>
      <c r="C1009" s="8"/>
    </row>
    <row r="1010" spans="2:3" x14ac:dyDescent="0.25">
      <c r="B1010" s="8"/>
      <c r="C1010" s="8"/>
    </row>
    <row r="1011" spans="2:3" x14ac:dyDescent="0.25">
      <c r="B1011" s="8"/>
      <c r="C1011" s="8"/>
    </row>
    <row r="1012" spans="2:3" x14ac:dyDescent="0.25">
      <c r="B1012" s="8"/>
      <c r="C1012" s="8"/>
    </row>
    <row r="1013" spans="2:3" x14ac:dyDescent="0.25">
      <c r="B1013" s="8"/>
      <c r="C1013" s="8"/>
    </row>
    <row r="1014" spans="2:3" x14ac:dyDescent="0.25">
      <c r="B1014" s="8"/>
      <c r="C1014" s="8"/>
    </row>
    <row r="1015" spans="2:3" x14ac:dyDescent="0.25">
      <c r="B1015" s="8"/>
      <c r="C1015" s="8"/>
    </row>
    <row r="1016" spans="2:3" x14ac:dyDescent="0.25">
      <c r="B1016" s="8"/>
      <c r="C1016" s="8"/>
    </row>
    <row r="1017" spans="2:3" x14ac:dyDescent="0.25">
      <c r="B1017" s="8"/>
      <c r="C1017" s="8"/>
    </row>
    <row r="1018" spans="2:3" x14ac:dyDescent="0.25">
      <c r="B1018" s="8"/>
      <c r="C1018" s="8"/>
    </row>
    <row r="1019" spans="2:3" x14ac:dyDescent="0.25">
      <c r="B1019" s="8"/>
      <c r="C1019" s="8"/>
    </row>
    <row r="1020" spans="2:3" x14ac:dyDescent="0.25">
      <c r="B1020" s="8"/>
      <c r="C1020" s="8"/>
    </row>
    <row r="1021" spans="2:3" x14ac:dyDescent="0.25">
      <c r="B1021" s="8"/>
      <c r="C1021" s="8"/>
    </row>
    <row r="1022" spans="2:3" x14ac:dyDescent="0.25">
      <c r="B1022" s="8"/>
      <c r="C1022" s="8"/>
    </row>
    <row r="1023" spans="2:3" x14ac:dyDescent="0.25">
      <c r="B1023" s="8"/>
      <c r="C1023" s="8"/>
    </row>
    <row r="1024" spans="2:3" x14ac:dyDescent="0.25">
      <c r="B1024" s="8"/>
      <c r="C1024" s="8"/>
    </row>
    <row r="1025" spans="2:3" x14ac:dyDescent="0.25">
      <c r="B1025" s="8"/>
      <c r="C1025" s="8"/>
    </row>
    <row r="1026" spans="2:3" x14ac:dyDescent="0.25">
      <c r="B1026" s="8"/>
      <c r="C1026" s="8"/>
    </row>
    <row r="1027" spans="2:3" x14ac:dyDescent="0.25">
      <c r="B1027" s="8"/>
      <c r="C1027" s="8"/>
    </row>
    <row r="1028" spans="2:3" x14ac:dyDescent="0.25">
      <c r="B1028" s="8"/>
      <c r="C1028" s="8"/>
    </row>
    <row r="1029" spans="2:3" x14ac:dyDescent="0.25">
      <c r="B1029" s="8"/>
      <c r="C1029" s="8"/>
    </row>
    <row r="1030" spans="2:3" x14ac:dyDescent="0.25">
      <c r="B1030" s="8"/>
      <c r="C1030" s="8"/>
    </row>
    <row r="1031" spans="2:3" x14ac:dyDescent="0.25">
      <c r="B1031" s="8"/>
      <c r="C1031" s="8"/>
    </row>
    <row r="1032" spans="2:3" x14ac:dyDescent="0.25">
      <c r="B1032" s="8"/>
      <c r="C1032" s="8"/>
    </row>
    <row r="1033" spans="2:3" x14ac:dyDescent="0.25">
      <c r="B1033" s="8"/>
      <c r="C1033" s="8"/>
    </row>
    <row r="1034" spans="2:3" x14ac:dyDescent="0.25">
      <c r="B1034" s="8"/>
      <c r="C1034" s="8"/>
    </row>
    <row r="1035" spans="2:3" x14ac:dyDescent="0.25">
      <c r="B1035" s="8"/>
      <c r="C1035" s="8"/>
    </row>
    <row r="1036" spans="2:3" x14ac:dyDescent="0.25">
      <c r="B1036" s="8"/>
      <c r="C1036" s="8"/>
    </row>
    <row r="1037" spans="2:3" x14ac:dyDescent="0.25">
      <c r="B1037" s="8"/>
      <c r="C1037" s="8"/>
    </row>
    <row r="1038" spans="2:3" x14ac:dyDescent="0.25">
      <c r="B1038" s="8"/>
      <c r="C1038" s="8"/>
    </row>
    <row r="1039" spans="2:3" x14ac:dyDescent="0.25">
      <c r="B1039" s="8"/>
      <c r="C1039" s="8"/>
    </row>
    <row r="1040" spans="2:3" x14ac:dyDescent="0.25">
      <c r="B1040" s="8"/>
      <c r="C1040" s="8"/>
    </row>
    <row r="1041" spans="2:3" x14ac:dyDescent="0.25">
      <c r="B1041" s="8"/>
      <c r="C1041" s="8"/>
    </row>
    <row r="1042" spans="2:3" x14ac:dyDescent="0.25">
      <c r="B1042" s="8"/>
      <c r="C1042" s="8"/>
    </row>
    <row r="1043" spans="2:3" x14ac:dyDescent="0.25">
      <c r="B1043" s="8"/>
      <c r="C1043" s="8"/>
    </row>
    <row r="1044" spans="2:3" x14ac:dyDescent="0.25">
      <c r="B1044" s="8"/>
      <c r="C1044" s="8"/>
    </row>
    <row r="1045" spans="2:3" x14ac:dyDescent="0.25">
      <c r="B1045" s="8"/>
      <c r="C1045" s="8"/>
    </row>
    <row r="1046" spans="2:3" x14ac:dyDescent="0.25">
      <c r="B1046" s="8"/>
      <c r="C1046" s="8"/>
    </row>
    <row r="1047" spans="2:3" x14ac:dyDescent="0.25">
      <c r="B1047" s="8"/>
      <c r="C1047" s="8"/>
    </row>
    <row r="1048" spans="2:3" x14ac:dyDescent="0.25">
      <c r="B1048" s="8"/>
      <c r="C1048" s="8"/>
    </row>
    <row r="1049" spans="2:3" x14ac:dyDescent="0.25">
      <c r="B1049" s="8"/>
      <c r="C1049" s="8"/>
    </row>
    <row r="1050" spans="2:3" x14ac:dyDescent="0.25">
      <c r="B1050" s="8"/>
      <c r="C1050" s="8"/>
    </row>
    <row r="1051" spans="2:3" x14ac:dyDescent="0.25">
      <c r="B1051" s="8"/>
      <c r="C1051" s="8"/>
    </row>
    <row r="1052" spans="2:3" x14ac:dyDescent="0.25">
      <c r="B1052" s="8"/>
      <c r="C1052" s="8"/>
    </row>
    <row r="1053" spans="2:3" x14ac:dyDescent="0.25">
      <c r="B1053" s="8"/>
      <c r="C1053" s="8"/>
    </row>
    <row r="1054" spans="2:3" x14ac:dyDescent="0.25">
      <c r="B1054" s="8"/>
      <c r="C1054" s="8"/>
    </row>
    <row r="1055" spans="2:3" x14ac:dyDescent="0.25">
      <c r="B1055" s="8"/>
      <c r="C1055" s="8"/>
    </row>
    <row r="1056" spans="2:3" x14ac:dyDescent="0.25">
      <c r="B1056" s="8"/>
      <c r="C1056" s="8"/>
    </row>
    <row r="1057" spans="2:3" x14ac:dyDescent="0.25">
      <c r="B1057" s="8"/>
      <c r="C1057" s="8"/>
    </row>
    <row r="1058" spans="2:3" x14ac:dyDescent="0.25">
      <c r="B1058" s="8"/>
      <c r="C1058" s="8"/>
    </row>
    <row r="1059" spans="2:3" x14ac:dyDescent="0.25">
      <c r="B1059" s="8"/>
      <c r="C1059" s="8"/>
    </row>
    <row r="1060" spans="2:3" x14ac:dyDescent="0.25">
      <c r="B1060" s="8"/>
      <c r="C1060" s="8"/>
    </row>
    <row r="1061" spans="2:3" x14ac:dyDescent="0.25">
      <c r="B1061" s="8"/>
      <c r="C1061" s="8"/>
    </row>
    <row r="1062" spans="2:3" x14ac:dyDescent="0.25">
      <c r="B1062" s="8"/>
      <c r="C1062" s="8"/>
    </row>
    <row r="1063" spans="2:3" x14ac:dyDescent="0.25">
      <c r="B1063" s="8"/>
      <c r="C1063" s="8"/>
    </row>
    <row r="1064" spans="2:3" x14ac:dyDescent="0.25">
      <c r="B1064" s="8"/>
      <c r="C1064" s="8"/>
    </row>
    <row r="1065" spans="2:3" x14ac:dyDescent="0.25">
      <c r="B1065" s="8"/>
      <c r="C1065" s="8"/>
    </row>
    <row r="1066" spans="2:3" x14ac:dyDescent="0.25">
      <c r="B1066" s="8"/>
      <c r="C1066" s="8"/>
    </row>
    <row r="1067" spans="2:3" x14ac:dyDescent="0.25">
      <c r="B1067" s="8"/>
      <c r="C1067" s="8"/>
    </row>
    <row r="1068" spans="2:3" x14ac:dyDescent="0.25">
      <c r="B1068" s="8"/>
      <c r="C1068" s="8"/>
    </row>
    <row r="1069" spans="2:3" x14ac:dyDescent="0.25">
      <c r="B1069" s="8"/>
      <c r="C1069" s="8"/>
    </row>
    <row r="1070" spans="2:3" x14ac:dyDescent="0.25">
      <c r="B1070" s="8"/>
      <c r="C1070" s="8"/>
    </row>
    <row r="1071" spans="2:3" x14ac:dyDescent="0.25">
      <c r="B1071" s="8"/>
      <c r="C1071" s="8"/>
    </row>
    <row r="1072" spans="2:3" x14ac:dyDescent="0.25">
      <c r="B1072" s="8"/>
      <c r="C1072" s="8"/>
    </row>
    <row r="1073" spans="2:3" x14ac:dyDescent="0.25">
      <c r="B1073" s="8"/>
      <c r="C1073" s="8"/>
    </row>
    <row r="1074" spans="2:3" x14ac:dyDescent="0.25">
      <c r="B1074" s="8"/>
      <c r="C1074" s="8"/>
    </row>
    <row r="1075" spans="2:3" x14ac:dyDescent="0.25">
      <c r="B1075" s="8"/>
      <c r="C1075" s="8"/>
    </row>
    <row r="1076" spans="2:3" x14ac:dyDescent="0.25">
      <c r="B1076" s="8"/>
      <c r="C1076" s="8"/>
    </row>
    <row r="1077" spans="2:3" x14ac:dyDescent="0.25">
      <c r="B1077" s="8"/>
      <c r="C1077" s="8"/>
    </row>
    <row r="1078" spans="2:3" x14ac:dyDescent="0.25">
      <c r="B1078" s="8"/>
      <c r="C1078" s="8"/>
    </row>
    <row r="1079" spans="2:3" x14ac:dyDescent="0.25">
      <c r="B1079" s="8"/>
      <c r="C1079" s="8"/>
    </row>
    <row r="1080" spans="2:3" x14ac:dyDescent="0.25">
      <c r="B1080" s="8"/>
      <c r="C1080" s="8"/>
    </row>
    <row r="1081" spans="2:3" x14ac:dyDescent="0.25">
      <c r="B1081" s="8"/>
      <c r="C1081" s="8"/>
    </row>
    <row r="1082" spans="2:3" x14ac:dyDescent="0.25">
      <c r="B1082" s="8"/>
      <c r="C1082" s="8"/>
    </row>
    <row r="1083" spans="2:3" x14ac:dyDescent="0.25">
      <c r="B1083" s="8"/>
      <c r="C1083" s="8"/>
    </row>
    <row r="1084" spans="2:3" x14ac:dyDescent="0.25">
      <c r="B1084" s="8"/>
      <c r="C1084" s="8"/>
    </row>
    <row r="1085" spans="2:3" x14ac:dyDescent="0.25">
      <c r="B1085" s="8"/>
      <c r="C1085" s="8"/>
    </row>
    <row r="1086" spans="2:3" x14ac:dyDescent="0.25">
      <c r="B1086" s="8"/>
      <c r="C1086" s="8"/>
    </row>
    <row r="1087" spans="2:3" x14ac:dyDescent="0.25">
      <c r="B1087" s="8"/>
      <c r="C1087" s="8"/>
    </row>
    <row r="1088" spans="2:3" x14ac:dyDescent="0.25">
      <c r="B1088" s="8"/>
      <c r="C1088" s="8"/>
    </row>
    <row r="1089" spans="2:3" x14ac:dyDescent="0.25">
      <c r="B1089" s="8"/>
      <c r="C1089" s="8"/>
    </row>
    <row r="1090" spans="2:3" x14ac:dyDescent="0.25">
      <c r="B1090" s="8"/>
      <c r="C1090" s="8"/>
    </row>
    <row r="1091" spans="2:3" x14ac:dyDescent="0.25">
      <c r="B1091" s="8"/>
      <c r="C1091" s="8"/>
    </row>
    <row r="1092" spans="2:3" x14ac:dyDescent="0.25">
      <c r="B1092" s="8"/>
      <c r="C1092" s="8"/>
    </row>
    <row r="1093" spans="2:3" x14ac:dyDescent="0.25">
      <c r="B1093" s="8"/>
      <c r="C1093" s="8"/>
    </row>
    <row r="1094" spans="2:3" x14ac:dyDescent="0.25">
      <c r="B1094" s="8"/>
      <c r="C1094" s="8"/>
    </row>
    <row r="1095" spans="2:3" x14ac:dyDescent="0.25">
      <c r="B1095" s="8"/>
      <c r="C1095" s="8"/>
    </row>
    <row r="1096" spans="2:3" x14ac:dyDescent="0.25">
      <c r="B1096" s="8"/>
      <c r="C1096" s="8"/>
    </row>
    <row r="1097" spans="2:3" x14ac:dyDescent="0.25">
      <c r="B1097" s="8"/>
      <c r="C1097" s="8"/>
    </row>
    <row r="1098" spans="2:3" x14ac:dyDescent="0.25">
      <c r="B1098" s="8"/>
      <c r="C1098" s="8"/>
    </row>
    <row r="1099" spans="2:3" x14ac:dyDescent="0.25">
      <c r="B1099" s="8"/>
      <c r="C1099" s="8"/>
    </row>
    <row r="1100" spans="2:3" x14ac:dyDescent="0.25">
      <c r="B1100" s="8"/>
      <c r="C1100" s="8"/>
    </row>
    <row r="1101" spans="2:3" x14ac:dyDescent="0.25">
      <c r="B1101" s="8"/>
      <c r="C1101" s="8"/>
    </row>
    <row r="1102" spans="2:3" x14ac:dyDescent="0.25">
      <c r="B1102" s="8"/>
      <c r="C1102" s="8"/>
    </row>
    <row r="1103" spans="2:3" x14ac:dyDescent="0.25">
      <c r="B1103" s="8"/>
      <c r="C1103" s="8"/>
    </row>
    <row r="1104" spans="2:3" x14ac:dyDescent="0.25">
      <c r="B1104" s="8"/>
      <c r="C1104" s="8"/>
    </row>
    <row r="1105" spans="2:3" x14ac:dyDescent="0.25">
      <c r="B1105" s="8"/>
      <c r="C1105" s="8"/>
    </row>
    <row r="1106" spans="2:3" x14ac:dyDescent="0.25">
      <c r="B1106" s="8"/>
      <c r="C1106" s="8"/>
    </row>
    <row r="1107" spans="2:3" x14ac:dyDescent="0.25">
      <c r="B1107" s="8"/>
      <c r="C1107" s="8"/>
    </row>
    <row r="1108" spans="2:3" x14ac:dyDescent="0.25">
      <c r="B1108" s="8"/>
      <c r="C1108" s="8"/>
    </row>
    <row r="1109" spans="2:3" x14ac:dyDescent="0.25">
      <c r="B1109" s="8"/>
      <c r="C1109" s="8"/>
    </row>
    <row r="1110" spans="2:3" x14ac:dyDescent="0.25">
      <c r="B1110" s="8"/>
      <c r="C1110" s="8"/>
    </row>
    <row r="1111" spans="2:3" x14ac:dyDescent="0.25">
      <c r="B1111" s="8"/>
      <c r="C1111" s="8"/>
    </row>
    <row r="1112" spans="2:3" x14ac:dyDescent="0.25">
      <c r="B1112" s="8"/>
      <c r="C1112" s="8"/>
    </row>
    <row r="1113" spans="2:3" x14ac:dyDescent="0.25">
      <c r="B1113" s="8"/>
      <c r="C1113" s="8"/>
    </row>
    <row r="1114" spans="2:3" x14ac:dyDescent="0.25">
      <c r="B1114" s="8"/>
      <c r="C1114" s="8"/>
    </row>
    <row r="1115" spans="2:3" x14ac:dyDescent="0.25">
      <c r="B1115" s="8"/>
      <c r="C1115" s="8"/>
    </row>
    <row r="1116" spans="2:3" x14ac:dyDescent="0.25">
      <c r="B1116" s="8"/>
      <c r="C1116" s="8"/>
    </row>
    <row r="1117" spans="2:3" x14ac:dyDescent="0.25">
      <c r="B1117" s="8"/>
      <c r="C1117" s="8"/>
    </row>
    <row r="1118" spans="2:3" x14ac:dyDescent="0.25">
      <c r="B1118" s="8"/>
      <c r="C1118" s="8"/>
    </row>
    <row r="1119" spans="2:3" x14ac:dyDescent="0.25">
      <c r="B1119" s="8"/>
      <c r="C1119" s="8"/>
    </row>
    <row r="1120" spans="2:3" x14ac:dyDescent="0.25">
      <c r="B1120" s="8"/>
      <c r="C1120" s="8"/>
    </row>
    <row r="1121" spans="2:3" x14ac:dyDescent="0.25">
      <c r="B1121" s="8"/>
      <c r="C1121" s="8"/>
    </row>
    <row r="1122" spans="2:3" x14ac:dyDescent="0.25">
      <c r="B1122" s="8"/>
      <c r="C1122" s="8"/>
    </row>
    <row r="1123" spans="2:3" x14ac:dyDescent="0.25">
      <c r="B1123" s="8"/>
      <c r="C1123" s="8"/>
    </row>
    <row r="1124" spans="2:3" x14ac:dyDescent="0.25">
      <c r="B1124" s="8"/>
      <c r="C1124" s="8"/>
    </row>
    <row r="1125" spans="2:3" x14ac:dyDescent="0.25">
      <c r="B1125" s="8"/>
      <c r="C1125" s="8"/>
    </row>
    <row r="1126" spans="2:3" x14ac:dyDescent="0.25">
      <c r="B1126" s="8"/>
      <c r="C1126" s="8"/>
    </row>
    <row r="1127" spans="2:3" x14ac:dyDescent="0.25">
      <c r="B1127" s="8"/>
      <c r="C1127" s="8"/>
    </row>
    <row r="1128" spans="2:3" x14ac:dyDescent="0.25">
      <c r="B1128" s="8"/>
      <c r="C1128" s="8"/>
    </row>
    <row r="1129" spans="2:3" x14ac:dyDescent="0.25">
      <c r="B1129" s="8"/>
      <c r="C1129" s="8"/>
    </row>
    <row r="1130" spans="2:3" x14ac:dyDescent="0.25">
      <c r="B1130" s="8"/>
      <c r="C1130" s="8"/>
    </row>
    <row r="1131" spans="2:3" x14ac:dyDescent="0.25">
      <c r="B1131" s="8"/>
      <c r="C1131" s="8"/>
    </row>
    <row r="1132" spans="2:3" x14ac:dyDescent="0.25">
      <c r="B1132" s="8"/>
      <c r="C1132" s="8"/>
    </row>
    <row r="1133" spans="2:3" x14ac:dyDescent="0.25">
      <c r="B1133" s="8"/>
      <c r="C1133" s="8"/>
    </row>
    <row r="1134" spans="2:3" x14ac:dyDescent="0.25">
      <c r="B1134" s="8"/>
      <c r="C1134" s="8"/>
    </row>
    <row r="1135" spans="2:3" x14ac:dyDescent="0.25">
      <c r="B1135" s="8"/>
      <c r="C1135" s="8"/>
    </row>
    <row r="1136" spans="2:3" x14ac:dyDescent="0.25">
      <c r="B1136" s="8"/>
      <c r="C1136" s="8"/>
    </row>
    <row r="1137" spans="2:3" x14ac:dyDescent="0.25">
      <c r="B1137" s="8"/>
      <c r="C1137" s="8"/>
    </row>
    <row r="1138" spans="2:3" x14ac:dyDescent="0.25">
      <c r="B1138" s="8"/>
      <c r="C1138" s="8"/>
    </row>
    <row r="1139" spans="2:3" x14ac:dyDescent="0.25">
      <c r="B1139" s="8"/>
      <c r="C1139" s="8"/>
    </row>
    <row r="1140" spans="2:3" x14ac:dyDescent="0.25">
      <c r="B1140" s="8"/>
      <c r="C1140" s="8"/>
    </row>
    <row r="1141" spans="2:3" x14ac:dyDescent="0.25">
      <c r="B1141" s="8"/>
      <c r="C1141" s="8"/>
    </row>
    <row r="1142" spans="2:3" x14ac:dyDescent="0.25">
      <c r="B1142" s="8"/>
      <c r="C1142" s="8"/>
    </row>
    <row r="1143" spans="2:3" x14ac:dyDescent="0.25">
      <c r="B1143" s="8"/>
      <c r="C1143" s="8"/>
    </row>
    <row r="1144" spans="2:3" x14ac:dyDescent="0.25">
      <c r="B1144" s="8"/>
      <c r="C1144" s="8"/>
    </row>
    <row r="1145" spans="2:3" x14ac:dyDescent="0.25">
      <c r="B1145" s="8"/>
      <c r="C1145" s="8"/>
    </row>
    <row r="1146" spans="2:3" x14ac:dyDescent="0.25">
      <c r="B1146" s="8"/>
      <c r="C1146" s="8"/>
    </row>
    <row r="1147" spans="2:3" x14ac:dyDescent="0.25">
      <c r="B1147" s="8"/>
      <c r="C1147" s="8"/>
    </row>
    <row r="1148" spans="2:3" x14ac:dyDescent="0.25">
      <c r="B1148" s="8"/>
      <c r="C1148" s="8"/>
    </row>
    <row r="1149" spans="2:3" x14ac:dyDescent="0.25">
      <c r="B1149" s="8"/>
      <c r="C1149" s="8"/>
    </row>
    <row r="1150" spans="2:3" x14ac:dyDescent="0.25">
      <c r="B1150" s="8"/>
      <c r="C1150" s="8"/>
    </row>
    <row r="1151" spans="2:3" x14ac:dyDescent="0.25">
      <c r="B1151" s="8"/>
      <c r="C1151" s="8"/>
    </row>
    <row r="1152" spans="2:3" x14ac:dyDescent="0.25">
      <c r="B1152" s="8"/>
      <c r="C1152" s="8"/>
    </row>
    <row r="1153" spans="2:3" x14ac:dyDescent="0.25">
      <c r="B1153" s="8"/>
      <c r="C1153" s="8"/>
    </row>
    <row r="1154" spans="2:3" x14ac:dyDescent="0.25">
      <c r="B1154" s="8"/>
      <c r="C1154" s="8"/>
    </row>
    <row r="1155" spans="2:3" x14ac:dyDescent="0.25">
      <c r="B1155" s="8"/>
      <c r="C1155" s="8"/>
    </row>
    <row r="1156" spans="2:3" x14ac:dyDescent="0.25">
      <c r="B1156" s="8"/>
      <c r="C1156" s="8"/>
    </row>
    <row r="1157" spans="2:3" x14ac:dyDescent="0.25">
      <c r="B1157" s="8"/>
      <c r="C1157" s="8"/>
    </row>
    <row r="1158" spans="2:3" x14ac:dyDescent="0.25">
      <c r="B1158" s="8"/>
      <c r="C1158" s="8"/>
    </row>
    <row r="1159" spans="2:3" x14ac:dyDescent="0.25">
      <c r="B1159" s="8"/>
      <c r="C1159" s="8"/>
    </row>
    <row r="1160" spans="2:3" x14ac:dyDescent="0.25">
      <c r="B1160" s="8"/>
      <c r="C1160" s="8"/>
    </row>
    <row r="1161" spans="2:3" x14ac:dyDescent="0.25">
      <c r="B1161" s="8"/>
      <c r="C1161" s="8"/>
    </row>
    <row r="1162" spans="2:3" x14ac:dyDescent="0.25">
      <c r="B1162" s="8"/>
      <c r="C1162" s="8"/>
    </row>
    <row r="1163" spans="2:3" x14ac:dyDescent="0.25">
      <c r="B1163" s="8"/>
      <c r="C1163" s="8"/>
    </row>
    <row r="1164" spans="2:3" x14ac:dyDescent="0.25">
      <c r="B1164" s="8"/>
      <c r="C1164" s="8"/>
    </row>
    <row r="1165" spans="2:3" x14ac:dyDescent="0.25">
      <c r="B1165" s="8"/>
      <c r="C1165" s="8"/>
    </row>
    <row r="1166" spans="2:3" x14ac:dyDescent="0.25">
      <c r="B1166" s="8"/>
      <c r="C1166" s="8"/>
    </row>
    <row r="1167" spans="2:3" x14ac:dyDescent="0.25">
      <c r="B1167" s="8"/>
      <c r="C1167" s="8"/>
    </row>
    <row r="1168" spans="2:3" x14ac:dyDescent="0.25">
      <c r="B1168" s="8"/>
      <c r="C1168" s="8"/>
    </row>
    <row r="1169" spans="2:3" x14ac:dyDescent="0.25">
      <c r="B1169" s="8"/>
      <c r="C1169" s="8"/>
    </row>
    <row r="1170" spans="2:3" x14ac:dyDescent="0.25">
      <c r="B1170" s="8"/>
      <c r="C1170" s="8"/>
    </row>
    <row r="1171" spans="2:3" x14ac:dyDescent="0.25">
      <c r="B1171" s="8"/>
      <c r="C1171" s="8"/>
    </row>
    <row r="1172" spans="2:3" x14ac:dyDescent="0.25">
      <c r="B1172" s="8"/>
      <c r="C1172" s="8"/>
    </row>
    <row r="1173" spans="2:3" x14ac:dyDescent="0.25">
      <c r="B1173" s="8"/>
      <c r="C1173" s="8"/>
    </row>
    <row r="1174" spans="2:3" x14ac:dyDescent="0.25">
      <c r="B1174" s="8"/>
      <c r="C1174" s="8"/>
    </row>
    <row r="1175" spans="2:3" x14ac:dyDescent="0.25">
      <c r="B1175" s="8"/>
      <c r="C1175" s="8"/>
    </row>
    <row r="1176" spans="2:3" x14ac:dyDescent="0.25">
      <c r="B1176" s="8"/>
      <c r="C1176" s="8"/>
    </row>
    <row r="1177" spans="2:3" x14ac:dyDescent="0.25">
      <c r="B1177" s="8"/>
      <c r="C1177" s="8"/>
    </row>
    <row r="1178" spans="2:3" x14ac:dyDescent="0.25">
      <c r="B1178" s="8"/>
      <c r="C1178" s="8"/>
    </row>
    <row r="1179" spans="2:3" x14ac:dyDescent="0.25">
      <c r="B1179" s="8"/>
      <c r="C1179" s="8"/>
    </row>
    <row r="1180" spans="2:3" x14ac:dyDescent="0.25">
      <c r="B1180" s="8"/>
      <c r="C1180" s="8"/>
    </row>
    <row r="1181" spans="2:3" x14ac:dyDescent="0.25">
      <c r="B1181" s="8"/>
      <c r="C1181" s="8"/>
    </row>
    <row r="1182" spans="2:3" x14ac:dyDescent="0.25">
      <c r="B1182" s="8"/>
      <c r="C1182" s="8"/>
    </row>
    <row r="1183" spans="2:3" x14ac:dyDescent="0.25">
      <c r="B1183" s="8"/>
      <c r="C1183" s="8"/>
    </row>
    <row r="1184" spans="2:3" x14ac:dyDescent="0.25">
      <c r="B1184" s="8"/>
      <c r="C1184" s="8"/>
    </row>
    <row r="1185" spans="2:3" x14ac:dyDescent="0.25">
      <c r="B1185" s="8"/>
      <c r="C1185" s="8"/>
    </row>
    <row r="1186" spans="2:3" x14ac:dyDescent="0.25">
      <c r="B1186" s="8"/>
      <c r="C1186" s="8"/>
    </row>
    <row r="1187" spans="2:3" x14ac:dyDescent="0.25">
      <c r="B1187" s="8"/>
      <c r="C1187" s="8"/>
    </row>
    <row r="1188" spans="2:3" x14ac:dyDescent="0.25">
      <c r="B1188" s="8"/>
      <c r="C1188" s="8"/>
    </row>
    <row r="1189" spans="2:3" x14ac:dyDescent="0.25">
      <c r="B1189" s="8"/>
      <c r="C1189" s="8"/>
    </row>
    <row r="1190" spans="2:3" x14ac:dyDescent="0.25">
      <c r="B1190" s="8"/>
      <c r="C1190" s="8"/>
    </row>
    <row r="1191" spans="2:3" x14ac:dyDescent="0.25">
      <c r="B1191" s="8"/>
      <c r="C1191" s="8"/>
    </row>
    <row r="1192" spans="2:3" x14ac:dyDescent="0.25">
      <c r="B1192" s="8"/>
      <c r="C1192" s="8"/>
    </row>
    <row r="1193" spans="2:3" x14ac:dyDescent="0.25">
      <c r="B1193" s="8"/>
      <c r="C1193" s="8"/>
    </row>
    <row r="1194" spans="2:3" x14ac:dyDescent="0.25">
      <c r="B1194" s="8"/>
      <c r="C1194" s="8"/>
    </row>
    <row r="1195" spans="2:3" x14ac:dyDescent="0.25">
      <c r="B1195" s="8"/>
      <c r="C1195" s="8"/>
    </row>
    <row r="1196" spans="2:3" x14ac:dyDescent="0.25">
      <c r="B1196" s="8"/>
      <c r="C1196" s="8"/>
    </row>
    <row r="1197" spans="2:3" x14ac:dyDescent="0.25">
      <c r="B1197" s="8"/>
      <c r="C1197" s="8"/>
    </row>
    <row r="1198" spans="2:3" x14ac:dyDescent="0.25">
      <c r="B1198" s="8"/>
      <c r="C1198" s="8"/>
    </row>
    <row r="1199" spans="2:3" x14ac:dyDescent="0.25">
      <c r="B1199" s="8"/>
      <c r="C1199" s="8"/>
    </row>
    <row r="1200" spans="2:3" x14ac:dyDescent="0.25">
      <c r="B1200" s="8"/>
      <c r="C1200" s="8"/>
    </row>
    <row r="1201" spans="2:3" x14ac:dyDescent="0.25">
      <c r="B1201" s="8"/>
      <c r="C1201" s="8"/>
    </row>
    <row r="1202" spans="2:3" x14ac:dyDescent="0.25">
      <c r="B1202" s="8"/>
      <c r="C1202" s="8"/>
    </row>
    <row r="1203" spans="2:3" x14ac:dyDescent="0.25">
      <c r="B1203" s="8"/>
      <c r="C1203" s="8"/>
    </row>
    <row r="1204" spans="2:3" x14ac:dyDescent="0.25">
      <c r="B1204" s="8"/>
      <c r="C1204" s="8"/>
    </row>
    <row r="1205" spans="2:3" x14ac:dyDescent="0.25">
      <c r="B1205" s="8"/>
      <c r="C1205" s="8"/>
    </row>
    <row r="1206" spans="2:3" x14ac:dyDescent="0.25">
      <c r="B1206" s="8"/>
      <c r="C1206" s="8"/>
    </row>
    <row r="1207" spans="2:3" x14ac:dyDescent="0.25">
      <c r="B1207" s="8"/>
      <c r="C1207" s="8"/>
    </row>
    <row r="1208" spans="2:3" x14ac:dyDescent="0.25">
      <c r="B1208" s="8"/>
      <c r="C1208" s="8"/>
    </row>
    <row r="1209" spans="2:3" x14ac:dyDescent="0.25">
      <c r="B1209" s="8"/>
      <c r="C1209" s="8"/>
    </row>
    <row r="1210" spans="2:3" x14ac:dyDescent="0.25">
      <c r="B1210" s="8"/>
      <c r="C1210" s="8"/>
    </row>
    <row r="1211" spans="2:3" x14ac:dyDescent="0.25">
      <c r="B1211" s="8"/>
      <c r="C1211" s="8"/>
    </row>
    <row r="1212" spans="2:3" x14ac:dyDescent="0.25">
      <c r="B1212" s="8"/>
      <c r="C1212" s="8"/>
    </row>
    <row r="1213" spans="2:3" x14ac:dyDescent="0.25">
      <c r="B1213" s="8"/>
      <c r="C1213" s="8"/>
    </row>
    <row r="1214" spans="2:3" x14ac:dyDescent="0.25">
      <c r="B1214" s="8"/>
      <c r="C1214" s="8"/>
    </row>
    <row r="1215" spans="2:3" x14ac:dyDescent="0.25">
      <c r="B1215" s="8"/>
      <c r="C1215" s="8"/>
    </row>
    <row r="1216" spans="2:3" x14ac:dyDescent="0.25">
      <c r="B1216" s="8"/>
      <c r="C1216" s="8"/>
    </row>
    <row r="1217" spans="2:3" x14ac:dyDescent="0.25">
      <c r="B1217" s="8"/>
      <c r="C1217" s="8"/>
    </row>
    <row r="1218" spans="2:3" x14ac:dyDescent="0.25">
      <c r="B1218" s="8"/>
      <c r="C1218" s="8"/>
    </row>
    <row r="1219" spans="2:3" x14ac:dyDescent="0.25">
      <c r="B1219" s="8"/>
      <c r="C1219" s="8"/>
    </row>
    <row r="1220" spans="2:3" x14ac:dyDescent="0.25">
      <c r="B1220" s="8"/>
      <c r="C1220" s="8"/>
    </row>
    <row r="1221" spans="2:3" x14ac:dyDescent="0.25">
      <c r="B1221" s="8"/>
      <c r="C1221" s="8"/>
    </row>
    <row r="1222" spans="2:3" x14ac:dyDescent="0.25">
      <c r="B1222" s="8"/>
      <c r="C1222" s="8"/>
    </row>
    <row r="1223" spans="2:3" x14ac:dyDescent="0.25">
      <c r="B1223" s="8"/>
      <c r="C1223" s="8"/>
    </row>
    <row r="1224" spans="2:3" x14ac:dyDescent="0.25">
      <c r="B1224" s="8"/>
      <c r="C1224" s="8"/>
    </row>
    <row r="1225" spans="2:3" x14ac:dyDescent="0.25">
      <c r="B1225" s="8"/>
      <c r="C1225" s="8"/>
    </row>
    <row r="1226" spans="2:3" x14ac:dyDescent="0.25">
      <c r="B1226" s="8"/>
      <c r="C1226" s="8"/>
    </row>
    <row r="1227" spans="2:3" x14ac:dyDescent="0.25">
      <c r="B1227" s="8"/>
      <c r="C1227" s="8"/>
    </row>
    <row r="1228" spans="2:3" x14ac:dyDescent="0.25">
      <c r="B1228" s="8"/>
      <c r="C1228" s="8"/>
    </row>
    <row r="1229" spans="2:3" x14ac:dyDescent="0.25">
      <c r="B1229" s="8"/>
      <c r="C1229" s="8"/>
    </row>
    <row r="1230" spans="2:3" x14ac:dyDescent="0.25">
      <c r="B1230" s="8"/>
      <c r="C1230" s="8"/>
    </row>
    <row r="1231" spans="2:3" x14ac:dyDescent="0.25">
      <c r="B1231" s="8"/>
      <c r="C1231" s="8"/>
    </row>
    <row r="1232" spans="2:3" x14ac:dyDescent="0.25">
      <c r="B1232" s="8"/>
      <c r="C1232" s="8"/>
    </row>
    <row r="1233" spans="2:3" x14ac:dyDescent="0.25">
      <c r="B1233" s="8"/>
      <c r="C1233" s="8"/>
    </row>
    <row r="1234" spans="2:3" x14ac:dyDescent="0.25">
      <c r="B1234" s="8"/>
      <c r="C1234" s="8"/>
    </row>
    <row r="1235" spans="2:3" x14ac:dyDescent="0.25">
      <c r="B1235" s="8"/>
      <c r="C1235" s="8"/>
    </row>
    <row r="1236" spans="2:3" x14ac:dyDescent="0.25">
      <c r="B1236" s="8"/>
      <c r="C1236" s="8"/>
    </row>
    <row r="1237" spans="2:3" x14ac:dyDescent="0.25">
      <c r="B1237" s="8"/>
      <c r="C1237" s="8"/>
    </row>
    <row r="1238" spans="2:3" x14ac:dyDescent="0.25">
      <c r="B1238" s="8"/>
      <c r="C1238" s="8"/>
    </row>
    <row r="1239" spans="2:3" x14ac:dyDescent="0.25">
      <c r="B1239" s="8"/>
      <c r="C1239" s="8"/>
    </row>
    <row r="1240" spans="2:3" x14ac:dyDescent="0.25">
      <c r="B1240" s="8"/>
      <c r="C1240" s="8"/>
    </row>
    <row r="1241" spans="2:3" x14ac:dyDescent="0.25">
      <c r="B1241" s="8"/>
      <c r="C1241" s="8"/>
    </row>
    <row r="1242" spans="2:3" x14ac:dyDescent="0.25">
      <c r="B1242" s="8"/>
      <c r="C1242" s="8"/>
    </row>
    <row r="1243" spans="2:3" x14ac:dyDescent="0.25">
      <c r="B1243" s="8"/>
      <c r="C1243" s="8"/>
    </row>
    <row r="1244" spans="2:3" x14ac:dyDescent="0.25">
      <c r="B1244" s="8"/>
      <c r="C1244" s="8"/>
    </row>
    <row r="1245" spans="2:3" x14ac:dyDescent="0.25">
      <c r="B1245" s="8"/>
      <c r="C1245" s="8"/>
    </row>
    <row r="1246" spans="2:3" x14ac:dyDescent="0.25">
      <c r="B1246" s="8"/>
      <c r="C1246" s="8"/>
    </row>
    <row r="1247" spans="2:3" x14ac:dyDescent="0.25">
      <c r="B1247" s="8"/>
      <c r="C1247" s="8"/>
    </row>
    <row r="1248" spans="2:3" x14ac:dyDescent="0.25">
      <c r="B1248" s="8"/>
      <c r="C1248" s="8"/>
    </row>
    <row r="1249" spans="2:3" x14ac:dyDescent="0.25">
      <c r="B1249" s="8"/>
      <c r="C1249" s="8"/>
    </row>
    <row r="1250" spans="2:3" x14ac:dyDescent="0.25">
      <c r="B1250" s="8"/>
      <c r="C1250" s="8"/>
    </row>
    <row r="1251" spans="2:3" x14ac:dyDescent="0.25">
      <c r="B1251" s="8"/>
      <c r="C1251" s="8"/>
    </row>
    <row r="1252" spans="2:3" x14ac:dyDescent="0.25">
      <c r="B1252" s="8"/>
      <c r="C1252" s="8"/>
    </row>
    <row r="1253" spans="2:3" x14ac:dyDescent="0.25">
      <c r="B1253" s="8"/>
      <c r="C1253" s="8"/>
    </row>
    <row r="1254" spans="2:3" x14ac:dyDescent="0.25">
      <c r="B1254" s="8"/>
      <c r="C1254" s="8"/>
    </row>
    <row r="1255" spans="2:3" x14ac:dyDescent="0.25">
      <c r="B1255" s="8"/>
      <c r="C1255" s="8"/>
    </row>
    <row r="1256" spans="2:3" x14ac:dyDescent="0.25">
      <c r="B1256" s="8"/>
      <c r="C1256" s="8"/>
    </row>
    <row r="1257" spans="2:3" x14ac:dyDescent="0.25">
      <c r="B1257" s="8"/>
      <c r="C1257" s="8"/>
    </row>
    <row r="1258" spans="2:3" x14ac:dyDescent="0.25">
      <c r="B1258" s="8"/>
      <c r="C1258" s="8"/>
    </row>
    <row r="1259" spans="2:3" x14ac:dyDescent="0.25">
      <c r="B1259" s="8"/>
      <c r="C1259" s="8"/>
    </row>
    <row r="1260" spans="2:3" x14ac:dyDescent="0.25">
      <c r="B1260" s="8"/>
      <c r="C1260" s="8"/>
    </row>
    <row r="1261" spans="2:3" x14ac:dyDescent="0.25">
      <c r="B1261" s="8"/>
      <c r="C1261" s="8"/>
    </row>
    <row r="1262" spans="2:3" x14ac:dyDescent="0.25">
      <c r="B1262" s="8"/>
      <c r="C1262" s="8"/>
    </row>
    <row r="1263" spans="2:3" x14ac:dyDescent="0.25">
      <c r="B1263" s="8"/>
      <c r="C1263" s="8"/>
    </row>
    <row r="1264" spans="2:3" x14ac:dyDescent="0.25">
      <c r="B1264" s="8"/>
      <c r="C1264" s="8"/>
    </row>
    <row r="1265" spans="2:3" x14ac:dyDescent="0.25">
      <c r="B1265" s="8"/>
      <c r="C1265" s="8"/>
    </row>
    <row r="1266" spans="2:3" x14ac:dyDescent="0.25">
      <c r="B1266" s="8"/>
      <c r="C1266" s="8"/>
    </row>
    <row r="1267" spans="2:3" x14ac:dyDescent="0.25">
      <c r="B1267" s="8"/>
      <c r="C1267" s="8"/>
    </row>
    <row r="1268" spans="2:3" x14ac:dyDescent="0.25">
      <c r="B1268" s="8"/>
      <c r="C1268" s="8"/>
    </row>
    <row r="1269" spans="2:3" x14ac:dyDescent="0.25">
      <c r="B1269" s="8"/>
      <c r="C1269" s="8"/>
    </row>
    <row r="1270" spans="2:3" x14ac:dyDescent="0.25">
      <c r="B1270" s="8"/>
      <c r="C1270" s="8"/>
    </row>
    <row r="1271" spans="2:3" x14ac:dyDescent="0.25">
      <c r="B1271" s="8"/>
      <c r="C1271" s="8"/>
    </row>
    <row r="1272" spans="2:3" x14ac:dyDescent="0.25">
      <c r="B1272" s="8"/>
      <c r="C1272" s="8"/>
    </row>
    <row r="1273" spans="2:3" x14ac:dyDescent="0.25">
      <c r="B1273" s="8"/>
      <c r="C1273" s="8"/>
    </row>
    <row r="1274" spans="2:3" x14ac:dyDescent="0.25">
      <c r="B1274" s="8"/>
      <c r="C1274" s="8"/>
    </row>
    <row r="1275" spans="2:3" x14ac:dyDescent="0.25">
      <c r="B1275" s="8"/>
      <c r="C1275" s="8"/>
    </row>
    <row r="1276" spans="2:3" x14ac:dyDescent="0.25">
      <c r="B1276" s="8"/>
      <c r="C1276" s="8"/>
    </row>
    <row r="1277" spans="2:3" x14ac:dyDescent="0.25">
      <c r="B1277" s="8"/>
      <c r="C1277" s="8"/>
    </row>
    <row r="1278" spans="2:3" x14ac:dyDescent="0.25">
      <c r="B1278" s="8"/>
      <c r="C1278" s="8"/>
    </row>
    <row r="1279" spans="2:3" x14ac:dyDescent="0.25">
      <c r="B1279" s="8"/>
      <c r="C1279" s="8"/>
    </row>
    <row r="1280" spans="2:3" x14ac:dyDescent="0.25">
      <c r="B1280" s="8"/>
      <c r="C1280" s="8"/>
    </row>
    <row r="1281" spans="2:3" x14ac:dyDescent="0.25">
      <c r="B1281" s="8"/>
      <c r="C1281" s="8"/>
    </row>
    <row r="1282" spans="2:3" x14ac:dyDescent="0.25">
      <c r="B1282" s="8"/>
      <c r="C1282" s="8"/>
    </row>
    <row r="1283" spans="2:3" x14ac:dyDescent="0.25">
      <c r="B1283" s="8"/>
      <c r="C1283" s="8"/>
    </row>
    <row r="1284" spans="2:3" x14ac:dyDescent="0.25">
      <c r="B1284" s="8"/>
      <c r="C1284" s="8"/>
    </row>
    <row r="1285" spans="2:3" x14ac:dyDescent="0.25">
      <c r="B1285" s="8"/>
      <c r="C1285" s="8"/>
    </row>
    <row r="1286" spans="2:3" x14ac:dyDescent="0.25">
      <c r="B1286" s="8"/>
      <c r="C1286" s="8"/>
    </row>
    <row r="1287" spans="2:3" x14ac:dyDescent="0.25">
      <c r="B1287" s="8"/>
      <c r="C1287" s="8"/>
    </row>
    <row r="1288" spans="2:3" x14ac:dyDescent="0.25">
      <c r="B1288" s="8"/>
      <c r="C1288" s="8"/>
    </row>
    <row r="1289" spans="2:3" x14ac:dyDescent="0.25">
      <c r="B1289" s="8"/>
      <c r="C1289" s="8"/>
    </row>
    <row r="1290" spans="2:3" x14ac:dyDescent="0.25">
      <c r="B1290" s="8"/>
      <c r="C1290" s="8"/>
    </row>
    <row r="1291" spans="2:3" x14ac:dyDescent="0.25">
      <c r="B1291" s="8"/>
      <c r="C1291" s="8"/>
    </row>
    <row r="1292" spans="2:3" x14ac:dyDescent="0.25">
      <c r="B1292" s="8"/>
      <c r="C1292" s="8"/>
    </row>
    <row r="1293" spans="2:3" x14ac:dyDescent="0.25">
      <c r="B1293" s="8"/>
      <c r="C1293" s="8"/>
    </row>
    <row r="1294" spans="2:3" x14ac:dyDescent="0.25">
      <c r="B1294" s="8"/>
      <c r="C1294" s="8"/>
    </row>
    <row r="1295" spans="2:3" x14ac:dyDescent="0.25">
      <c r="B1295" s="8"/>
      <c r="C1295" s="8"/>
    </row>
    <row r="1296" spans="2:3" x14ac:dyDescent="0.25">
      <c r="B1296" s="8"/>
      <c r="C1296" s="8"/>
    </row>
    <row r="1297" spans="2:3" x14ac:dyDescent="0.25">
      <c r="B1297" s="8"/>
      <c r="C1297" s="8"/>
    </row>
    <row r="1298" spans="2:3" x14ac:dyDescent="0.25">
      <c r="B1298" s="8"/>
      <c r="C1298" s="8"/>
    </row>
    <row r="1299" spans="2:3" x14ac:dyDescent="0.25">
      <c r="B1299" s="8"/>
      <c r="C1299" s="8"/>
    </row>
    <row r="1300" spans="2:3" x14ac:dyDescent="0.25">
      <c r="B1300" s="8"/>
      <c r="C1300" s="8"/>
    </row>
    <row r="1301" spans="2:3" x14ac:dyDescent="0.25">
      <c r="B1301" s="8"/>
      <c r="C1301" s="8"/>
    </row>
    <row r="1302" spans="2:3" x14ac:dyDescent="0.25">
      <c r="B1302" s="8"/>
      <c r="C1302" s="8"/>
    </row>
    <row r="1303" spans="2:3" x14ac:dyDescent="0.25">
      <c r="B1303" s="8"/>
      <c r="C1303" s="8"/>
    </row>
    <row r="1304" spans="2:3" x14ac:dyDescent="0.25">
      <c r="B1304" s="8"/>
      <c r="C1304" s="8"/>
    </row>
    <row r="1305" spans="2:3" x14ac:dyDescent="0.25">
      <c r="B1305" s="8"/>
      <c r="C1305" s="8"/>
    </row>
  </sheetData>
  <protectedRanges>
    <protectedRange sqref="B372" name="Rango1_1_2"/>
    <protectedRange sqref="B373" name="Rango1_1_2_1"/>
    <protectedRange sqref="B375" name="Rango1_2"/>
    <protectedRange sqref="B376" name="Rango1_2_1"/>
    <protectedRange sqref="B377" name="Rango1_2_2"/>
    <protectedRange sqref="B378" name="Rango1_2_3"/>
    <protectedRange sqref="B380" name="Rango1_2_4"/>
    <protectedRange sqref="B382" name="Rango1_2_5"/>
    <protectedRange sqref="B383" name="Rango1_2_6"/>
    <protectedRange sqref="B387" name="Rango1_1_1_1_1"/>
    <protectedRange sqref="B388" name="Rango1_1_1_1_2"/>
    <protectedRange sqref="B400" name="Rango1_3_1"/>
    <protectedRange sqref="B415" name="Rango1_9"/>
    <protectedRange sqref="B416" name="Rango1_10"/>
    <protectedRange sqref="B417" name="Rango1_11"/>
    <protectedRange sqref="B418" name="Rango1_12"/>
    <protectedRange sqref="B419" name="Rango1_13"/>
    <protectedRange sqref="B420" name="Rango1_14"/>
    <protectedRange sqref="B421" name="Rango1_15"/>
    <protectedRange sqref="B422" name="Rango1_16"/>
    <protectedRange sqref="B423" name="Rango1_17"/>
    <protectedRange sqref="B424" name="Rango1_18"/>
    <protectedRange sqref="B425" name="Rango1_19"/>
    <protectedRange sqref="B426" name="Rango1_20"/>
    <protectedRange sqref="B427:B428" name="Rango1_21"/>
    <protectedRange sqref="B435" name="Rango1_1_4"/>
    <protectedRange sqref="B436" name="Rango1_1_5"/>
    <protectedRange sqref="B437" name="Rango1_1_6"/>
    <protectedRange sqref="B438" name="Rango1_1_7"/>
    <protectedRange sqref="B439" name="Rango1_1_8"/>
    <protectedRange sqref="B440" name="Rango1_1_9"/>
    <protectedRange sqref="B453:B454" name="Rango1_22"/>
    <protectedRange sqref="B455" name="Rango1_23"/>
    <protectedRange sqref="B456" name="Rango1_24"/>
    <protectedRange sqref="B457" name="Rango1_25"/>
    <protectedRange sqref="B458" name="Rango1_26"/>
    <protectedRange sqref="B459" name="Rango1_1"/>
    <protectedRange sqref="B460" name="Rango1_35"/>
    <protectedRange sqref="B461" name="Rango1_27"/>
    <protectedRange sqref="B462" name="Rango1_28"/>
    <protectedRange sqref="B463" name="Rango1_29"/>
    <protectedRange sqref="B464" name="Rango1_30"/>
    <protectedRange sqref="B465" name="Rango1_31"/>
    <protectedRange sqref="B466" name="Rango1_32"/>
    <protectedRange sqref="B467" name="Rango1_33"/>
    <protectedRange sqref="B468" name="Rango1_34"/>
    <protectedRange sqref="B470" name="Rango1_1_10"/>
    <protectedRange sqref="B471" name="Rango1_1_11"/>
    <protectedRange sqref="B472" name="Rango1_1_12"/>
    <protectedRange sqref="B473" name="Rango1_1_13"/>
    <protectedRange sqref="B474" name="Rango1_1_14"/>
    <protectedRange sqref="B475" name="Rango3_6_1_1"/>
    <protectedRange sqref="B476" name="Rango3_6_9"/>
    <protectedRange sqref="B487" name="Rango1_1_1"/>
    <protectedRange sqref="B488" name="Rango3_6"/>
    <protectedRange sqref="B489" name="Rango3_1_2"/>
    <protectedRange sqref="B501" name="Rango3_4"/>
    <protectedRange sqref="B502" name="Rango3_5"/>
    <protectedRange sqref="B509" name="Rango3_2_2"/>
    <protectedRange sqref="B510" name="Rango3_2_2_1"/>
    <protectedRange sqref="B511:B512" name="Rango3_2_2_2"/>
    <protectedRange sqref="B513" name="Rango3_2_2_3"/>
    <protectedRange sqref="B514" name="Rango3_2_2_4"/>
    <protectedRange sqref="B515" name="Rango3_2_2_5"/>
    <protectedRange sqref="B516" name="Rango3_2_2_6"/>
    <protectedRange sqref="B525" name="Rango3_3"/>
    <protectedRange sqref="B543" name="Rango3_3_7_2_1"/>
    <protectedRange sqref="B544" name="Rango3_3_5_2_2"/>
    <protectedRange sqref="B558" name="Rango3_1_1_1"/>
    <protectedRange sqref="B559" name="Rango3_1_4"/>
    <protectedRange sqref="B564:B565" name="Rango3_6_1"/>
    <protectedRange sqref="B566" name="Rango3_6_2"/>
    <protectedRange sqref="B567" name="Rango3_6_3"/>
    <protectedRange sqref="B568" name="Rango3_6_4"/>
    <protectedRange sqref="B569" name="Rango3_6_5"/>
    <protectedRange sqref="B570" name="Rango3_6_6"/>
    <protectedRange sqref="B571" name="Rango3_6_7"/>
    <protectedRange sqref="B572:B574" name="Rango3_6_8"/>
    <protectedRange sqref="B686" name="Rango1_4"/>
    <protectedRange sqref="B692" name="Rango1_1_1_1"/>
    <protectedRange sqref="B694" name="Rango3_6_4_1"/>
  </protectedRanges>
  <conditionalFormatting sqref="B368:C368">
    <cfRule type="expression" dxfId="38" priority="8">
      <formula>#REF!=1</formula>
    </cfRule>
  </conditionalFormatting>
  <conditionalFormatting sqref="B369:B374">
    <cfRule type="expression" dxfId="37" priority="7">
      <formula>$D369=1</formula>
    </cfRule>
  </conditionalFormatting>
  <conditionalFormatting sqref="B385:B386">
    <cfRule type="expression" dxfId="36" priority="6">
      <formula>$D386=1</formula>
    </cfRule>
  </conditionalFormatting>
  <conditionalFormatting sqref="B387:B389">
    <cfRule type="expression" dxfId="35" priority="5">
      <formula>$D390=1</formula>
    </cfRule>
  </conditionalFormatting>
  <conditionalFormatting sqref="B390:C390">
    <cfRule type="expression" dxfId="34" priority="4">
      <formula>$D391=1</formula>
    </cfRule>
  </conditionalFormatting>
  <conditionalFormatting sqref="C369:C374">
    <cfRule type="expression" dxfId="33" priority="3">
      <formula>$D369=1</formula>
    </cfRule>
  </conditionalFormatting>
  <conditionalFormatting sqref="C385:C386">
    <cfRule type="expression" dxfId="32" priority="2">
      <formula>$D386=1</formula>
    </cfRule>
  </conditionalFormatting>
  <conditionalFormatting sqref="C387:C389">
    <cfRule type="expression" dxfId="31" priority="1">
      <formula>$D390=1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D01E2-4B43-4963-8149-696A9D79917C}">
  <sheetPr codeName="Hoja8"/>
  <dimension ref="B2:J608"/>
  <sheetViews>
    <sheetView topLeftCell="A554" workbookViewId="0">
      <selection activeCell="J9" sqref="J9:J608"/>
    </sheetView>
  </sheetViews>
  <sheetFormatPr baseColWidth="10" defaultRowHeight="15" x14ac:dyDescent="0.25"/>
  <cols>
    <col min="4" max="4" width="13" bestFit="1" customWidth="1"/>
    <col min="10" max="10" width="10" bestFit="1" customWidth="1"/>
  </cols>
  <sheetData>
    <row r="2" spans="2:10" x14ac:dyDescent="0.25">
      <c r="B2">
        <v>209390450</v>
      </c>
      <c r="E2" t="s">
        <v>3636</v>
      </c>
    </row>
    <row r="3" spans="2:10" x14ac:dyDescent="0.25">
      <c r="B3">
        <v>209550492</v>
      </c>
    </row>
    <row r="4" spans="2:10" x14ac:dyDescent="0.25">
      <c r="B4">
        <v>209550279</v>
      </c>
      <c r="E4" t="s">
        <v>3637</v>
      </c>
    </row>
    <row r="5" spans="2:10" x14ac:dyDescent="0.25">
      <c r="B5">
        <v>209600349</v>
      </c>
    </row>
    <row r="6" spans="2:10" x14ac:dyDescent="0.25">
      <c r="B6">
        <v>209560246</v>
      </c>
      <c r="D6" t="s">
        <v>18</v>
      </c>
    </row>
    <row r="7" spans="2:10" x14ac:dyDescent="0.25">
      <c r="B7">
        <v>209580707</v>
      </c>
      <c r="F7" s="71" t="s">
        <v>3638</v>
      </c>
      <c r="G7" s="71"/>
      <c r="H7" s="71" t="s">
        <v>3639</v>
      </c>
      <c r="J7" s="71" t="s">
        <v>2367</v>
      </c>
    </row>
    <row r="9" spans="2:10" x14ac:dyDescent="0.25">
      <c r="D9" s="72">
        <v>209390450</v>
      </c>
      <c r="F9" s="35">
        <f>IFERROR(MATCH(D9,Catalogo!$C$4:$C$1299,0),0)</f>
        <v>1</v>
      </c>
      <c r="H9" s="35">
        <f>IF(F9&gt;0,F9,MATCH(D9,Catalogo!$D$4:$D$1299,0))</f>
        <v>1</v>
      </c>
      <c r="J9" s="35">
        <f>INDEX(Catalogo!$C$4:$C$1499,H9)</f>
        <v>209390450</v>
      </c>
    </row>
    <row r="10" spans="2:10" x14ac:dyDescent="0.25">
      <c r="D10" s="72">
        <v>209550492</v>
      </c>
      <c r="F10" s="35">
        <f>IFERROR(MATCH(D10,Catalogo!$C$4:$C$1299,0),0)</f>
        <v>0</v>
      </c>
      <c r="H10" s="35" t="e">
        <f>IF(F10&gt;0,F10,MATCH(D10,Catalogo!$D$4:$D$1299,0))</f>
        <v>#N/A</v>
      </c>
      <c r="J10" s="35" t="e">
        <f>INDEX(Catalogo!$C$4:$C$1499,H10)</f>
        <v>#N/A</v>
      </c>
    </row>
    <row r="11" spans="2:10" x14ac:dyDescent="0.25">
      <c r="D11" s="72">
        <v>209550279</v>
      </c>
      <c r="F11" s="35">
        <f>IFERROR(MATCH(D11,Catalogo!$C$4:$C$1299,0),0)</f>
        <v>0</v>
      </c>
      <c r="H11" s="35" t="e">
        <f>IF(F11&gt;0,F11,MATCH(D11,Catalogo!$D$4:$D$1299,0))</f>
        <v>#N/A</v>
      </c>
      <c r="J11" s="35" t="e">
        <f>INDEX(Catalogo!$C$4:$C$1499,H11)</f>
        <v>#N/A</v>
      </c>
    </row>
    <row r="12" spans="2:10" x14ac:dyDescent="0.25">
      <c r="D12" s="72">
        <v>209600349</v>
      </c>
      <c r="F12" s="35">
        <f>IFERROR(MATCH(D12,Catalogo!$C$4:$C$1299,0),0)</f>
        <v>0</v>
      </c>
      <c r="H12" s="35" t="e">
        <f>IF(F12&gt;0,F12,MATCH(D12,Catalogo!$D$4:$D$1299,0))</f>
        <v>#N/A</v>
      </c>
      <c r="J12" s="35" t="e">
        <f>INDEX(Catalogo!$C$4:$C$1499,H12)</f>
        <v>#N/A</v>
      </c>
    </row>
    <row r="13" spans="2:10" x14ac:dyDescent="0.25">
      <c r="D13" s="72">
        <v>209560246</v>
      </c>
      <c r="F13" s="35">
        <f>IFERROR(MATCH(D13,Catalogo!$C$4:$C$1299,0),0)</f>
        <v>0</v>
      </c>
      <c r="H13" s="35" t="e">
        <f>IF(F13&gt;0,F13,MATCH(D13,Catalogo!$D$4:$D$1299,0))</f>
        <v>#N/A</v>
      </c>
      <c r="J13" s="35" t="e">
        <f>INDEX(Catalogo!$C$4:$C$1499,H13)</f>
        <v>#N/A</v>
      </c>
    </row>
    <row r="14" spans="2:10" x14ac:dyDescent="0.25">
      <c r="D14" s="72">
        <v>209580707</v>
      </c>
      <c r="F14" s="35">
        <f>IFERROR(MATCH(D14,Catalogo!$C$4:$C$1299,0),0)</f>
        <v>0</v>
      </c>
      <c r="H14" s="35" t="e">
        <f>IF(F14&gt;0,F14,MATCH(D14,Catalogo!$D$4:$D$1299,0))</f>
        <v>#N/A</v>
      </c>
      <c r="J14" s="35" t="e">
        <f>INDEX(Catalogo!$C$4:$C$1499,H14)</f>
        <v>#N/A</v>
      </c>
    </row>
    <row r="15" spans="2:10" x14ac:dyDescent="0.25">
      <c r="D15" s="72">
        <v>403000904</v>
      </c>
      <c r="F15" s="35">
        <f>IFERROR(MATCH(D15,Catalogo!$C$4:$C$1299,0),0)</f>
        <v>0</v>
      </c>
      <c r="H15" s="35" t="e">
        <f>IF(F15&gt;0,F15,MATCH(D15,Catalogo!$D$4:$D$1299,0))</f>
        <v>#N/A</v>
      </c>
      <c r="J15" s="35" t="e">
        <f>INDEX(Catalogo!$C$4:$C$1499,H15)</f>
        <v>#N/A</v>
      </c>
    </row>
    <row r="16" spans="2:10" x14ac:dyDescent="0.25">
      <c r="D16" s="72" t="s">
        <v>2168</v>
      </c>
      <c r="F16" s="35">
        <f>IFERROR(MATCH(D16,Catalogo!$C$4:$C$1299,0),0)</f>
        <v>0</v>
      </c>
      <c r="H16" s="35" t="e">
        <f>IF(F16&gt;0,F16,MATCH(D16,Catalogo!$D$4:$D$1299,0))</f>
        <v>#N/A</v>
      </c>
      <c r="J16" s="35" t="e">
        <f>INDEX(Catalogo!$C$4:$C$1499,H16)</f>
        <v>#N/A</v>
      </c>
    </row>
    <row r="17" spans="4:10" x14ac:dyDescent="0.25">
      <c r="D17" s="72">
        <v>121460453</v>
      </c>
      <c r="F17" s="35">
        <f>IFERROR(MATCH(D17,Catalogo!$C$4:$C$1299,0),0)</f>
        <v>0</v>
      </c>
      <c r="H17" s="35" t="e">
        <f>IF(F17&gt;0,F17,MATCH(D17,Catalogo!$D$4:$D$1299,0))</f>
        <v>#N/A</v>
      </c>
      <c r="J17" s="35" t="e">
        <f>INDEX(Catalogo!$C$4:$C$1499,H17)</f>
        <v>#N/A</v>
      </c>
    </row>
    <row r="18" spans="4:10" x14ac:dyDescent="0.25">
      <c r="D18" s="72">
        <v>209640362</v>
      </c>
      <c r="F18" s="35">
        <f>IFERROR(MATCH(D18,Catalogo!$C$4:$C$1299,0),0)</f>
        <v>0</v>
      </c>
      <c r="H18" s="35" t="e">
        <f>IF(F18&gt;0,F18,MATCH(D18,Catalogo!$D$4:$D$1299,0))</f>
        <v>#N/A</v>
      </c>
      <c r="J18" s="35" t="e">
        <f>INDEX(Catalogo!$C$4:$C$1499,H18)</f>
        <v>#N/A</v>
      </c>
    </row>
    <row r="19" spans="4:10" x14ac:dyDescent="0.25">
      <c r="D19" s="73">
        <v>703530923</v>
      </c>
      <c r="F19" s="35">
        <f>IFERROR(MATCH(D19,Catalogo!$C$4:$C$1299,0),0)</f>
        <v>0</v>
      </c>
      <c r="H19" s="35" t="e">
        <f>IF(F19&gt;0,F19,MATCH(D19,Catalogo!$D$4:$D$1299,0))</f>
        <v>#N/A</v>
      </c>
      <c r="J19" s="35" t="e">
        <f>INDEX(Catalogo!$C$4:$C$1499,H19)</f>
        <v>#N/A</v>
      </c>
    </row>
    <row r="20" spans="4:10" x14ac:dyDescent="0.25">
      <c r="D20" s="74">
        <v>209120657</v>
      </c>
      <c r="F20" s="35">
        <f>IFERROR(MATCH(D20,Catalogo!$C$4:$C$1299,0),0)</f>
        <v>0</v>
      </c>
      <c r="H20" s="35" t="e">
        <f>IF(F20&gt;0,F20,MATCH(D20,Catalogo!$D$4:$D$1299,0))</f>
        <v>#N/A</v>
      </c>
      <c r="J20" s="35" t="e">
        <f>INDEX(Catalogo!$C$4:$C$1499,H20)</f>
        <v>#N/A</v>
      </c>
    </row>
    <row r="21" spans="4:10" x14ac:dyDescent="0.25">
      <c r="D21" s="72">
        <v>403000450</v>
      </c>
      <c r="F21" s="35">
        <f>IFERROR(MATCH(D21,Catalogo!$C$4:$C$1299,0),0)</f>
        <v>0</v>
      </c>
      <c r="H21" s="35" t="e">
        <f>IF(F21&gt;0,F21,MATCH(D21,Catalogo!$D$4:$D$1299,0))</f>
        <v>#N/A</v>
      </c>
      <c r="J21" s="35" t="e">
        <f>INDEX(Catalogo!$C$4:$C$1499,H21)</f>
        <v>#N/A</v>
      </c>
    </row>
    <row r="22" spans="4:10" x14ac:dyDescent="0.25">
      <c r="D22" s="72">
        <v>209560133</v>
      </c>
      <c r="F22" s="35">
        <f>IFERROR(MATCH(D22,Catalogo!$C$4:$C$1299,0),0)</f>
        <v>0</v>
      </c>
      <c r="H22" s="35" t="e">
        <f>IF(F22&gt;0,F22,MATCH(D22,Catalogo!$D$4:$D$1299,0))</f>
        <v>#N/A</v>
      </c>
      <c r="J22" s="35" t="e">
        <f>INDEX(Catalogo!$C$4:$C$1499,H22)</f>
        <v>#N/A</v>
      </c>
    </row>
    <row r="23" spans="4:10" x14ac:dyDescent="0.25">
      <c r="D23" s="72">
        <v>121490467</v>
      </c>
      <c r="F23" s="35">
        <f>IFERROR(MATCH(D23,Catalogo!$C$4:$C$1299,0),0)</f>
        <v>0</v>
      </c>
      <c r="H23" s="35" t="e">
        <f>IF(F23&gt;0,F23,MATCH(D23,Catalogo!$D$4:$D$1299,0))</f>
        <v>#N/A</v>
      </c>
      <c r="J23" s="35" t="e">
        <f>INDEX(Catalogo!$C$4:$C$1499,H23)</f>
        <v>#N/A</v>
      </c>
    </row>
    <row r="24" spans="4:10" x14ac:dyDescent="0.25">
      <c r="D24" s="72">
        <v>209640358</v>
      </c>
      <c r="F24" s="35">
        <f>IFERROR(MATCH(D24,Catalogo!$C$4:$C$1299,0),0)</f>
        <v>0</v>
      </c>
      <c r="H24" s="35" t="e">
        <f>IF(F24&gt;0,F24,MATCH(D24,Catalogo!$D$4:$D$1299,0))</f>
        <v>#N/A</v>
      </c>
      <c r="J24" s="35" t="e">
        <f>INDEX(Catalogo!$C$4:$C$1499,H24)</f>
        <v>#N/A</v>
      </c>
    </row>
    <row r="25" spans="4:10" x14ac:dyDescent="0.25">
      <c r="D25" s="74">
        <v>121080989</v>
      </c>
      <c r="F25" s="35">
        <f>IFERROR(MATCH(D25,Catalogo!$C$4:$C$1299,0),0)</f>
        <v>0</v>
      </c>
      <c r="H25" s="35" t="e">
        <f>IF(F25&gt;0,F25,MATCH(D25,Catalogo!$D$4:$D$1299,0))</f>
        <v>#N/A</v>
      </c>
      <c r="J25" s="35" t="e">
        <f>INDEX(Catalogo!$C$4:$C$1499,H25)</f>
        <v>#N/A</v>
      </c>
    </row>
    <row r="26" spans="4:10" x14ac:dyDescent="0.25">
      <c r="D26" s="72">
        <v>209620397</v>
      </c>
      <c r="F26" s="35">
        <f>IFERROR(MATCH(D26,Catalogo!$C$4:$C$1299,0),0)</f>
        <v>0</v>
      </c>
      <c r="H26" s="35" t="e">
        <f>IF(F26&gt;0,F26,MATCH(D26,Catalogo!$D$4:$D$1299,0))</f>
        <v>#N/A</v>
      </c>
      <c r="J26" s="35" t="e">
        <f>INDEX(Catalogo!$C$4:$C$1499,H26)</f>
        <v>#N/A</v>
      </c>
    </row>
    <row r="27" spans="4:10" x14ac:dyDescent="0.25">
      <c r="D27" s="72">
        <v>605400847</v>
      </c>
      <c r="F27" s="35">
        <f>IFERROR(MATCH(D27,Catalogo!$C$4:$C$1299,0),0)</f>
        <v>0</v>
      </c>
      <c r="H27" s="35" t="e">
        <f>IF(F27&gt;0,F27,MATCH(D27,Catalogo!$D$4:$D$1299,0))</f>
        <v>#N/A</v>
      </c>
      <c r="J27" s="35" t="e">
        <f>INDEX(Catalogo!$C$4:$C$1499,H27)</f>
        <v>#N/A</v>
      </c>
    </row>
    <row r="28" spans="4:10" x14ac:dyDescent="0.25">
      <c r="D28" s="72">
        <v>402970123</v>
      </c>
      <c r="F28" s="35">
        <f>IFERROR(MATCH(D28,Catalogo!$C$4:$C$1299,0),0)</f>
        <v>0</v>
      </c>
      <c r="H28" s="35" t="e">
        <f>IF(F28&gt;0,F28,MATCH(D28,Catalogo!$D$4:$D$1299,0))</f>
        <v>#N/A</v>
      </c>
      <c r="J28" s="35" t="e">
        <f>INDEX(Catalogo!$C$4:$C$1499,H28)</f>
        <v>#N/A</v>
      </c>
    </row>
    <row r="29" spans="4:10" x14ac:dyDescent="0.25">
      <c r="D29" s="73">
        <v>209500026</v>
      </c>
      <c r="F29" s="35">
        <f>IFERROR(MATCH(D29,Catalogo!$C$4:$C$1299,0),0)</f>
        <v>0</v>
      </c>
      <c r="H29" s="35" t="e">
        <f>IF(F29&gt;0,F29,MATCH(D29,Catalogo!$D$4:$D$1299,0))</f>
        <v>#N/A</v>
      </c>
      <c r="J29" s="35" t="e">
        <f>INDEX(Catalogo!$C$4:$C$1499,H29)</f>
        <v>#N/A</v>
      </c>
    </row>
    <row r="30" spans="4:10" x14ac:dyDescent="0.25">
      <c r="D30" s="75">
        <v>209600712</v>
      </c>
      <c r="F30" s="35">
        <f>IFERROR(MATCH(D30,Catalogo!$C$4:$C$1299,0),0)</f>
        <v>0</v>
      </c>
      <c r="H30" s="35" t="e">
        <f>IF(F30&gt;0,F30,MATCH(D30,Catalogo!$D$4:$D$1299,0))</f>
        <v>#N/A</v>
      </c>
      <c r="J30" s="35" t="e">
        <f>INDEX(Catalogo!$C$4:$C$1499,H30)</f>
        <v>#N/A</v>
      </c>
    </row>
    <row r="31" spans="4:10" x14ac:dyDescent="0.25">
      <c r="D31" s="73">
        <v>209570968</v>
      </c>
      <c r="F31" s="35">
        <f>IFERROR(MATCH(D31,Catalogo!$C$4:$C$1299,0),0)</f>
        <v>0</v>
      </c>
      <c r="H31" s="35" t="e">
        <f>IF(F31&gt;0,F31,MATCH(D31,Catalogo!$D$4:$D$1299,0))</f>
        <v>#N/A</v>
      </c>
      <c r="J31" s="35" t="e">
        <f>INDEX(Catalogo!$C$4:$C$1499,H31)</f>
        <v>#N/A</v>
      </c>
    </row>
    <row r="32" spans="4:10" x14ac:dyDescent="0.25">
      <c r="D32" s="73">
        <v>209610010</v>
      </c>
      <c r="F32" s="35">
        <f>IFERROR(MATCH(D32,Catalogo!$C$4:$C$1299,0),0)</f>
        <v>0</v>
      </c>
      <c r="H32" s="35" t="e">
        <f>IF(F32&gt;0,F32,MATCH(D32,Catalogo!$D$4:$D$1299,0))</f>
        <v>#N/A</v>
      </c>
      <c r="J32" s="35" t="e">
        <f>INDEX(Catalogo!$C$4:$C$1499,H32)</f>
        <v>#N/A</v>
      </c>
    </row>
    <row r="33" spans="4:10" x14ac:dyDescent="0.25">
      <c r="D33" s="73">
        <v>209550707</v>
      </c>
      <c r="F33" s="35">
        <f>IFERROR(MATCH(D33,Catalogo!$C$4:$C$1299,0),0)</f>
        <v>0</v>
      </c>
      <c r="H33" s="35" t="e">
        <f>IF(F33&gt;0,F33,MATCH(D33,Catalogo!$D$4:$D$1299,0))</f>
        <v>#N/A</v>
      </c>
      <c r="J33" s="35" t="e">
        <f>INDEX(Catalogo!$C$4:$C$1499,H33)</f>
        <v>#N/A</v>
      </c>
    </row>
    <row r="34" spans="4:10" x14ac:dyDescent="0.25">
      <c r="D34" s="74">
        <v>402920634</v>
      </c>
      <c r="F34" s="35">
        <f>IFERROR(MATCH(D34,Catalogo!$C$4:$C$1299,0),0)</f>
        <v>0</v>
      </c>
      <c r="H34" s="35" t="e">
        <f>IF(F34&gt;0,F34,MATCH(D34,Catalogo!$D$4:$D$1299,0))</f>
        <v>#N/A</v>
      </c>
      <c r="J34" s="35" t="e">
        <f>INDEX(Catalogo!$C$4:$C$1499,H34)</f>
        <v>#N/A</v>
      </c>
    </row>
    <row r="35" spans="4:10" x14ac:dyDescent="0.25">
      <c r="D35" s="75">
        <v>402990595</v>
      </c>
      <c r="F35" s="35">
        <f>IFERROR(MATCH(D35,Catalogo!$C$4:$C$1299,0),0)</f>
        <v>0</v>
      </c>
      <c r="H35" s="35" t="e">
        <f>IF(F35&gt;0,F35,MATCH(D35,Catalogo!$D$4:$D$1299,0))</f>
        <v>#N/A</v>
      </c>
      <c r="J35" s="35" t="e">
        <f>INDEX(Catalogo!$C$4:$C$1499,H35)</f>
        <v>#N/A</v>
      </c>
    </row>
    <row r="36" spans="4:10" x14ac:dyDescent="0.25">
      <c r="D36" s="74">
        <v>209590596</v>
      </c>
      <c r="F36" s="35">
        <f>IFERROR(MATCH(D36,Catalogo!$C$4:$C$1299,0),0)</f>
        <v>0</v>
      </c>
      <c r="H36" s="35" t="e">
        <f>IF(F36&gt;0,F36,MATCH(D36,Catalogo!$D$4:$D$1299,0))</f>
        <v>#N/A</v>
      </c>
      <c r="J36" s="35" t="e">
        <f>INDEX(Catalogo!$C$4:$C$1499,H36)</f>
        <v>#N/A</v>
      </c>
    </row>
    <row r="37" spans="4:10" x14ac:dyDescent="0.25">
      <c r="D37" s="74">
        <v>402950257</v>
      </c>
      <c r="F37" s="35">
        <f>IFERROR(MATCH(D37,Catalogo!$C$4:$C$1299,0),0)</f>
        <v>0</v>
      </c>
      <c r="H37" s="35" t="e">
        <f>IF(F37&gt;0,F37,MATCH(D37,Catalogo!$D$4:$D$1299,0))</f>
        <v>#N/A</v>
      </c>
      <c r="J37" s="35" t="e">
        <f>INDEX(Catalogo!$C$4:$C$1499,H37)</f>
        <v>#N/A</v>
      </c>
    </row>
    <row r="38" spans="4:10" x14ac:dyDescent="0.25">
      <c r="D38" s="74">
        <v>403000704</v>
      </c>
      <c r="F38" s="35">
        <f>IFERROR(MATCH(D38,Catalogo!$C$4:$C$1299,0),0)</f>
        <v>0</v>
      </c>
      <c r="H38" s="35" t="e">
        <f>IF(F38&gt;0,F38,MATCH(D38,Catalogo!$D$4:$D$1299,0))</f>
        <v>#N/A</v>
      </c>
      <c r="J38" s="35" t="e">
        <f>INDEX(Catalogo!$C$4:$C$1499,H38)</f>
        <v>#N/A</v>
      </c>
    </row>
    <row r="39" spans="4:10" x14ac:dyDescent="0.25">
      <c r="D39" s="74">
        <v>209650815</v>
      </c>
      <c r="F39" s="35">
        <f>IFERROR(MATCH(D39,Catalogo!$C$4:$C$1299,0),0)</f>
        <v>0</v>
      </c>
      <c r="H39" s="35" t="e">
        <f>IF(F39&gt;0,F39,MATCH(D39,Catalogo!$D$4:$D$1299,0))</f>
        <v>#N/A</v>
      </c>
      <c r="J39" s="35" t="e">
        <f>INDEX(Catalogo!$C$4:$C$1499,H39)</f>
        <v>#N/A</v>
      </c>
    </row>
    <row r="40" spans="4:10" x14ac:dyDescent="0.25">
      <c r="D40" s="74">
        <v>209510677</v>
      </c>
      <c r="F40" s="35">
        <f>IFERROR(MATCH(D40,Catalogo!$C$4:$C$1299,0),0)</f>
        <v>0</v>
      </c>
      <c r="H40" s="35" t="e">
        <f>IF(F40&gt;0,F40,MATCH(D40,Catalogo!$D$4:$D$1299,0))</f>
        <v>#N/A</v>
      </c>
      <c r="J40" s="35" t="e">
        <f>INDEX(Catalogo!$C$4:$C$1499,H40)</f>
        <v>#N/A</v>
      </c>
    </row>
    <row r="41" spans="4:10" x14ac:dyDescent="0.25">
      <c r="D41" s="76">
        <v>209540248</v>
      </c>
      <c r="F41" s="35">
        <f>IFERROR(MATCH(D41,Catalogo!$C$4:$C$1299,0),0)</f>
        <v>0</v>
      </c>
      <c r="H41" s="35" t="e">
        <f>IF(F41&gt;0,F41,MATCH(D41,Catalogo!$D$4:$D$1299,0))</f>
        <v>#N/A</v>
      </c>
      <c r="J41" s="35" t="e">
        <f>INDEX(Catalogo!$C$4:$C$1499,H41)</f>
        <v>#N/A</v>
      </c>
    </row>
    <row r="42" spans="4:10" x14ac:dyDescent="0.25">
      <c r="D42" s="76">
        <v>209660867</v>
      </c>
      <c r="F42" s="35">
        <f>IFERROR(MATCH(D42,Catalogo!$C$4:$C$1299,0),0)</f>
        <v>0</v>
      </c>
      <c r="H42" s="35" t="e">
        <f>IF(F42&gt;0,F42,MATCH(D42,Catalogo!$D$4:$D$1299,0))</f>
        <v>#N/A</v>
      </c>
      <c r="J42" s="35" t="e">
        <f>INDEX(Catalogo!$C$4:$C$1499,H42)</f>
        <v>#N/A</v>
      </c>
    </row>
    <row r="43" spans="4:10" x14ac:dyDescent="0.25">
      <c r="D43" s="76">
        <v>403000458</v>
      </c>
      <c r="F43" s="35">
        <f>IFERROR(MATCH(D43,Catalogo!$C$4:$C$1299,0),0)</f>
        <v>0</v>
      </c>
      <c r="H43" s="35" t="e">
        <f>IF(F43&gt;0,F43,MATCH(D43,Catalogo!$D$4:$D$1299,0))</f>
        <v>#N/A</v>
      </c>
      <c r="J43" s="35" t="e">
        <f>INDEX(Catalogo!$C$4:$C$1499,H43)</f>
        <v>#N/A</v>
      </c>
    </row>
    <row r="44" spans="4:10" x14ac:dyDescent="0.25">
      <c r="D44" s="76">
        <v>209620896</v>
      </c>
      <c r="F44" s="35">
        <f>IFERROR(MATCH(D44,Catalogo!$C$4:$C$1299,0),0)</f>
        <v>0</v>
      </c>
      <c r="H44" s="35" t="e">
        <f>IF(F44&gt;0,F44,MATCH(D44,Catalogo!$D$4:$D$1299,0))</f>
        <v>#N/A</v>
      </c>
      <c r="J44" s="35" t="e">
        <f>INDEX(Catalogo!$C$4:$C$1499,H44)</f>
        <v>#N/A</v>
      </c>
    </row>
    <row r="45" spans="4:10" x14ac:dyDescent="0.25">
      <c r="D45" s="76">
        <v>209550671</v>
      </c>
      <c r="F45" s="35">
        <f>IFERROR(MATCH(D45,Catalogo!$C$4:$C$1299,0),0)</f>
        <v>0</v>
      </c>
      <c r="H45" s="35" t="e">
        <f>IF(F45&gt;0,F45,MATCH(D45,Catalogo!$D$4:$D$1299,0))</f>
        <v>#N/A</v>
      </c>
      <c r="J45" s="35" t="e">
        <f>INDEX(Catalogo!$C$4:$C$1499,H45)</f>
        <v>#N/A</v>
      </c>
    </row>
    <row r="46" spans="4:10" x14ac:dyDescent="0.25">
      <c r="D46" s="76">
        <v>402960490</v>
      </c>
      <c r="F46" s="35">
        <f>IFERROR(MATCH(D46,Catalogo!$C$4:$C$1299,0),0)</f>
        <v>0</v>
      </c>
      <c r="H46" s="35" t="e">
        <f>IF(F46&gt;0,F46,MATCH(D46,Catalogo!$D$4:$D$1299,0))</f>
        <v>#N/A</v>
      </c>
      <c r="J46" s="35" t="e">
        <f>INDEX(Catalogo!$C$4:$C$1499,H46)</f>
        <v>#N/A</v>
      </c>
    </row>
    <row r="47" spans="4:10" x14ac:dyDescent="0.25">
      <c r="D47" s="76">
        <v>402960937</v>
      </c>
      <c r="F47" s="35">
        <f>IFERROR(MATCH(D47,Catalogo!$C$4:$C$1299,0),0)</f>
        <v>0</v>
      </c>
      <c r="H47" s="35" t="e">
        <f>IF(F47&gt;0,F47,MATCH(D47,Catalogo!$D$4:$D$1299,0))</f>
        <v>#N/A</v>
      </c>
      <c r="J47" s="35" t="e">
        <f>INDEX(Catalogo!$C$4:$C$1499,H47)</f>
        <v>#N/A</v>
      </c>
    </row>
    <row r="48" spans="4:10" x14ac:dyDescent="0.25">
      <c r="D48" s="76">
        <v>209640253</v>
      </c>
      <c r="F48" s="35">
        <f>IFERROR(MATCH(D48,Catalogo!$C$4:$C$1299,0),0)</f>
        <v>0</v>
      </c>
      <c r="H48" s="35" t="e">
        <f>IF(F48&gt;0,F48,MATCH(D48,Catalogo!$D$4:$D$1299,0))</f>
        <v>#N/A</v>
      </c>
      <c r="J48" s="35" t="e">
        <f>INDEX(Catalogo!$C$4:$C$1499,H48)</f>
        <v>#N/A</v>
      </c>
    </row>
    <row r="49" spans="4:10" x14ac:dyDescent="0.25">
      <c r="D49" s="75">
        <v>209560233</v>
      </c>
      <c r="F49" s="35">
        <f>IFERROR(MATCH(D49,Catalogo!$C$4:$C$1299,0),0)</f>
        <v>0</v>
      </c>
      <c r="H49" s="35" t="e">
        <f>IF(F49&gt;0,F49,MATCH(D49,Catalogo!$D$4:$D$1299,0))</f>
        <v>#N/A</v>
      </c>
      <c r="J49" s="35" t="e">
        <f>INDEX(Catalogo!$C$4:$C$1499,H49)</f>
        <v>#N/A</v>
      </c>
    </row>
    <row r="50" spans="4:10" x14ac:dyDescent="0.25">
      <c r="D50" s="75">
        <v>209660301</v>
      </c>
      <c r="F50" s="35">
        <f>IFERROR(MATCH(D50,Catalogo!$C$4:$C$1299,0),0)</f>
        <v>0</v>
      </c>
      <c r="H50" s="35" t="e">
        <f>IF(F50&gt;0,F50,MATCH(D50,Catalogo!$D$4:$D$1299,0))</f>
        <v>#N/A</v>
      </c>
      <c r="J50" s="35" t="e">
        <f>INDEX(Catalogo!$C$4:$C$1499,H50)</f>
        <v>#N/A</v>
      </c>
    </row>
    <row r="51" spans="4:10" x14ac:dyDescent="0.25">
      <c r="D51" s="75">
        <v>209590089</v>
      </c>
      <c r="F51" s="35">
        <f>IFERROR(MATCH(D51,Catalogo!$C$4:$C$1299,0),0)</f>
        <v>0</v>
      </c>
      <c r="H51" s="35" t="e">
        <f>IF(F51&gt;0,F51,MATCH(D51,Catalogo!$D$4:$D$1299,0))</f>
        <v>#N/A</v>
      </c>
      <c r="J51" s="35" t="e">
        <f>INDEX(Catalogo!$C$4:$C$1499,H51)</f>
        <v>#N/A</v>
      </c>
    </row>
    <row r="52" spans="4:10" x14ac:dyDescent="0.25">
      <c r="D52" s="75">
        <v>402990948</v>
      </c>
      <c r="F52" s="35">
        <f>IFERROR(MATCH(D52,Catalogo!$C$4:$C$1299,0),0)</f>
        <v>0</v>
      </c>
      <c r="H52" s="35" t="e">
        <f>IF(F52&gt;0,F52,MATCH(D52,Catalogo!$D$4:$D$1299,0))</f>
        <v>#N/A</v>
      </c>
      <c r="J52" s="35" t="e">
        <f>INDEX(Catalogo!$C$4:$C$1499,H52)</f>
        <v>#N/A</v>
      </c>
    </row>
    <row r="53" spans="4:10" x14ac:dyDescent="0.25">
      <c r="D53" s="74">
        <v>209530952</v>
      </c>
      <c r="F53" s="35">
        <f>IFERROR(MATCH(D53,Catalogo!$C$4:$C$1299,0),0)</f>
        <v>0</v>
      </c>
      <c r="H53" s="35" t="e">
        <f>IF(F53&gt;0,F53,MATCH(D53,Catalogo!$D$4:$D$1299,0))</f>
        <v>#N/A</v>
      </c>
      <c r="J53" s="35" t="e">
        <f>INDEX(Catalogo!$C$4:$C$1499,H53)</f>
        <v>#N/A</v>
      </c>
    </row>
    <row r="54" spans="4:10" x14ac:dyDescent="0.25">
      <c r="D54" s="74">
        <v>402990291</v>
      </c>
      <c r="F54" s="35">
        <f>IFERROR(MATCH(D54,Catalogo!$C$4:$C$1299,0),0)</f>
        <v>0</v>
      </c>
      <c r="H54" s="35" t="e">
        <f>IF(F54&gt;0,F54,MATCH(D54,Catalogo!$D$4:$D$1299,0))</f>
        <v>#N/A</v>
      </c>
      <c r="J54" s="35" t="e">
        <f>INDEX(Catalogo!$C$4:$C$1499,H54)</f>
        <v>#N/A</v>
      </c>
    </row>
    <row r="55" spans="4:10" x14ac:dyDescent="0.25">
      <c r="D55" s="74">
        <v>209520676</v>
      </c>
      <c r="F55" s="35">
        <f>IFERROR(MATCH(D55,Catalogo!$C$4:$C$1299,0),0)</f>
        <v>0</v>
      </c>
      <c r="H55" s="35" t="e">
        <f>IF(F55&gt;0,F55,MATCH(D55,Catalogo!$D$4:$D$1299,0))</f>
        <v>#N/A</v>
      </c>
      <c r="J55" s="35" t="e">
        <f>INDEX(Catalogo!$C$4:$C$1499,H55)</f>
        <v>#N/A</v>
      </c>
    </row>
    <row r="56" spans="4:10" x14ac:dyDescent="0.25">
      <c r="D56" s="74">
        <v>402970432</v>
      </c>
      <c r="F56" s="35">
        <f>IFERROR(MATCH(D56,Catalogo!$C$4:$C$1299,0),0)</f>
        <v>0</v>
      </c>
      <c r="H56" s="35" t="e">
        <f>IF(F56&gt;0,F56,MATCH(D56,Catalogo!$D$4:$D$1299,0))</f>
        <v>#N/A</v>
      </c>
      <c r="J56" s="35" t="e">
        <f>INDEX(Catalogo!$C$4:$C$1499,H56)</f>
        <v>#N/A</v>
      </c>
    </row>
    <row r="57" spans="4:10" x14ac:dyDescent="0.25">
      <c r="D57" s="74">
        <v>403000693</v>
      </c>
      <c r="F57" s="35">
        <f>IFERROR(MATCH(D57,Catalogo!$C$4:$C$1299,0),0)</f>
        <v>0</v>
      </c>
      <c r="H57" s="35" t="e">
        <f>IF(F57&gt;0,F57,MATCH(D57,Catalogo!$D$4:$D$1299,0))</f>
        <v>#N/A</v>
      </c>
      <c r="J57" s="35" t="e">
        <f>INDEX(Catalogo!$C$4:$C$1499,H57)</f>
        <v>#N/A</v>
      </c>
    </row>
    <row r="58" spans="4:10" x14ac:dyDescent="0.25">
      <c r="D58" s="74">
        <v>402990426</v>
      </c>
      <c r="F58" s="35">
        <f>IFERROR(MATCH(D58,Catalogo!$C$4:$C$1299,0),0)</f>
        <v>0</v>
      </c>
      <c r="H58" s="35" t="e">
        <f>IF(F58&gt;0,F58,MATCH(D58,Catalogo!$D$4:$D$1299,0))</f>
        <v>#N/A</v>
      </c>
      <c r="J58" s="35" t="e">
        <f>INDEX(Catalogo!$C$4:$C$1499,H58)</f>
        <v>#N/A</v>
      </c>
    </row>
    <row r="59" spans="4:10" x14ac:dyDescent="0.25">
      <c r="D59" s="74">
        <v>120810395</v>
      </c>
      <c r="F59" s="35">
        <f>IFERROR(MATCH(D59,Catalogo!$C$4:$C$1299,0),0)</f>
        <v>0</v>
      </c>
      <c r="H59" s="35" t="e">
        <f>IF(F59&gt;0,F59,MATCH(D59,Catalogo!$D$4:$D$1299,0))</f>
        <v>#N/A</v>
      </c>
      <c r="J59" s="35" t="e">
        <f>INDEX(Catalogo!$C$4:$C$1499,H59)</f>
        <v>#N/A</v>
      </c>
    </row>
    <row r="60" spans="4:10" x14ac:dyDescent="0.25">
      <c r="D60" s="74">
        <v>402980061</v>
      </c>
      <c r="F60" s="35">
        <f>IFERROR(MATCH(D60,Catalogo!$C$4:$C$1299,0),0)</f>
        <v>0</v>
      </c>
      <c r="H60" s="35" t="e">
        <f>IF(F60&gt;0,F60,MATCH(D60,Catalogo!$D$4:$D$1299,0))</f>
        <v>#N/A</v>
      </c>
      <c r="J60" s="35" t="e">
        <f>INDEX(Catalogo!$C$4:$C$1499,H60)</f>
        <v>#N/A</v>
      </c>
    </row>
    <row r="61" spans="4:10" x14ac:dyDescent="0.25">
      <c r="D61" s="74">
        <v>209610064</v>
      </c>
      <c r="F61" s="35">
        <f>IFERROR(MATCH(D61,Catalogo!$C$4:$C$1299,0),0)</f>
        <v>0</v>
      </c>
      <c r="H61" s="35" t="e">
        <f>IF(F61&gt;0,F61,MATCH(D61,Catalogo!$D$4:$D$1299,0))</f>
        <v>#N/A</v>
      </c>
      <c r="J61" s="35" t="e">
        <f>INDEX(Catalogo!$C$4:$C$1499,H61)</f>
        <v>#N/A</v>
      </c>
    </row>
    <row r="62" spans="4:10" x14ac:dyDescent="0.25">
      <c r="D62" s="74">
        <v>402970503</v>
      </c>
      <c r="F62" s="35">
        <f>IFERROR(MATCH(D62,Catalogo!$C$4:$C$1299,0),0)</f>
        <v>0</v>
      </c>
      <c r="H62" s="35" t="e">
        <f>IF(F62&gt;0,F62,MATCH(D62,Catalogo!$D$4:$D$1299,0))</f>
        <v>#N/A</v>
      </c>
      <c r="J62" s="35" t="e">
        <f>INDEX(Catalogo!$C$4:$C$1499,H62)</f>
        <v>#N/A</v>
      </c>
    </row>
    <row r="63" spans="4:10" x14ac:dyDescent="0.25">
      <c r="D63" s="74">
        <v>209670282</v>
      </c>
      <c r="F63" s="35">
        <f>IFERROR(MATCH(D63,Catalogo!$C$4:$C$1299,0),0)</f>
        <v>0</v>
      </c>
      <c r="H63" s="35" t="e">
        <f>IF(F63&gt;0,F63,MATCH(D63,Catalogo!$D$4:$D$1299,0))</f>
        <v>#N/A</v>
      </c>
      <c r="J63" s="35" t="e">
        <f>INDEX(Catalogo!$C$4:$C$1499,H63)</f>
        <v>#N/A</v>
      </c>
    </row>
    <row r="64" spans="4:10" x14ac:dyDescent="0.25">
      <c r="D64" s="74">
        <v>209580215</v>
      </c>
      <c r="F64" s="35">
        <f>IFERROR(MATCH(D64,Catalogo!$C$4:$C$1299,0),0)</f>
        <v>0</v>
      </c>
      <c r="H64" s="35" t="e">
        <f>IF(F64&gt;0,F64,MATCH(D64,Catalogo!$D$4:$D$1299,0))</f>
        <v>#N/A</v>
      </c>
      <c r="J64" s="35" t="e">
        <f>INDEX(Catalogo!$C$4:$C$1499,H64)</f>
        <v>#N/A</v>
      </c>
    </row>
    <row r="65" spans="4:10" x14ac:dyDescent="0.25">
      <c r="D65" s="74">
        <v>209490595</v>
      </c>
      <c r="F65" s="35">
        <f>IFERROR(MATCH(D65,Catalogo!$C$4:$C$1299,0),0)</f>
        <v>0</v>
      </c>
      <c r="H65" s="35" t="e">
        <f>IF(F65&gt;0,F65,MATCH(D65,Catalogo!$D$4:$D$1299,0))</f>
        <v>#N/A</v>
      </c>
      <c r="J65" s="35" t="e">
        <f>INDEX(Catalogo!$C$4:$C$1499,H65)</f>
        <v>#N/A</v>
      </c>
    </row>
    <row r="66" spans="4:10" x14ac:dyDescent="0.25">
      <c r="D66" s="74">
        <v>209680098</v>
      </c>
      <c r="F66" s="35">
        <f>IFERROR(MATCH(D66,Catalogo!$C$4:$C$1299,0),0)</f>
        <v>0</v>
      </c>
      <c r="H66" s="35" t="e">
        <f>IF(F66&gt;0,F66,MATCH(D66,Catalogo!$D$4:$D$1299,0))</f>
        <v>#N/A</v>
      </c>
      <c r="J66" s="35" t="e">
        <f>INDEX(Catalogo!$C$4:$C$1499,H66)</f>
        <v>#N/A</v>
      </c>
    </row>
    <row r="67" spans="4:10" x14ac:dyDescent="0.25">
      <c r="D67" s="74">
        <v>209630732</v>
      </c>
      <c r="F67" s="35">
        <f>IFERROR(MATCH(D67,Catalogo!$C$4:$C$1299,0),0)</f>
        <v>0</v>
      </c>
      <c r="H67" s="35" t="e">
        <f>IF(F67&gt;0,F67,MATCH(D67,Catalogo!$D$4:$D$1299,0))</f>
        <v>#N/A</v>
      </c>
      <c r="J67" s="35" t="e">
        <f>INDEX(Catalogo!$C$4:$C$1499,H67)</f>
        <v>#N/A</v>
      </c>
    </row>
    <row r="68" spans="4:10" x14ac:dyDescent="0.25">
      <c r="D68" s="74">
        <v>121410844</v>
      </c>
      <c r="F68" s="35">
        <f>IFERROR(MATCH(D68,Catalogo!$C$4:$C$1299,0),0)</f>
        <v>0</v>
      </c>
      <c r="H68" s="35" t="e">
        <f>IF(F68&gt;0,F68,MATCH(D68,Catalogo!$D$4:$D$1299,0))</f>
        <v>#N/A</v>
      </c>
      <c r="J68" s="35" t="e">
        <f>INDEX(Catalogo!$C$4:$C$1499,H68)</f>
        <v>#N/A</v>
      </c>
    </row>
    <row r="69" spans="4:10" x14ac:dyDescent="0.25">
      <c r="D69" s="74">
        <v>209550525</v>
      </c>
      <c r="F69" s="35">
        <f>IFERROR(MATCH(D69,Catalogo!$C$4:$C$1299,0),0)</f>
        <v>0</v>
      </c>
      <c r="H69" s="35" t="e">
        <f>IF(F69&gt;0,F69,MATCH(D69,Catalogo!$D$4:$D$1299,0))</f>
        <v>#N/A</v>
      </c>
      <c r="J69" s="35" t="e">
        <f>INDEX(Catalogo!$C$4:$C$1499,H69)</f>
        <v>#N/A</v>
      </c>
    </row>
    <row r="70" spans="4:10" x14ac:dyDescent="0.25">
      <c r="D70" s="74">
        <v>209570237</v>
      </c>
      <c r="F70" s="35">
        <f>IFERROR(MATCH(D70,Catalogo!$C$4:$C$1299,0),0)</f>
        <v>0</v>
      </c>
      <c r="H70" s="35" t="e">
        <f>IF(F70&gt;0,F70,MATCH(D70,Catalogo!$D$4:$D$1299,0))</f>
        <v>#N/A</v>
      </c>
      <c r="J70" s="35" t="e">
        <f>INDEX(Catalogo!$C$4:$C$1499,H70)</f>
        <v>#N/A</v>
      </c>
    </row>
    <row r="71" spans="4:10" x14ac:dyDescent="0.25">
      <c r="D71" s="74">
        <v>209580600</v>
      </c>
      <c r="F71" s="35">
        <f>IFERROR(MATCH(D71,Catalogo!$C$4:$C$1299,0),0)</f>
        <v>0</v>
      </c>
      <c r="H71" s="35" t="e">
        <f>IF(F71&gt;0,F71,MATCH(D71,Catalogo!$D$4:$D$1299,0))</f>
        <v>#N/A</v>
      </c>
      <c r="J71" s="35" t="e">
        <f>INDEX(Catalogo!$C$4:$C$1499,H71)</f>
        <v>#N/A</v>
      </c>
    </row>
    <row r="72" spans="4:10" x14ac:dyDescent="0.25">
      <c r="D72" s="74">
        <v>121420761</v>
      </c>
      <c r="F72" s="35">
        <f>IFERROR(MATCH(D72,Catalogo!$C$4:$C$1299,0),0)</f>
        <v>0</v>
      </c>
      <c r="H72" s="35" t="e">
        <f>IF(F72&gt;0,F72,MATCH(D72,Catalogo!$D$4:$D$1299,0))</f>
        <v>#N/A</v>
      </c>
      <c r="J72" s="35" t="e">
        <f>INDEX(Catalogo!$C$4:$C$1499,H72)</f>
        <v>#N/A</v>
      </c>
    </row>
    <row r="73" spans="4:10" x14ac:dyDescent="0.25">
      <c r="D73" s="74">
        <v>209630597</v>
      </c>
      <c r="F73" s="35">
        <f>IFERROR(MATCH(D73,Catalogo!$C$4:$C$1299,0),0)</f>
        <v>0</v>
      </c>
      <c r="H73" s="35" t="e">
        <f>IF(F73&gt;0,F73,MATCH(D73,Catalogo!$D$4:$D$1299,0))</f>
        <v>#N/A</v>
      </c>
      <c r="J73" s="35" t="e">
        <f>INDEX(Catalogo!$C$4:$C$1499,H73)</f>
        <v>#N/A</v>
      </c>
    </row>
    <row r="74" spans="4:10" x14ac:dyDescent="0.25">
      <c r="D74" s="74">
        <v>209650330</v>
      </c>
      <c r="F74" s="35">
        <f>IFERROR(MATCH(D74,Catalogo!$C$4:$C$1299,0),0)</f>
        <v>0</v>
      </c>
      <c r="H74" s="35" t="e">
        <f>IF(F74&gt;0,F74,MATCH(D74,Catalogo!$D$4:$D$1299,0))</f>
        <v>#N/A</v>
      </c>
      <c r="J74" s="35" t="e">
        <f>INDEX(Catalogo!$C$4:$C$1499,H74)</f>
        <v>#N/A</v>
      </c>
    </row>
    <row r="75" spans="4:10" x14ac:dyDescent="0.25">
      <c r="D75" s="74">
        <v>209600185</v>
      </c>
      <c r="F75" s="35">
        <f>IFERROR(MATCH(D75,Catalogo!$C$4:$C$1299,0),0)</f>
        <v>0</v>
      </c>
      <c r="H75" s="35" t="e">
        <f>IF(F75&gt;0,F75,MATCH(D75,Catalogo!$D$4:$D$1299,0))</f>
        <v>#N/A</v>
      </c>
      <c r="J75" s="35" t="e">
        <f>INDEX(Catalogo!$C$4:$C$1499,H75)</f>
        <v>#N/A</v>
      </c>
    </row>
    <row r="76" spans="4:10" x14ac:dyDescent="0.25">
      <c r="D76" s="74">
        <v>209610405</v>
      </c>
      <c r="F76" s="35">
        <f>IFERROR(MATCH(D76,Catalogo!$C$4:$C$1299,0),0)</f>
        <v>0</v>
      </c>
      <c r="H76" s="35" t="e">
        <f>IF(F76&gt;0,F76,MATCH(D76,Catalogo!$D$4:$D$1299,0))</f>
        <v>#N/A</v>
      </c>
      <c r="J76" s="35" t="e">
        <f>INDEX(Catalogo!$C$4:$C$1499,H76)</f>
        <v>#N/A</v>
      </c>
    </row>
    <row r="77" spans="4:10" x14ac:dyDescent="0.25">
      <c r="D77" s="74">
        <v>121550882</v>
      </c>
      <c r="F77" s="35">
        <f>IFERROR(MATCH(D77,Catalogo!$C$4:$C$1299,0),0)</f>
        <v>0</v>
      </c>
      <c r="H77" s="35" t="e">
        <f>IF(F77&gt;0,F77,MATCH(D77,Catalogo!$D$4:$D$1299,0))</f>
        <v>#N/A</v>
      </c>
      <c r="J77" s="35" t="e">
        <f>INDEX(Catalogo!$C$4:$C$1499,H77)</f>
        <v>#N/A</v>
      </c>
    </row>
    <row r="78" spans="4:10" x14ac:dyDescent="0.25">
      <c r="D78" s="74">
        <v>209670456</v>
      </c>
      <c r="F78" s="35">
        <f>IFERROR(MATCH(D78,Catalogo!$C$4:$C$1299,0),0)</f>
        <v>0</v>
      </c>
      <c r="H78" s="35" t="e">
        <f>IF(F78&gt;0,F78,MATCH(D78,Catalogo!$D$4:$D$1299,0))</f>
        <v>#N/A</v>
      </c>
      <c r="J78" s="35" t="e">
        <f>INDEX(Catalogo!$C$4:$C$1499,H78)</f>
        <v>#N/A</v>
      </c>
    </row>
    <row r="79" spans="4:10" x14ac:dyDescent="0.25">
      <c r="D79" s="74">
        <v>209500685</v>
      </c>
      <c r="F79" s="35">
        <f>IFERROR(MATCH(D79,Catalogo!$C$4:$C$1299,0),0)</f>
        <v>0</v>
      </c>
      <c r="H79" s="35" t="e">
        <f>IF(F79&gt;0,F79,MATCH(D79,Catalogo!$D$4:$D$1299,0))</f>
        <v>#N/A</v>
      </c>
      <c r="J79" s="35" t="e">
        <f>INDEX(Catalogo!$C$4:$C$1499,H79)</f>
        <v>#N/A</v>
      </c>
    </row>
    <row r="80" spans="4:10" x14ac:dyDescent="0.25">
      <c r="D80" s="74">
        <v>403000544</v>
      </c>
      <c r="F80" s="35">
        <f>IFERROR(MATCH(D80,Catalogo!$C$4:$C$1299,0),0)</f>
        <v>0</v>
      </c>
      <c r="H80" s="35" t="e">
        <f>IF(F80&gt;0,F80,MATCH(D80,Catalogo!$D$4:$D$1299,0))</f>
        <v>#N/A</v>
      </c>
      <c r="J80" s="35" t="e">
        <f>INDEX(Catalogo!$C$4:$C$1499,H80)</f>
        <v>#N/A</v>
      </c>
    </row>
    <row r="81" spans="4:10" x14ac:dyDescent="0.25">
      <c r="D81" s="74">
        <v>209510683</v>
      </c>
      <c r="F81" s="35">
        <f>IFERROR(MATCH(D81,Catalogo!$C$4:$C$1299,0),0)</f>
        <v>0</v>
      </c>
      <c r="H81" s="35" t="e">
        <f>IF(F81&gt;0,F81,MATCH(D81,Catalogo!$D$4:$D$1299,0))</f>
        <v>#N/A</v>
      </c>
      <c r="J81" s="35" t="e">
        <f>INDEX(Catalogo!$C$4:$C$1499,H81)</f>
        <v>#N/A</v>
      </c>
    </row>
    <row r="82" spans="4:10" x14ac:dyDescent="0.25">
      <c r="D82" s="74">
        <v>402990708</v>
      </c>
      <c r="F82" s="35">
        <f>IFERROR(MATCH(D82,Catalogo!$C$4:$C$1299,0),0)</f>
        <v>0</v>
      </c>
      <c r="H82" s="35" t="e">
        <f>IF(F82&gt;0,F82,MATCH(D82,Catalogo!$D$4:$D$1299,0))</f>
        <v>#N/A</v>
      </c>
      <c r="J82" s="35" t="e">
        <f>INDEX(Catalogo!$C$4:$C$1499,H82)</f>
        <v>#N/A</v>
      </c>
    </row>
    <row r="83" spans="4:10" x14ac:dyDescent="0.25">
      <c r="D83" s="74">
        <v>209670281</v>
      </c>
      <c r="F83" s="35">
        <f>IFERROR(MATCH(D83,Catalogo!$C$4:$C$1299,0),0)</f>
        <v>0</v>
      </c>
      <c r="H83" s="35" t="e">
        <f>IF(F83&gt;0,F83,MATCH(D83,Catalogo!$D$4:$D$1299,0))</f>
        <v>#N/A</v>
      </c>
      <c r="J83" s="35" t="e">
        <f>INDEX(Catalogo!$C$4:$C$1499,H83)</f>
        <v>#N/A</v>
      </c>
    </row>
    <row r="84" spans="4:10" x14ac:dyDescent="0.25">
      <c r="D84" s="74">
        <v>209640574</v>
      </c>
      <c r="F84" s="35">
        <f>IFERROR(MATCH(D84,Catalogo!$C$4:$C$1299,0),0)</f>
        <v>0</v>
      </c>
      <c r="H84" s="35" t="e">
        <f>IF(F84&gt;0,F84,MATCH(D84,Catalogo!$D$4:$D$1299,0))</f>
        <v>#N/A</v>
      </c>
      <c r="J84" s="35" t="e">
        <f>INDEX(Catalogo!$C$4:$C$1499,H84)</f>
        <v>#N/A</v>
      </c>
    </row>
    <row r="85" spans="4:10" x14ac:dyDescent="0.25">
      <c r="D85" s="75">
        <v>402980534</v>
      </c>
      <c r="F85" s="35">
        <f>IFERROR(MATCH(D85,Catalogo!$C$4:$C$1299,0),0)</f>
        <v>0</v>
      </c>
      <c r="H85" s="35" t="e">
        <f>IF(F85&gt;0,F85,MATCH(D85,Catalogo!$D$4:$D$1299,0))</f>
        <v>#N/A</v>
      </c>
      <c r="J85" s="35" t="e">
        <f>INDEX(Catalogo!$C$4:$C$1499,H85)</f>
        <v>#N/A</v>
      </c>
    </row>
    <row r="86" spans="4:10" x14ac:dyDescent="0.25">
      <c r="D86" s="74">
        <v>403000520</v>
      </c>
      <c r="F86" s="35">
        <f>IFERROR(MATCH(D86,Catalogo!$C$4:$C$1299,0),0)</f>
        <v>0</v>
      </c>
      <c r="H86" s="35" t="e">
        <f>IF(F86&gt;0,F86,MATCH(D86,Catalogo!$D$4:$D$1299,0))</f>
        <v>#N/A</v>
      </c>
      <c r="J86" s="35" t="e">
        <f>INDEX(Catalogo!$C$4:$C$1499,H86)</f>
        <v>#N/A</v>
      </c>
    </row>
    <row r="87" spans="4:10" x14ac:dyDescent="0.25">
      <c r="D87" s="74">
        <v>209620465</v>
      </c>
      <c r="F87" s="35">
        <f>IFERROR(MATCH(D87,Catalogo!$C$4:$C$1299,0),0)</f>
        <v>0</v>
      </c>
      <c r="H87" s="35" t="e">
        <f>IF(F87&gt;0,F87,MATCH(D87,Catalogo!$D$4:$D$1299,0))</f>
        <v>#N/A</v>
      </c>
      <c r="J87" s="35" t="e">
        <f>INDEX(Catalogo!$C$4:$C$1499,H87)</f>
        <v>#N/A</v>
      </c>
    </row>
    <row r="88" spans="4:10" x14ac:dyDescent="0.25">
      <c r="D88" s="74">
        <v>209530214</v>
      </c>
      <c r="F88" s="35">
        <f>IFERROR(MATCH(D88,Catalogo!$C$4:$C$1299,0),0)</f>
        <v>0</v>
      </c>
      <c r="H88" s="35" t="e">
        <f>IF(F88&gt;0,F88,MATCH(D88,Catalogo!$D$4:$D$1299,0))</f>
        <v>#N/A</v>
      </c>
      <c r="J88" s="35" t="e">
        <f>INDEX(Catalogo!$C$4:$C$1499,H88)</f>
        <v>#N/A</v>
      </c>
    </row>
    <row r="89" spans="4:10" x14ac:dyDescent="0.25">
      <c r="D89" s="74">
        <v>402980454</v>
      </c>
      <c r="F89" s="35">
        <f>IFERROR(MATCH(D89,Catalogo!$C$4:$C$1299,0),0)</f>
        <v>0</v>
      </c>
      <c r="H89" s="35" t="e">
        <f>IF(F89&gt;0,F89,MATCH(D89,Catalogo!$D$4:$D$1299,0))</f>
        <v>#N/A</v>
      </c>
      <c r="J89" s="35" t="e">
        <f>INDEX(Catalogo!$C$4:$C$1499,H89)</f>
        <v>#N/A</v>
      </c>
    </row>
    <row r="90" spans="4:10" x14ac:dyDescent="0.25">
      <c r="D90" s="74">
        <v>209530082</v>
      </c>
      <c r="F90" s="35">
        <f>IFERROR(MATCH(D90,Catalogo!$C$4:$C$1299,0),0)</f>
        <v>0</v>
      </c>
      <c r="H90" s="35" t="e">
        <f>IF(F90&gt;0,F90,MATCH(D90,Catalogo!$D$4:$D$1299,0))</f>
        <v>#N/A</v>
      </c>
      <c r="J90" s="35" t="e">
        <f>INDEX(Catalogo!$C$4:$C$1499,H90)</f>
        <v>#N/A</v>
      </c>
    </row>
    <row r="91" spans="4:10" x14ac:dyDescent="0.25">
      <c r="D91" s="74">
        <v>402980505</v>
      </c>
      <c r="F91" s="35">
        <f>IFERROR(MATCH(D91,Catalogo!$C$4:$C$1299,0),0)</f>
        <v>0</v>
      </c>
      <c r="H91" s="35" t="e">
        <f>IF(F91&gt;0,F91,MATCH(D91,Catalogo!$D$4:$D$1299,0))</f>
        <v>#N/A</v>
      </c>
      <c r="J91" s="35" t="e">
        <f>INDEX(Catalogo!$C$4:$C$1499,H91)</f>
        <v>#N/A</v>
      </c>
    </row>
    <row r="92" spans="4:10" x14ac:dyDescent="0.25">
      <c r="D92" s="74">
        <v>121580629</v>
      </c>
      <c r="F92" s="35">
        <f>IFERROR(MATCH(D92,Catalogo!$C$4:$C$1299,0),0)</f>
        <v>0</v>
      </c>
      <c r="H92" s="35" t="e">
        <f>IF(F92&gt;0,F92,MATCH(D92,Catalogo!$D$4:$D$1299,0))</f>
        <v>#N/A</v>
      </c>
      <c r="J92" s="35" t="e">
        <f>INDEX(Catalogo!$C$4:$C$1499,H92)</f>
        <v>#N/A</v>
      </c>
    </row>
    <row r="93" spans="4:10" x14ac:dyDescent="0.25">
      <c r="D93" s="74">
        <v>121630788</v>
      </c>
      <c r="F93" s="35">
        <f>IFERROR(MATCH(D93,Catalogo!$C$4:$C$1299,0),0)</f>
        <v>0</v>
      </c>
      <c r="H93" s="35" t="e">
        <f>IF(F93&gt;0,F93,MATCH(D93,Catalogo!$D$4:$D$1299,0))</f>
        <v>#N/A</v>
      </c>
      <c r="J93" s="35" t="e">
        <f>INDEX(Catalogo!$C$4:$C$1499,H93)</f>
        <v>#N/A</v>
      </c>
    </row>
    <row r="94" spans="4:10" x14ac:dyDescent="0.25">
      <c r="D94" s="75">
        <v>209510785</v>
      </c>
      <c r="F94" s="35">
        <f>IFERROR(MATCH(D94,Catalogo!$C$4:$C$1299,0),0)</f>
        <v>0</v>
      </c>
      <c r="H94" s="35" t="e">
        <f>IF(F94&gt;0,F94,MATCH(D94,Catalogo!$D$4:$D$1299,0))</f>
        <v>#N/A</v>
      </c>
      <c r="J94" s="35" t="e">
        <f>INDEX(Catalogo!$C$4:$C$1499,H94)</f>
        <v>#N/A</v>
      </c>
    </row>
    <row r="95" spans="4:10" x14ac:dyDescent="0.25">
      <c r="D95" s="76">
        <v>209620656</v>
      </c>
      <c r="F95" s="35">
        <f>IFERROR(MATCH(D95,Catalogo!$C$4:$C$1299,0),0)</f>
        <v>0</v>
      </c>
      <c r="H95" s="35" t="e">
        <f>IF(F95&gt;0,F95,MATCH(D95,Catalogo!$D$4:$D$1299,0))</f>
        <v>#N/A</v>
      </c>
      <c r="J95" s="35" t="e">
        <f>INDEX(Catalogo!$C$4:$C$1499,H95)</f>
        <v>#N/A</v>
      </c>
    </row>
    <row r="96" spans="4:10" x14ac:dyDescent="0.25">
      <c r="D96" s="74">
        <v>209630822</v>
      </c>
      <c r="F96" s="35">
        <f>IFERROR(MATCH(D96,Catalogo!$C$4:$C$1299,0),0)</f>
        <v>0</v>
      </c>
      <c r="H96" s="35" t="e">
        <f>IF(F96&gt;0,F96,MATCH(D96,Catalogo!$D$4:$D$1299,0))</f>
        <v>#N/A</v>
      </c>
      <c r="J96" s="35" t="e">
        <f>INDEX(Catalogo!$C$4:$C$1499,H96)</f>
        <v>#N/A</v>
      </c>
    </row>
    <row r="97" spans="4:10" x14ac:dyDescent="0.25">
      <c r="D97" s="74">
        <v>209670813</v>
      </c>
      <c r="F97" s="35">
        <f>IFERROR(MATCH(D97,Catalogo!$C$4:$C$1299,0),0)</f>
        <v>0</v>
      </c>
      <c r="H97" s="35" t="e">
        <f>IF(F97&gt;0,F97,MATCH(D97,Catalogo!$D$4:$D$1299,0))</f>
        <v>#N/A</v>
      </c>
      <c r="J97" s="35" t="e">
        <f>INDEX(Catalogo!$C$4:$C$1499,H97)</f>
        <v>#N/A</v>
      </c>
    </row>
    <row r="98" spans="4:10" x14ac:dyDescent="0.25">
      <c r="D98" s="74">
        <v>209620548</v>
      </c>
      <c r="F98" s="35">
        <f>IFERROR(MATCH(D98,Catalogo!$C$4:$C$1299,0),0)</f>
        <v>0</v>
      </c>
      <c r="H98" s="35" t="e">
        <f>IF(F98&gt;0,F98,MATCH(D98,Catalogo!$D$4:$D$1299,0))</f>
        <v>#N/A</v>
      </c>
      <c r="J98" s="35" t="e">
        <f>INDEX(Catalogo!$C$4:$C$1499,H98)</f>
        <v>#N/A</v>
      </c>
    </row>
    <row r="99" spans="4:10" x14ac:dyDescent="0.25">
      <c r="D99" s="74">
        <v>209680532</v>
      </c>
      <c r="F99" s="35">
        <f>IFERROR(MATCH(D99,Catalogo!$C$4:$C$1299,0),0)</f>
        <v>0</v>
      </c>
      <c r="H99" s="35" t="e">
        <f>IF(F99&gt;0,F99,MATCH(D99,Catalogo!$D$4:$D$1299,0))</f>
        <v>#N/A</v>
      </c>
      <c r="J99" s="35" t="e">
        <f>INDEX(Catalogo!$C$4:$C$1499,H99)</f>
        <v>#N/A</v>
      </c>
    </row>
    <row r="100" spans="4:10" x14ac:dyDescent="0.25">
      <c r="D100" s="74">
        <v>209680909</v>
      </c>
      <c r="F100" s="35">
        <f>IFERROR(MATCH(D100,Catalogo!$C$4:$C$1299,0),0)</f>
        <v>0</v>
      </c>
      <c r="H100" s="35" t="e">
        <f>IF(F100&gt;0,F100,MATCH(D100,Catalogo!$D$4:$D$1299,0))</f>
        <v>#N/A</v>
      </c>
      <c r="J100" s="35" t="e">
        <f>INDEX(Catalogo!$C$4:$C$1499,H100)</f>
        <v>#N/A</v>
      </c>
    </row>
    <row r="101" spans="4:10" x14ac:dyDescent="0.25">
      <c r="D101" s="74">
        <v>209340860</v>
      </c>
      <c r="F101" s="35">
        <f>IFERROR(MATCH(D101,Catalogo!$C$4:$C$1299,0),0)</f>
        <v>0</v>
      </c>
      <c r="H101" s="35" t="e">
        <f>IF(F101&gt;0,F101,MATCH(D101,Catalogo!$D$4:$D$1299,0))</f>
        <v>#N/A</v>
      </c>
      <c r="J101" s="35" t="e">
        <f>INDEX(Catalogo!$C$4:$C$1499,H101)</f>
        <v>#N/A</v>
      </c>
    </row>
    <row r="102" spans="4:10" x14ac:dyDescent="0.25">
      <c r="D102" s="75">
        <v>209600872</v>
      </c>
      <c r="F102" s="35">
        <f>IFERROR(MATCH(D102,Catalogo!$C$4:$C$1299,0),0)</f>
        <v>0</v>
      </c>
      <c r="H102" s="35" t="e">
        <f>IF(F102&gt;0,F102,MATCH(D102,Catalogo!$D$4:$D$1299,0))</f>
        <v>#N/A</v>
      </c>
      <c r="J102" s="35" t="e">
        <f>INDEX(Catalogo!$C$4:$C$1499,H102)</f>
        <v>#N/A</v>
      </c>
    </row>
    <row r="103" spans="4:10" x14ac:dyDescent="0.25">
      <c r="D103" s="74">
        <v>209630629</v>
      </c>
      <c r="F103" s="35">
        <f>IFERROR(MATCH(D103,Catalogo!$C$4:$C$1299,0),0)</f>
        <v>0</v>
      </c>
      <c r="H103" s="35" t="e">
        <f>IF(F103&gt;0,F103,MATCH(D103,Catalogo!$D$4:$D$1299,0))</f>
        <v>#N/A</v>
      </c>
      <c r="J103" s="35" t="e">
        <f>INDEX(Catalogo!$C$4:$C$1499,H103)</f>
        <v>#N/A</v>
      </c>
    </row>
    <row r="104" spans="4:10" x14ac:dyDescent="0.25">
      <c r="D104" s="74">
        <v>209680331</v>
      </c>
      <c r="F104" s="35">
        <f>IFERROR(MATCH(D104,Catalogo!$C$4:$C$1299,0),0)</f>
        <v>0</v>
      </c>
      <c r="H104" s="35" t="e">
        <f>IF(F104&gt;0,F104,MATCH(D104,Catalogo!$D$4:$D$1299,0))</f>
        <v>#N/A</v>
      </c>
      <c r="J104" s="35" t="e">
        <f>INDEX(Catalogo!$C$4:$C$1499,H104)</f>
        <v>#N/A</v>
      </c>
    </row>
    <row r="105" spans="4:10" x14ac:dyDescent="0.25">
      <c r="D105" s="74">
        <v>209350232</v>
      </c>
      <c r="F105" s="35">
        <f>IFERROR(MATCH(D105,Catalogo!$C$4:$C$1299,0),0)</f>
        <v>0</v>
      </c>
      <c r="H105" s="35" t="e">
        <f>IF(F105&gt;0,F105,MATCH(D105,Catalogo!$D$4:$D$1299,0))</f>
        <v>#N/A</v>
      </c>
      <c r="J105" s="35" t="e">
        <f>INDEX(Catalogo!$C$4:$C$1499,H105)</f>
        <v>#N/A</v>
      </c>
    </row>
    <row r="106" spans="4:10" x14ac:dyDescent="0.25">
      <c r="D106" s="74">
        <v>209680522</v>
      </c>
      <c r="F106" s="35">
        <f>IFERROR(MATCH(D106,Catalogo!$C$4:$C$1299,0),0)</f>
        <v>0</v>
      </c>
      <c r="H106" s="35" t="e">
        <f>IF(F106&gt;0,F106,MATCH(D106,Catalogo!$D$4:$D$1299,0))</f>
        <v>#N/A</v>
      </c>
      <c r="J106" s="35" t="e">
        <f>INDEX(Catalogo!$C$4:$C$1499,H106)</f>
        <v>#N/A</v>
      </c>
    </row>
    <row r="107" spans="4:10" x14ac:dyDescent="0.25">
      <c r="D107" s="74">
        <v>901310432</v>
      </c>
      <c r="F107" s="35">
        <f>IFERROR(MATCH(D107,Catalogo!$C$4:$C$1299,0),0)</f>
        <v>0</v>
      </c>
      <c r="H107" s="35" t="e">
        <f>IF(F107&gt;0,F107,MATCH(D107,Catalogo!$D$4:$D$1299,0))</f>
        <v>#N/A</v>
      </c>
      <c r="J107" s="35" t="e">
        <f>INDEX(Catalogo!$C$4:$C$1499,H107)</f>
        <v>#N/A</v>
      </c>
    </row>
    <row r="108" spans="4:10" x14ac:dyDescent="0.25">
      <c r="D108" s="74">
        <v>209540915</v>
      </c>
      <c r="F108" s="35">
        <f>IFERROR(MATCH(D108,Catalogo!$C$4:$C$1299,0),0)</f>
        <v>0</v>
      </c>
      <c r="H108" s="35" t="e">
        <f>IF(F108&gt;0,F108,MATCH(D108,Catalogo!$D$4:$D$1299,0))</f>
        <v>#N/A</v>
      </c>
      <c r="J108" s="35" t="e">
        <f>INDEX(Catalogo!$C$4:$C$1499,H108)</f>
        <v>#N/A</v>
      </c>
    </row>
    <row r="109" spans="4:10" x14ac:dyDescent="0.25">
      <c r="D109" s="74">
        <v>121650082</v>
      </c>
      <c r="F109" s="35">
        <f>IFERROR(MATCH(D109,Catalogo!$C$4:$C$1299,0),0)</f>
        <v>0</v>
      </c>
      <c r="H109" s="35" t="e">
        <f>IF(F109&gt;0,F109,MATCH(D109,Catalogo!$D$4:$D$1299,0))</f>
        <v>#N/A</v>
      </c>
      <c r="J109" s="35" t="e">
        <f>INDEX(Catalogo!$C$4:$C$1499,H109)</f>
        <v>#N/A</v>
      </c>
    </row>
    <row r="110" spans="4:10" x14ac:dyDescent="0.25">
      <c r="D110" s="74">
        <v>403000044</v>
      </c>
      <c r="F110" s="35">
        <f>IFERROR(MATCH(D110,Catalogo!$C$4:$C$1299,0),0)</f>
        <v>0</v>
      </c>
      <c r="H110" s="35" t="e">
        <f>IF(F110&gt;0,F110,MATCH(D110,Catalogo!$D$4:$D$1299,0))</f>
        <v>#N/A</v>
      </c>
      <c r="J110" s="35" t="e">
        <f>INDEX(Catalogo!$C$4:$C$1499,H110)</f>
        <v>#N/A</v>
      </c>
    </row>
    <row r="111" spans="4:10" x14ac:dyDescent="0.25">
      <c r="D111" s="74">
        <v>901430647</v>
      </c>
      <c r="F111" s="35">
        <f>IFERROR(MATCH(D111,Catalogo!$C$4:$C$1299,0),0)</f>
        <v>0</v>
      </c>
      <c r="H111" s="35" t="e">
        <f>IF(F111&gt;0,F111,MATCH(D111,Catalogo!$D$4:$D$1299,0))</f>
        <v>#N/A</v>
      </c>
      <c r="J111" s="35" t="e">
        <f>INDEX(Catalogo!$C$4:$C$1499,H111)</f>
        <v>#N/A</v>
      </c>
    </row>
    <row r="112" spans="4:10" x14ac:dyDescent="0.25">
      <c r="D112" s="74">
        <v>209660922</v>
      </c>
      <c r="F112" s="35">
        <f>IFERROR(MATCH(D112,Catalogo!$C$4:$C$1299,0),0)</f>
        <v>0</v>
      </c>
      <c r="H112" s="35" t="e">
        <f>IF(F112&gt;0,F112,MATCH(D112,Catalogo!$D$4:$D$1299,0))</f>
        <v>#N/A</v>
      </c>
      <c r="J112" s="35" t="e">
        <f>INDEX(Catalogo!$C$4:$C$1499,H112)</f>
        <v>#N/A</v>
      </c>
    </row>
    <row r="113" spans="4:10" x14ac:dyDescent="0.25">
      <c r="D113" s="74">
        <v>209550283</v>
      </c>
      <c r="F113" s="35">
        <f>IFERROR(MATCH(D113,Catalogo!$C$4:$C$1299,0),0)</f>
        <v>0</v>
      </c>
      <c r="H113" s="35" t="e">
        <f>IF(F113&gt;0,F113,MATCH(D113,Catalogo!$D$4:$D$1299,0))</f>
        <v>#N/A</v>
      </c>
      <c r="J113" s="35" t="e">
        <f>INDEX(Catalogo!$C$4:$C$1499,H113)</f>
        <v>#N/A</v>
      </c>
    </row>
    <row r="114" spans="4:10" x14ac:dyDescent="0.25">
      <c r="D114" s="75">
        <v>402980185</v>
      </c>
      <c r="F114" s="35">
        <f>IFERROR(MATCH(D114,Catalogo!$C$4:$C$1299,0),0)</f>
        <v>0</v>
      </c>
      <c r="H114" s="35" t="e">
        <f>IF(F114&gt;0,F114,MATCH(D114,Catalogo!$D$4:$D$1299,0))</f>
        <v>#N/A</v>
      </c>
      <c r="J114" s="35" t="e">
        <f>INDEX(Catalogo!$C$4:$C$1499,H114)</f>
        <v>#N/A</v>
      </c>
    </row>
    <row r="115" spans="4:10" x14ac:dyDescent="0.25">
      <c r="D115" s="74">
        <v>209600187</v>
      </c>
      <c r="F115" s="35">
        <f>IFERROR(MATCH(D115,Catalogo!$C$4:$C$1299,0),0)</f>
        <v>0</v>
      </c>
      <c r="H115" s="35" t="e">
        <f>IF(F115&gt;0,F115,MATCH(D115,Catalogo!$D$4:$D$1299,0))</f>
        <v>#N/A</v>
      </c>
      <c r="J115" s="35" t="e">
        <f>INDEX(Catalogo!$C$4:$C$1499,H115)</f>
        <v>#N/A</v>
      </c>
    </row>
    <row r="116" spans="4:10" x14ac:dyDescent="0.25">
      <c r="D116" s="74">
        <v>209450607</v>
      </c>
      <c r="F116" s="35">
        <f>IFERROR(MATCH(D116,Catalogo!$C$4:$C$1299,0),0)</f>
        <v>0</v>
      </c>
      <c r="H116" s="35" t="e">
        <f>IF(F116&gt;0,F116,MATCH(D116,Catalogo!$D$4:$D$1299,0))</f>
        <v>#N/A</v>
      </c>
      <c r="J116" s="35" t="e">
        <f>INDEX(Catalogo!$C$4:$C$1499,H116)</f>
        <v>#N/A</v>
      </c>
    </row>
    <row r="117" spans="4:10" x14ac:dyDescent="0.25">
      <c r="D117" s="74">
        <v>209640616</v>
      </c>
      <c r="F117" s="35">
        <f>IFERROR(MATCH(D117,Catalogo!$C$4:$C$1299,0),0)</f>
        <v>0</v>
      </c>
      <c r="H117" s="35" t="e">
        <f>IF(F117&gt;0,F117,MATCH(D117,Catalogo!$D$4:$D$1299,0))</f>
        <v>#N/A</v>
      </c>
      <c r="J117" s="35" t="e">
        <f>INDEX(Catalogo!$C$4:$C$1499,H117)</f>
        <v>#N/A</v>
      </c>
    </row>
    <row r="118" spans="4:10" x14ac:dyDescent="0.25">
      <c r="D118" s="74">
        <v>209590296</v>
      </c>
      <c r="F118" s="35">
        <f>IFERROR(MATCH(D118,Catalogo!$C$4:$C$1299,0),0)</f>
        <v>0</v>
      </c>
      <c r="H118" s="35" t="e">
        <f>IF(F118&gt;0,F118,MATCH(D118,Catalogo!$D$4:$D$1299,0))</f>
        <v>#N/A</v>
      </c>
      <c r="J118" s="35" t="e">
        <f>INDEX(Catalogo!$C$4:$C$1499,H118)</f>
        <v>#N/A</v>
      </c>
    </row>
    <row r="119" spans="4:10" x14ac:dyDescent="0.25">
      <c r="D119" s="74">
        <v>402980034</v>
      </c>
      <c r="F119" s="35">
        <f>IFERROR(MATCH(D119,Catalogo!$C$4:$C$1299,0),0)</f>
        <v>0</v>
      </c>
      <c r="H119" s="35" t="e">
        <f>IF(F119&gt;0,F119,MATCH(D119,Catalogo!$D$4:$D$1299,0))</f>
        <v>#N/A</v>
      </c>
      <c r="J119" s="35" t="e">
        <f>INDEX(Catalogo!$C$4:$C$1499,H119)</f>
        <v>#N/A</v>
      </c>
    </row>
    <row r="120" spans="4:10" x14ac:dyDescent="0.25">
      <c r="D120" s="74">
        <v>121130048</v>
      </c>
      <c r="F120" s="35">
        <f>IFERROR(MATCH(D120,Catalogo!$C$4:$C$1299,0),0)</f>
        <v>0</v>
      </c>
      <c r="H120" s="35" t="e">
        <f>IF(F120&gt;0,F120,MATCH(D120,Catalogo!$D$4:$D$1299,0))</f>
        <v>#N/A</v>
      </c>
      <c r="J120" s="35" t="e">
        <f>INDEX(Catalogo!$C$4:$C$1499,H120)</f>
        <v>#N/A</v>
      </c>
    </row>
    <row r="121" spans="4:10" x14ac:dyDescent="0.25">
      <c r="D121" s="86" t="s">
        <v>177</v>
      </c>
      <c r="F121" s="35">
        <f>IFERROR(MATCH(D121,Catalogo!$C$4:$C$1299,0),0)</f>
        <v>0</v>
      </c>
      <c r="H121" s="35" t="e">
        <f>IF(F121&gt;0,F121,MATCH(D121,Catalogo!$D$4:$D$1299,0))</f>
        <v>#N/A</v>
      </c>
      <c r="J121" s="35" t="e">
        <f>INDEX(Catalogo!$C$4:$C$1499,H121)</f>
        <v>#N/A</v>
      </c>
    </row>
    <row r="122" spans="4:10" x14ac:dyDescent="0.25">
      <c r="D122" s="74">
        <v>209600323</v>
      </c>
      <c r="F122" s="35">
        <f>IFERROR(MATCH(D122,Catalogo!$C$4:$C$1299,0),0)</f>
        <v>0</v>
      </c>
      <c r="H122" s="35" t="e">
        <f>IF(F122&gt;0,F122,MATCH(D122,Catalogo!$D$4:$D$1299,0))</f>
        <v>#N/A</v>
      </c>
      <c r="J122" s="35" t="e">
        <f>INDEX(Catalogo!$C$4:$C$1499,H122)</f>
        <v>#N/A</v>
      </c>
    </row>
    <row r="123" spans="4:10" x14ac:dyDescent="0.25">
      <c r="D123" s="74">
        <v>209480704</v>
      </c>
      <c r="F123" s="35">
        <f>IFERROR(MATCH(D123,Catalogo!$C$4:$C$1299,0),0)</f>
        <v>0</v>
      </c>
      <c r="H123" s="35" t="e">
        <f>IF(F123&gt;0,F123,MATCH(D123,Catalogo!$D$4:$D$1299,0))</f>
        <v>#N/A</v>
      </c>
      <c r="J123" s="35" t="e">
        <f>INDEX(Catalogo!$C$4:$C$1499,H123)</f>
        <v>#N/A</v>
      </c>
    </row>
    <row r="124" spans="4:10" x14ac:dyDescent="0.25">
      <c r="D124" s="74">
        <v>209560025</v>
      </c>
      <c r="F124" s="35">
        <f>IFERROR(MATCH(D124,Catalogo!$C$4:$C$1299,0),0)</f>
        <v>0</v>
      </c>
      <c r="H124" s="35" t="e">
        <f>IF(F124&gt;0,F124,MATCH(D124,Catalogo!$D$4:$D$1299,0))</f>
        <v>#N/A</v>
      </c>
      <c r="J124" s="35" t="e">
        <f>INDEX(Catalogo!$C$4:$C$1499,H124)</f>
        <v>#N/A</v>
      </c>
    </row>
    <row r="125" spans="4:10" x14ac:dyDescent="0.25">
      <c r="D125" s="74">
        <v>209400995</v>
      </c>
      <c r="F125" s="35">
        <f>IFERROR(MATCH(D125,Catalogo!$C$4:$C$1299,0),0)</f>
        <v>0</v>
      </c>
      <c r="H125" s="35" t="e">
        <f>IF(F125&gt;0,F125,MATCH(D125,Catalogo!$D$4:$D$1299,0))</f>
        <v>#N/A</v>
      </c>
      <c r="J125" s="35" t="e">
        <f>INDEX(Catalogo!$C$4:$C$1499,H125)</f>
        <v>#N/A</v>
      </c>
    </row>
    <row r="126" spans="4:10" x14ac:dyDescent="0.25">
      <c r="D126" s="75">
        <v>209570163</v>
      </c>
      <c r="F126" s="35">
        <f>IFERROR(MATCH(D126,Catalogo!$C$4:$C$1299,0),0)</f>
        <v>0</v>
      </c>
      <c r="H126" s="35" t="e">
        <f>IF(F126&gt;0,F126,MATCH(D126,Catalogo!$D$4:$D$1299,0))</f>
        <v>#N/A</v>
      </c>
      <c r="J126" s="35" t="e">
        <f>INDEX(Catalogo!$C$4:$C$1499,H126)</f>
        <v>#N/A</v>
      </c>
    </row>
    <row r="127" spans="4:10" x14ac:dyDescent="0.25">
      <c r="D127" s="74">
        <v>121610472</v>
      </c>
      <c r="F127" s="35">
        <f>IFERROR(MATCH(D127,Catalogo!$C$4:$C$1299,0),0)</f>
        <v>0</v>
      </c>
      <c r="H127" s="35" t="e">
        <f>IF(F127&gt;0,F127,MATCH(D127,Catalogo!$D$4:$D$1299,0))</f>
        <v>#N/A</v>
      </c>
      <c r="J127" s="35" t="e">
        <f>INDEX(Catalogo!$C$4:$C$1499,H127)</f>
        <v>#N/A</v>
      </c>
    </row>
    <row r="128" spans="4:10" x14ac:dyDescent="0.25">
      <c r="D128" s="74">
        <v>121410243</v>
      </c>
      <c r="F128" s="35">
        <f>IFERROR(MATCH(D128,Catalogo!$C$4:$C$1299,0),0)</f>
        <v>0</v>
      </c>
      <c r="H128" s="35" t="e">
        <f>IF(F128&gt;0,F128,MATCH(D128,Catalogo!$D$4:$D$1299,0))</f>
        <v>#N/A</v>
      </c>
      <c r="J128" s="35" t="e">
        <f>INDEX(Catalogo!$C$4:$C$1499,H128)</f>
        <v>#N/A</v>
      </c>
    </row>
    <row r="129" spans="4:10" x14ac:dyDescent="0.25">
      <c r="D129" s="74">
        <v>209620674</v>
      </c>
      <c r="F129" s="35">
        <f>IFERROR(MATCH(D129,Catalogo!$C$4:$C$1299,0),0)</f>
        <v>0</v>
      </c>
      <c r="H129" s="35" t="e">
        <f>IF(F129&gt;0,F129,MATCH(D129,Catalogo!$D$4:$D$1299,0))</f>
        <v>#N/A</v>
      </c>
      <c r="J129" s="35" t="e">
        <f>INDEX(Catalogo!$C$4:$C$1499,H129)</f>
        <v>#N/A</v>
      </c>
    </row>
    <row r="130" spans="4:10" x14ac:dyDescent="0.25">
      <c r="D130" s="74">
        <v>209540508</v>
      </c>
      <c r="F130" s="35">
        <f>IFERROR(MATCH(D130,Catalogo!$C$4:$C$1299,0),0)</f>
        <v>0</v>
      </c>
      <c r="H130" s="35" t="e">
        <f>IF(F130&gt;0,F130,MATCH(D130,Catalogo!$D$4:$D$1299,0))</f>
        <v>#N/A</v>
      </c>
      <c r="J130" s="35" t="e">
        <f>INDEX(Catalogo!$C$4:$C$1499,H130)</f>
        <v>#N/A</v>
      </c>
    </row>
    <row r="131" spans="4:10" x14ac:dyDescent="0.25">
      <c r="D131" s="74">
        <v>209660329</v>
      </c>
      <c r="F131" s="35">
        <f>IFERROR(MATCH(D131,Catalogo!$C$4:$C$1299,0),0)</f>
        <v>0</v>
      </c>
      <c r="H131" s="35" t="e">
        <f>IF(F131&gt;0,F131,MATCH(D131,Catalogo!$D$4:$D$1299,0))</f>
        <v>#N/A</v>
      </c>
      <c r="J131" s="35" t="e">
        <f>INDEX(Catalogo!$C$4:$C$1499,H131)</f>
        <v>#N/A</v>
      </c>
    </row>
    <row r="132" spans="4:10" x14ac:dyDescent="0.25">
      <c r="D132" s="74">
        <v>209590154</v>
      </c>
      <c r="F132" s="35">
        <f>IFERROR(MATCH(D132,Catalogo!$C$4:$C$1299,0),0)</f>
        <v>0</v>
      </c>
      <c r="H132" s="35" t="e">
        <f>IF(F132&gt;0,F132,MATCH(D132,Catalogo!$D$4:$D$1299,0))</f>
        <v>#N/A</v>
      </c>
      <c r="J132" s="35" t="e">
        <f>INDEX(Catalogo!$C$4:$C$1499,H132)</f>
        <v>#N/A</v>
      </c>
    </row>
    <row r="133" spans="4:10" x14ac:dyDescent="0.25">
      <c r="D133" s="74">
        <v>209610033</v>
      </c>
      <c r="F133" s="35">
        <f>IFERROR(MATCH(D133,Catalogo!$C$4:$C$1299,0),0)</f>
        <v>0</v>
      </c>
      <c r="H133" s="35" t="e">
        <f>IF(F133&gt;0,F133,MATCH(D133,Catalogo!$D$4:$D$1299,0))</f>
        <v>#N/A</v>
      </c>
      <c r="J133" s="35" t="e">
        <f>INDEX(Catalogo!$C$4:$C$1499,H133)</f>
        <v>#N/A</v>
      </c>
    </row>
    <row r="134" spans="4:10" x14ac:dyDescent="0.25">
      <c r="D134" s="74">
        <v>209590666</v>
      </c>
      <c r="F134" s="35">
        <f>IFERROR(MATCH(D134,Catalogo!$C$4:$C$1299,0),0)</f>
        <v>0</v>
      </c>
      <c r="H134" s="35" t="e">
        <f>IF(F134&gt;0,F134,MATCH(D134,Catalogo!$D$4:$D$1299,0))</f>
        <v>#N/A</v>
      </c>
      <c r="J134" s="35" t="e">
        <f>INDEX(Catalogo!$C$4:$C$1499,H134)</f>
        <v>#N/A</v>
      </c>
    </row>
    <row r="135" spans="4:10" x14ac:dyDescent="0.25">
      <c r="D135" s="74">
        <v>209570256</v>
      </c>
      <c r="F135" s="35">
        <f>IFERROR(MATCH(D135,Catalogo!$C$4:$C$1299,0),0)</f>
        <v>0</v>
      </c>
      <c r="H135" s="35" t="e">
        <f>IF(F135&gt;0,F135,MATCH(D135,Catalogo!$D$4:$D$1299,0))</f>
        <v>#N/A</v>
      </c>
      <c r="J135" s="35" t="e">
        <f>INDEX(Catalogo!$C$4:$C$1499,H135)</f>
        <v>#N/A</v>
      </c>
    </row>
    <row r="136" spans="4:10" x14ac:dyDescent="0.25">
      <c r="D136" s="74">
        <v>402970765</v>
      </c>
      <c r="F136" s="35">
        <f>IFERROR(MATCH(D136,Catalogo!$C$4:$C$1299,0),0)</f>
        <v>0</v>
      </c>
      <c r="H136" s="35" t="e">
        <f>IF(F136&gt;0,F136,MATCH(D136,Catalogo!$D$4:$D$1299,0))</f>
        <v>#N/A</v>
      </c>
      <c r="J136" s="35" t="e">
        <f>INDEX(Catalogo!$C$4:$C$1499,H136)</f>
        <v>#N/A</v>
      </c>
    </row>
    <row r="137" spans="4:10" x14ac:dyDescent="0.25">
      <c r="D137" s="74">
        <v>209570066</v>
      </c>
      <c r="F137" s="35">
        <f>IFERROR(MATCH(D137,Catalogo!$C$4:$C$1299,0),0)</f>
        <v>0</v>
      </c>
      <c r="H137" s="35" t="e">
        <f>IF(F137&gt;0,F137,MATCH(D137,Catalogo!$D$4:$D$1299,0))</f>
        <v>#N/A</v>
      </c>
      <c r="J137" s="35" t="e">
        <f>INDEX(Catalogo!$C$4:$C$1499,H137)</f>
        <v>#N/A</v>
      </c>
    </row>
    <row r="138" spans="4:10" x14ac:dyDescent="0.25">
      <c r="D138" s="74">
        <v>209570951</v>
      </c>
      <c r="F138" s="35">
        <f>IFERROR(MATCH(D138,Catalogo!$C$4:$C$1299,0),0)</f>
        <v>0</v>
      </c>
      <c r="H138" s="35" t="e">
        <f>IF(F138&gt;0,F138,MATCH(D138,Catalogo!$D$4:$D$1299,0))</f>
        <v>#N/A</v>
      </c>
      <c r="J138" s="35" t="e">
        <f>INDEX(Catalogo!$C$4:$C$1499,H138)</f>
        <v>#N/A</v>
      </c>
    </row>
    <row r="139" spans="4:10" x14ac:dyDescent="0.25">
      <c r="D139" s="74">
        <v>402990479</v>
      </c>
      <c r="F139" s="35">
        <f>IFERROR(MATCH(D139,Catalogo!$C$4:$C$1299,0),0)</f>
        <v>0</v>
      </c>
      <c r="H139" s="35" t="e">
        <f>IF(F139&gt;0,F139,MATCH(D139,Catalogo!$D$4:$D$1299,0))</f>
        <v>#N/A</v>
      </c>
      <c r="J139" s="35" t="e">
        <f>INDEX(Catalogo!$C$4:$C$1499,H139)</f>
        <v>#N/A</v>
      </c>
    </row>
    <row r="140" spans="4:10" x14ac:dyDescent="0.25">
      <c r="D140" s="77">
        <v>209380851</v>
      </c>
      <c r="F140" s="35">
        <f>IFERROR(MATCH(D140,Catalogo!$C$4:$C$1299,0),0)</f>
        <v>0</v>
      </c>
      <c r="H140" s="35" t="e">
        <f>IF(F140&gt;0,F140,MATCH(D140,Catalogo!$D$4:$D$1299,0))</f>
        <v>#N/A</v>
      </c>
      <c r="J140" s="35" t="e">
        <f>INDEX(Catalogo!$C$4:$C$1499,H140)</f>
        <v>#N/A</v>
      </c>
    </row>
    <row r="141" spans="4:10" x14ac:dyDescent="0.25">
      <c r="D141" s="74">
        <v>403000742</v>
      </c>
      <c r="F141" s="35">
        <f>IFERROR(MATCH(D141,Catalogo!$C$4:$C$1299,0),0)</f>
        <v>0</v>
      </c>
      <c r="H141" s="35" t="e">
        <f>IF(F141&gt;0,F141,MATCH(D141,Catalogo!$D$4:$D$1299,0))</f>
        <v>#N/A</v>
      </c>
      <c r="J141" s="35" t="e">
        <f>INDEX(Catalogo!$C$4:$C$1499,H141)</f>
        <v>#N/A</v>
      </c>
    </row>
    <row r="142" spans="4:10" x14ac:dyDescent="0.25">
      <c r="D142" s="74">
        <v>403000451</v>
      </c>
      <c r="F142" s="35">
        <f>IFERROR(MATCH(D142,Catalogo!$C$4:$C$1299,0),0)</f>
        <v>0</v>
      </c>
      <c r="H142" s="35" t="e">
        <f>IF(F142&gt;0,F142,MATCH(D142,Catalogo!$D$4:$D$1299,0))</f>
        <v>#N/A</v>
      </c>
      <c r="J142" s="35" t="e">
        <f>INDEX(Catalogo!$C$4:$C$1499,H142)</f>
        <v>#N/A</v>
      </c>
    </row>
    <row r="143" spans="4:10" x14ac:dyDescent="0.25">
      <c r="D143" s="74">
        <v>209630763</v>
      </c>
      <c r="F143" s="35">
        <f>IFERROR(MATCH(D143,Catalogo!$C$4:$C$1299,0),0)</f>
        <v>0</v>
      </c>
      <c r="H143" s="35" t="e">
        <f>IF(F143&gt;0,F143,MATCH(D143,Catalogo!$D$4:$D$1299,0))</f>
        <v>#N/A</v>
      </c>
      <c r="J143" s="35" t="e">
        <f>INDEX(Catalogo!$C$4:$C$1499,H143)</f>
        <v>#N/A</v>
      </c>
    </row>
    <row r="144" spans="4:10" x14ac:dyDescent="0.25">
      <c r="D144" s="74">
        <v>209640593</v>
      </c>
      <c r="F144" s="35">
        <f>IFERROR(MATCH(D144,Catalogo!$C$4:$C$1299,0),0)</f>
        <v>0</v>
      </c>
      <c r="H144" s="35" t="e">
        <f>IF(F144&gt;0,F144,MATCH(D144,Catalogo!$D$4:$D$1299,0))</f>
        <v>#N/A</v>
      </c>
      <c r="J144" s="35" t="e">
        <f>INDEX(Catalogo!$C$4:$C$1499,H144)</f>
        <v>#N/A</v>
      </c>
    </row>
    <row r="145" spans="4:10" x14ac:dyDescent="0.25">
      <c r="D145" s="74">
        <v>209550325</v>
      </c>
      <c r="F145" s="35">
        <f>IFERROR(MATCH(D145,Catalogo!$C$4:$C$1299,0),0)</f>
        <v>0</v>
      </c>
      <c r="H145" s="35" t="e">
        <f>IF(F145&gt;0,F145,MATCH(D145,Catalogo!$D$4:$D$1299,0))</f>
        <v>#N/A</v>
      </c>
      <c r="J145" s="35" t="e">
        <f>INDEX(Catalogo!$C$4:$C$1499,H145)</f>
        <v>#N/A</v>
      </c>
    </row>
    <row r="146" spans="4:10" x14ac:dyDescent="0.25">
      <c r="D146" s="75">
        <v>209490346</v>
      </c>
      <c r="F146" s="35">
        <f>IFERROR(MATCH(D146,Catalogo!$C$4:$C$1299,0),0)</f>
        <v>0</v>
      </c>
      <c r="H146" s="35" t="e">
        <f>IF(F146&gt;0,F146,MATCH(D146,Catalogo!$D$4:$D$1299,0))</f>
        <v>#N/A</v>
      </c>
      <c r="J146" s="35" t="e">
        <f>INDEX(Catalogo!$C$4:$C$1499,H146)</f>
        <v>#N/A</v>
      </c>
    </row>
    <row r="147" spans="4:10" x14ac:dyDescent="0.25">
      <c r="D147" s="75">
        <v>209590509</v>
      </c>
      <c r="F147" s="35">
        <f>IFERROR(MATCH(D147,Catalogo!$C$4:$C$1299,0),0)</f>
        <v>0</v>
      </c>
      <c r="H147" s="35" t="e">
        <f>IF(F147&gt;0,F147,MATCH(D147,Catalogo!$D$4:$D$1299,0))</f>
        <v>#N/A</v>
      </c>
      <c r="J147" s="35" t="e">
        <f>INDEX(Catalogo!$C$4:$C$1499,H147)</f>
        <v>#N/A</v>
      </c>
    </row>
    <row r="148" spans="4:10" x14ac:dyDescent="0.25">
      <c r="D148" s="78">
        <v>209380834</v>
      </c>
      <c r="F148" s="35">
        <f>IFERROR(MATCH(D148,Catalogo!$C$4:$C$1299,0),0)</f>
        <v>0</v>
      </c>
      <c r="H148" s="35" t="e">
        <f>IF(F148&gt;0,F148,MATCH(D148,Catalogo!$D$4:$D$1299,0))</f>
        <v>#N/A</v>
      </c>
      <c r="J148" s="35" t="e">
        <f>INDEX(Catalogo!$C$4:$C$1499,H148)</f>
        <v>#N/A</v>
      </c>
    </row>
    <row r="149" spans="4:10" x14ac:dyDescent="0.25">
      <c r="D149" s="78">
        <v>402910147</v>
      </c>
      <c r="F149" s="35">
        <f>IFERROR(MATCH(D149,Catalogo!$C$4:$C$1299,0),0)</f>
        <v>0</v>
      </c>
      <c r="H149" s="35" t="e">
        <f>IF(F149&gt;0,F149,MATCH(D149,Catalogo!$D$4:$D$1299,0))</f>
        <v>#N/A</v>
      </c>
      <c r="J149" s="35" t="e">
        <f>INDEX(Catalogo!$C$4:$C$1499,H149)</f>
        <v>#N/A</v>
      </c>
    </row>
    <row r="150" spans="4:10" x14ac:dyDescent="0.25">
      <c r="D150" s="78">
        <v>209530053</v>
      </c>
      <c r="F150" s="35">
        <f>IFERROR(MATCH(D150,Catalogo!$C$4:$C$1299,0),0)</f>
        <v>0</v>
      </c>
      <c r="H150" s="35" t="e">
        <f>IF(F150&gt;0,F150,MATCH(D150,Catalogo!$D$4:$D$1299,0))</f>
        <v>#N/A</v>
      </c>
      <c r="J150" s="35" t="e">
        <f>INDEX(Catalogo!$C$4:$C$1499,H150)</f>
        <v>#N/A</v>
      </c>
    </row>
    <row r="151" spans="4:10" x14ac:dyDescent="0.25">
      <c r="D151" s="79" t="s">
        <v>2197</v>
      </c>
      <c r="F151" s="35">
        <f>IFERROR(MATCH(D151,Catalogo!$C$4:$C$1299,0),0)</f>
        <v>0</v>
      </c>
      <c r="H151" s="35" t="e">
        <f>IF(F151&gt;0,F151,MATCH(D151,Catalogo!$D$4:$D$1299,0))</f>
        <v>#N/A</v>
      </c>
      <c r="J151" s="35" t="e">
        <f>INDEX(Catalogo!$C$4:$C$1499,H151)</f>
        <v>#N/A</v>
      </c>
    </row>
    <row r="152" spans="4:10" x14ac:dyDescent="0.25">
      <c r="D152" s="79">
        <v>209440759</v>
      </c>
      <c r="F152" s="35">
        <f>IFERROR(MATCH(D152,Catalogo!$C$4:$C$1299,0),0)</f>
        <v>0</v>
      </c>
      <c r="H152" s="35" t="e">
        <f>IF(F152&gt;0,F152,MATCH(D152,Catalogo!$D$4:$D$1299,0))</f>
        <v>#N/A</v>
      </c>
      <c r="J152" s="35" t="e">
        <f>INDEX(Catalogo!$C$4:$C$1499,H152)</f>
        <v>#N/A</v>
      </c>
    </row>
    <row r="153" spans="4:10" x14ac:dyDescent="0.25">
      <c r="D153" s="78">
        <v>402910919</v>
      </c>
      <c r="F153" s="35">
        <f>IFERROR(MATCH(D153,Catalogo!$C$4:$C$1299,0),0)</f>
        <v>0</v>
      </c>
      <c r="H153" s="35" t="e">
        <f>IF(F153&gt;0,F153,MATCH(D153,Catalogo!$D$4:$D$1299,0))</f>
        <v>#N/A</v>
      </c>
      <c r="J153" s="35" t="e">
        <f>INDEX(Catalogo!$C$4:$C$1499,H153)</f>
        <v>#N/A</v>
      </c>
    </row>
    <row r="154" spans="4:10" x14ac:dyDescent="0.25">
      <c r="D154" s="78">
        <v>209490185</v>
      </c>
      <c r="F154" s="35">
        <f>IFERROR(MATCH(D154,Catalogo!$C$4:$C$1299,0),0)</f>
        <v>0</v>
      </c>
      <c r="H154" s="35" t="e">
        <f>IF(F154&gt;0,F154,MATCH(D154,Catalogo!$D$4:$D$1299,0))</f>
        <v>#N/A</v>
      </c>
      <c r="J154" s="35" t="e">
        <f>INDEX(Catalogo!$C$4:$C$1499,H154)</f>
        <v>#N/A</v>
      </c>
    </row>
    <row r="155" spans="4:10" x14ac:dyDescent="0.25">
      <c r="D155" s="78">
        <v>209390068</v>
      </c>
      <c r="F155" s="35">
        <f>IFERROR(MATCH(D155,Catalogo!$C$4:$C$1299,0),0)</f>
        <v>0</v>
      </c>
      <c r="H155" s="35" t="e">
        <f>IF(F155&gt;0,F155,MATCH(D155,Catalogo!$D$4:$D$1299,0))</f>
        <v>#N/A</v>
      </c>
      <c r="J155" s="35" t="e">
        <f>INDEX(Catalogo!$C$4:$C$1499,H155)</f>
        <v>#N/A</v>
      </c>
    </row>
    <row r="156" spans="4:10" x14ac:dyDescent="0.25">
      <c r="D156" s="79">
        <v>209330482</v>
      </c>
      <c r="F156" s="35">
        <f>IFERROR(MATCH(D156,Catalogo!$C$4:$C$1299,0),0)</f>
        <v>0</v>
      </c>
      <c r="H156" s="35" t="e">
        <f>IF(F156&gt;0,F156,MATCH(D156,Catalogo!$D$4:$D$1299,0))</f>
        <v>#N/A</v>
      </c>
      <c r="J156" s="35" t="e">
        <f>INDEX(Catalogo!$C$4:$C$1499,H156)</f>
        <v>#N/A</v>
      </c>
    </row>
    <row r="157" spans="4:10" x14ac:dyDescent="0.25">
      <c r="D157" s="75">
        <v>209490347</v>
      </c>
      <c r="F157" s="35">
        <f>IFERROR(MATCH(D157,Catalogo!$C$4:$C$1299,0),0)</f>
        <v>0</v>
      </c>
      <c r="H157" s="35" t="e">
        <f>IF(F157&gt;0,F157,MATCH(D157,Catalogo!$D$4:$D$1299,0))</f>
        <v>#N/A</v>
      </c>
      <c r="J157" s="35" t="e">
        <f>INDEX(Catalogo!$C$4:$C$1499,H157)</f>
        <v>#N/A</v>
      </c>
    </row>
    <row r="158" spans="4:10" x14ac:dyDescent="0.25">
      <c r="D158" s="75">
        <v>209350594</v>
      </c>
      <c r="F158" s="35">
        <f>IFERROR(MATCH(D158,Catalogo!$C$4:$C$1299,0),0)</f>
        <v>0</v>
      </c>
      <c r="H158" s="35" t="e">
        <f>IF(F158&gt;0,F158,MATCH(D158,Catalogo!$D$4:$D$1299,0))</f>
        <v>#N/A</v>
      </c>
      <c r="J158" s="35" t="e">
        <f>INDEX(Catalogo!$C$4:$C$1499,H158)</f>
        <v>#N/A</v>
      </c>
    </row>
    <row r="159" spans="4:10" x14ac:dyDescent="0.25">
      <c r="D159" s="79">
        <v>402910888</v>
      </c>
      <c r="F159" s="35">
        <f>IFERROR(MATCH(D159,Catalogo!$C$4:$C$1299,0),0)</f>
        <v>0</v>
      </c>
      <c r="H159" s="35" t="e">
        <f>IF(F159&gt;0,F159,MATCH(D159,Catalogo!$D$4:$D$1299,0))</f>
        <v>#N/A</v>
      </c>
      <c r="J159" s="35" t="e">
        <f>INDEX(Catalogo!$C$4:$C$1499,H159)</f>
        <v>#N/A</v>
      </c>
    </row>
    <row r="160" spans="4:10" x14ac:dyDescent="0.25">
      <c r="D160" s="79">
        <v>121120009</v>
      </c>
      <c r="F160" s="35">
        <f>IFERROR(MATCH(D160,Catalogo!$C$4:$C$1299,0),0)</f>
        <v>0</v>
      </c>
      <c r="H160" s="35" t="e">
        <f>IF(F160&gt;0,F160,MATCH(D160,Catalogo!$D$4:$D$1299,0))</f>
        <v>#N/A</v>
      </c>
      <c r="J160" s="35" t="e">
        <f>INDEX(Catalogo!$C$4:$C$1499,H160)</f>
        <v>#N/A</v>
      </c>
    </row>
    <row r="161" spans="4:10" x14ac:dyDescent="0.25">
      <c r="D161" s="79">
        <v>121260947</v>
      </c>
      <c r="F161" s="35">
        <f>IFERROR(MATCH(D161,Catalogo!$C$4:$C$1299,0),0)</f>
        <v>0</v>
      </c>
      <c r="H161" s="35" t="e">
        <f>IF(F161&gt;0,F161,MATCH(D161,Catalogo!$D$4:$D$1299,0))</f>
        <v>#N/A</v>
      </c>
      <c r="J161" s="35" t="e">
        <f>INDEX(Catalogo!$C$4:$C$1499,H161)</f>
        <v>#N/A</v>
      </c>
    </row>
    <row r="162" spans="4:10" x14ac:dyDescent="0.25">
      <c r="D162" s="78">
        <v>402900498</v>
      </c>
      <c r="F162" s="35">
        <f>IFERROR(MATCH(D162,Catalogo!$C$4:$C$1299,0),0)</f>
        <v>3</v>
      </c>
      <c r="H162" s="35">
        <f>IF(F162&gt;0,F162,MATCH(D162,Catalogo!$D$4:$D$1299,0))</f>
        <v>3</v>
      </c>
      <c r="J162" s="35">
        <f>INDEX(Catalogo!$C$4:$C$1499,H162)</f>
        <v>402900498</v>
      </c>
    </row>
    <row r="163" spans="4:10" x14ac:dyDescent="0.25">
      <c r="D163" s="79">
        <v>121190758</v>
      </c>
      <c r="F163" s="35">
        <f>IFERROR(MATCH(D163,Catalogo!$C$4:$C$1299,0),0)</f>
        <v>0</v>
      </c>
      <c r="H163" s="35" t="e">
        <f>IF(F163&gt;0,F163,MATCH(D163,Catalogo!$D$4:$D$1299,0))</f>
        <v>#N/A</v>
      </c>
      <c r="J163" s="35" t="e">
        <f>INDEX(Catalogo!$C$4:$C$1499,H163)</f>
        <v>#N/A</v>
      </c>
    </row>
    <row r="164" spans="4:10" x14ac:dyDescent="0.25">
      <c r="D164" s="78">
        <v>402920434</v>
      </c>
      <c r="F164" s="35">
        <f>IFERROR(MATCH(D164,Catalogo!$C$4:$C$1299,0),0)</f>
        <v>0</v>
      </c>
      <c r="H164" s="35" t="e">
        <f>IF(F164&gt;0,F164,MATCH(D164,Catalogo!$D$4:$D$1299,0))</f>
        <v>#N/A</v>
      </c>
      <c r="J164" s="35" t="e">
        <f>INDEX(Catalogo!$C$4:$C$1499,H164)</f>
        <v>#N/A</v>
      </c>
    </row>
    <row r="165" spans="4:10" x14ac:dyDescent="0.25">
      <c r="D165" s="79">
        <v>504920958</v>
      </c>
      <c r="F165" s="35">
        <f>IFERROR(MATCH(D165,Catalogo!$C$4:$C$1299,0),0)</f>
        <v>0</v>
      </c>
      <c r="H165" s="35" t="e">
        <f>IF(F165&gt;0,F165,MATCH(D165,Catalogo!$D$4:$D$1299,0))</f>
        <v>#N/A</v>
      </c>
      <c r="J165" s="35" t="e">
        <f>INDEX(Catalogo!$C$4:$C$1499,H165)</f>
        <v>#N/A</v>
      </c>
    </row>
    <row r="166" spans="4:10" x14ac:dyDescent="0.25">
      <c r="D166" s="78">
        <v>209520711</v>
      </c>
      <c r="F166" s="35">
        <f>IFERROR(MATCH(D166,Catalogo!$C$4:$C$1299,0),0)</f>
        <v>0</v>
      </c>
      <c r="H166" s="35" t="e">
        <f>IF(F166&gt;0,F166,MATCH(D166,Catalogo!$D$4:$D$1299,0))</f>
        <v>#N/A</v>
      </c>
      <c r="J166" s="35" t="e">
        <f>INDEX(Catalogo!$C$4:$C$1499,H166)</f>
        <v>#N/A</v>
      </c>
    </row>
    <row r="167" spans="4:10" x14ac:dyDescent="0.25">
      <c r="D167" s="78">
        <v>209480258</v>
      </c>
      <c r="F167" s="35">
        <f>IFERROR(MATCH(D167,Catalogo!$C$4:$C$1299,0),0)</f>
        <v>0</v>
      </c>
      <c r="H167" s="35" t="e">
        <f>IF(F167&gt;0,F167,MATCH(D167,Catalogo!$D$4:$D$1299,0))</f>
        <v>#N/A</v>
      </c>
      <c r="J167" s="35" t="e">
        <f>INDEX(Catalogo!$C$4:$C$1499,H167)</f>
        <v>#N/A</v>
      </c>
    </row>
    <row r="168" spans="4:10" x14ac:dyDescent="0.25">
      <c r="D168" s="79">
        <v>402920398</v>
      </c>
      <c r="F168" s="35">
        <f>IFERROR(MATCH(D168,Catalogo!$C$4:$C$1299,0),0)</f>
        <v>0</v>
      </c>
      <c r="H168" s="35" t="e">
        <f>IF(F168&gt;0,F168,MATCH(D168,Catalogo!$D$4:$D$1299,0))</f>
        <v>#N/A</v>
      </c>
      <c r="J168" s="35" t="e">
        <f>INDEX(Catalogo!$C$4:$C$1499,H168)</f>
        <v>#N/A</v>
      </c>
    </row>
    <row r="169" spans="4:10" x14ac:dyDescent="0.25">
      <c r="D169" s="79">
        <v>209420346</v>
      </c>
      <c r="F169" s="35">
        <f>IFERROR(MATCH(D169,Catalogo!$C$4:$C$1299,0),0)</f>
        <v>0</v>
      </c>
      <c r="H169" s="35" t="e">
        <f>IF(F169&gt;0,F169,MATCH(D169,Catalogo!$D$4:$D$1299,0))</f>
        <v>#N/A</v>
      </c>
      <c r="J169" s="35" t="e">
        <f>INDEX(Catalogo!$C$4:$C$1499,H169)</f>
        <v>#N/A</v>
      </c>
    </row>
    <row r="170" spans="4:10" x14ac:dyDescent="0.25">
      <c r="D170" s="79">
        <v>402940358</v>
      </c>
      <c r="F170" s="35">
        <f>IFERROR(MATCH(D170,Catalogo!$C$4:$C$1299,0),0)</f>
        <v>0</v>
      </c>
      <c r="H170" s="35" t="e">
        <f>IF(F170&gt;0,F170,MATCH(D170,Catalogo!$D$4:$D$1299,0))</f>
        <v>#N/A</v>
      </c>
      <c r="J170" s="35" t="e">
        <f>INDEX(Catalogo!$C$4:$C$1499,H170)</f>
        <v>#N/A</v>
      </c>
    </row>
    <row r="171" spans="4:10" x14ac:dyDescent="0.25">
      <c r="D171" s="79">
        <v>402940191</v>
      </c>
      <c r="F171" s="35">
        <f>IFERROR(MATCH(D171,Catalogo!$C$4:$C$1299,0),0)</f>
        <v>0</v>
      </c>
      <c r="H171" s="35" t="e">
        <f>IF(F171&gt;0,F171,MATCH(D171,Catalogo!$D$4:$D$1299,0))</f>
        <v>#N/A</v>
      </c>
      <c r="J171" s="35" t="e">
        <f>INDEX(Catalogo!$C$4:$C$1499,H171)</f>
        <v>#N/A</v>
      </c>
    </row>
    <row r="172" spans="4:10" x14ac:dyDescent="0.25">
      <c r="D172" s="78">
        <v>402920095</v>
      </c>
      <c r="F172" s="35">
        <f>IFERROR(MATCH(D172,Catalogo!$C$4:$C$1299,0),0)</f>
        <v>0</v>
      </c>
      <c r="H172" s="35" t="e">
        <f>IF(F172&gt;0,F172,MATCH(D172,Catalogo!$D$4:$D$1299,0))</f>
        <v>#N/A</v>
      </c>
      <c r="J172" s="35" t="e">
        <f>INDEX(Catalogo!$C$4:$C$1499,H172)</f>
        <v>#N/A</v>
      </c>
    </row>
    <row r="173" spans="4:10" x14ac:dyDescent="0.25">
      <c r="D173" s="79">
        <v>402920384</v>
      </c>
      <c r="F173" s="35">
        <f>IFERROR(MATCH(D173,Catalogo!$C$4:$C$1299,0),0)</f>
        <v>0</v>
      </c>
      <c r="H173" s="35" t="e">
        <f>IF(F173&gt;0,F173,MATCH(D173,Catalogo!$D$4:$D$1299,0))</f>
        <v>#N/A</v>
      </c>
      <c r="J173" s="35" t="e">
        <f>INDEX(Catalogo!$C$4:$C$1499,H173)</f>
        <v>#N/A</v>
      </c>
    </row>
    <row r="174" spans="4:10" x14ac:dyDescent="0.25">
      <c r="D174" s="78">
        <v>402940158</v>
      </c>
      <c r="F174" s="35">
        <f>IFERROR(MATCH(D174,Catalogo!$C$4:$C$1299,0),0)</f>
        <v>0</v>
      </c>
      <c r="H174" s="35" t="e">
        <f>IF(F174&gt;0,F174,MATCH(D174,Catalogo!$D$4:$D$1299,0))</f>
        <v>#N/A</v>
      </c>
      <c r="J174" s="35" t="e">
        <f>INDEX(Catalogo!$C$4:$C$1499,H174)</f>
        <v>#N/A</v>
      </c>
    </row>
    <row r="175" spans="4:10" x14ac:dyDescent="0.25">
      <c r="D175" s="78">
        <v>209410971</v>
      </c>
      <c r="F175" s="35">
        <f>IFERROR(MATCH(D175,Catalogo!$C$4:$C$1299,0),0)</f>
        <v>0</v>
      </c>
      <c r="H175" s="35" t="e">
        <f>IF(F175&gt;0,F175,MATCH(D175,Catalogo!$D$4:$D$1299,0))</f>
        <v>#N/A</v>
      </c>
      <c r="J175" s="35" t="e">
        <f>INDEX(Catalogo!$C$4:$C$1499,H175)</f>
        <v>#N/A</v>
      </c>
    </row>
    <row r="176" spans="4:10" x14ac:dyDescent="0.25">
      <c r="D176" s="75">
        <v>402920217</v>
      </c>
      <c r="F176" s="35">
        <f>IFERROR(MATCH(D176,Catalogo!$C$4:$C$1299,0),0)</f>
        <v>0</v>
      </c>
      <c r="H176" s="35" t="e">
        <f>IF(F176&gt;0,F176,MATCH(D176,Catalogo!$D$4:$D$1299,0))</f>
        <v>#N/A</v>
      </c>
      <c r="J176" s="35" t="e">
        <f>INDEX(Catalogo!$C$4:$C$1499,H176)</f>
        <v>#N/A</v>
      </c>
    </row>
    <row r="177" spans="4:10" x14ac:dyDescent="0.25">
      <c r="D177" s="78">
        <v>209480950</v>
      </c>
      <c r="F177" s="35">
        <f>IFERROR(MATCH(D177,Catalogo!$C$4:$C$1299,0),0)</f>
        <v>0</v>
      </c>
      <c r="H177" s="35" t="e">
        <f>IF(F177&gt;0,F177,MATCH(D177,Catalogo!$D$4:$D$1299,0))</f>
        <v>#N/A</v>
      </c>
      <c r="J177" s="35" t="e">
        <f>INDEX(Catalogo!$C$4:$C$1499,H177)</f>
        <v>#N/A</v>
      </c>
    </row>
    <row r="178" spans="4:10" x14ac:dyDescent="0.25">
      <c r="D178" s="78">
        <v>209390468</v>
      </c>
      <c r="F178" s="35">
        <f>IFERROR(MATCH(D178,Catalogo!$C$4:$C$1299,0),0)</f>
        <v>0</v>
      </c>
      <c r="H178" s="35" t="e">
        <f>IF(F178&gt;0,F178,MATCH(D178,Catalogo!$D$4:$D$1299,0))</f>
        <v>#N/A</v>
      </c>
      <c r="J178" s="35" t="e">
        <f>INDEX(Catalogo!$C$4:$C$1499,H178)</f>
        <v>#N/A</v>
      </c>
    </row>
    <row r="179" spans="4:10" x14ac:dyDescent="0.25">
      <c r="D179" s="78">
        <v>209410315</v>
      </c>
      <c r="F179" s="35">
        <f>IFERROR(MATCH(D179,Catalogo!$C$4:$C$1299,0),0)</f>
        <v>0</v>
      </c>
      <c r="H179" s="35" t="e">
        <f>IF(F179&gt;0,F179,MATCH(D179,Catalogo!$D$4:$D$1299,0))</f>
        <v>#N/A</v>
      </c>
      <c r="J179" s="35" t="e">
        <f>INDEX(Catalogo!$C$4:$C$1499,H179)</f>
        <v>#N/A</v>
      </c>
    </row>
    <row r="180" spans="4:10" x14ac:dyDescent="0.25">
      <c r="D180" s="79">
        <v>402910373</v>
      </c>
      <c r="F180" s="35">
        <f>IFERROR(MATCH(D180,Catalogo!$C$4:$C$1299,0),0)</f>
        <v>0</v>
      </c>
      <c r="H180" s="35" t="e">
        <f>IF(F180&gt;0,F180,MATCH(D180,Catalogo!$D$4:$D$1299,0))</f>
        <v>#N/A</v>
      </c>
      <c r="J180" s="35" t="e">
        <f>INDEX(Catalogo!$C$4:$C$1499,H180)</f>
        <v>#N/A</v>
      </c>
    </row>
    <row r="181" spans="4:10" x14ac:dyDescent="0.25">
      <c r="D181" s="78">
        <v>209440530</v>
      </c>
      <c r="F181" s="35">
        <f>IFERROR(MATCH(D181,Catalogo!$C$4:$C$1299,0),0)</f>
        <v>0</v>
      </c>
      <c r="H181" s="35" t="e">
        <f>IF(F181&gt;0,F181,MATCH(D181,Catalogo!$D$4:$D$1299,0))</f>
        <v>#N/A</v>
      </c>
      <c r="J181" s="35" t="e">
        <f>INDEX(Catalogo!$C$4:$C$1499,H181)</f>
        <v>#N/A</v>
      </c>
    </row>
    <row r="182" spans="4:10" x14ac:dyDescent="0.25">
      <c r="D182" s="78">
        <v>209470650</v>
      </c>
      <c r="F182" s="35">
        <f>IFERROR(MATCH(D182,Catalogo!$C$4:$C$1299,0),0)</f>
        <v>0</v>
      </c>
      <c r="H182" s="35" t="e">
        <f>IF(F182&gt;0,F182,MATCH(D182,Catalogo!$D$4:$D$1299,0))</f>
        <v>#N/A</v>
      </c>
      <c r="J182" s="35" t="e">
        <f>INDEX(Catalogo!$C$4:$C$1499,H182)</f>
        <v>#N/A</v>
      </c>
    </row>
    <row r="183" spans="4:10" x14ac:dyDescent="0.25">
      <c r="D183" s="78">
        <v>402910264</v>
      </c>
      <c r="F183" s="35">
        <f>IFERROR(MATCH(D183,Catalogo!$C$4:$C$1299,0),0)</f>
        <v>0</v>
      </c>
      <c r="H183" s="35" t="e">
        <f>IF(F183&gt;0,F183,MATCH(D183,Catalogo!$D$4:$D$1299,0))</f>
        <v>#N/A</v>
      </c>
      <c r="J183" s="35" t="e">
        <f>INDEX(Catalogo!$C$4:$C$1499,H183)</f>
        <v>#N/A</v>
      </c>
    </row>
    <row r="184" spans="4:10" x14ac:dyDescent="0.25">
      <c r="D184" s="79">
        <v>402950957</v>
      </c>
      <c r="F184" s="35">
        <f>IFERROR(MATCH(D184,Catalogo!$C$4:$C$1299,0),0)</f>
        <v>0</v>
      </c>
      <c r="H184" s="35" t="e">
        <f>IF(F184&gt;0,F184,MATCH(D184,Catalogo!$D$4:$D$1299,0))</f>
        <v>#N/A</v>
      </c>
      <c r="J184" s="35" t="e">
        <f>INDEX(Catalogo!$C$4:$C$1499,H184)</f>
        <v>#N/A</v>
      </c>
    </row>
    <row r="185" spans="4:10" x14ac:dyDescent="0.25">
      <c r="D185" s="79">
        <v>209480567</v>
      </c>
      <c r="F185" s="35">
        <f>IFERROR(MATCH(D185,Catalogo!$C$4:$C$1299,0),0)</f>
        <v>0</v>
      </c>
      <c r="H185" s="35" t="e">
        <f>IF(F185&gt;0,F185,MATCH(D185,Catalogo!$D$4:$D$1299,0))</f>
        <v>#N/A</v>
      </c>
      <c r="J185" s="35" t="e">
        <f>INDEX(Catalogo!$C$4:$C$1499,H185)</f>
        <v>#N/A</v>
      </c>
    </row>
    <row r="186" spans="4:10" x14ac:dyDescent="0.25">
      <c r="D186" s="75">
        <v>209510775</v>
      </c>
      <c r="F186" s="35">
        <f>IFERROR(MATCH(D186,Catalogo!$C$4:$C$1299,0),0)</f>
        <v>0</v>
      </c>
      <c r="H186" s="35" t="e">
        <f>IF(F186&gt;0,F186,MATCH(D186,Catalogo!$D$4:$D$1299,0))</f>
        <v>#N/A</v>
      </c>
      <c r="J186" s="35" t="e">
        <f>INDEX(Catalogo!$C$4:$C$1499,H186)</f>
        <v>#N/A</v>
      </c>
    </row>
    <row r="187" spans="4:10" x14ac:dyDescent="0.25">
      <c r="D187" s="75">
        <v>402930756</v>
      </c>
      <c r="F187" s="35">
        <f>IFERROR(MATCH(D187,Catalogo!$C$4:$C$1299,0),0)</f>
        <v>0</v>
      </c>
      <c r="H187" s="35" t="e">
        <f>IF(F187&gt;0,F187,MATCH(D187,Catalogo!$D$4:$D$1299,0))</f>
        <v>#N/A</v>
      </c>
      <c r="J187" s="35" t="e">
        <f>INDEX(Catalogo!$C$4:$C$1499,H187)</f>
        <v>#N/A</v>
      </c>
    </row>
    <row r="188" spans="4:10" x14ac:dyDescent="0.25">
      <c r="D188" s="75">
        <v>402920002</v>
      </c>
      <c r="F188" s="35">
        <f>IFERROR(MATCH(D188,Catalogo!$C$4:$C$1299,0),0)</f>
        <v>0</v>
      </c>
      <c r="H188" s="35" t="e">
        <f>IF(F188&gt;0,F188,MATCH(D188,Catalogo!$D$4:$D$1299,0))</f>
        <v>#N/A</v>
      </c>
      <c r="J188" s="35" t="e">
        <f>INDEX(Catalogo!$C$4:$C$1499,H188)</f>
        <v>#N/A</v>
      </c>
    </row>
    <row r="189" spans="4:10" x14ac:dyDescent="0.25">
      <c r="D189" s="78">
        <v>209430239</v>
      </c>
      <c r="F189" s="35">
        <f>IFERROR(MATCH(D189,Catalogo!$C$4:$C$1299,0),0)</f>
        <v>0</v>
      </c>
      <c r="H189" s="35" t="e">
        <f>IF(F189&gt;0,F189,MATCH(D189,Catalogo!$D$4:$D$1299,0))</f>
        <v>#N/A</v>
      </c>
      <c r="J189" s="35" t="e">
        <f>INDEX(Catalogo!$C$4:$C$1499,H189)</f>
        <v>#N/A</v>
      </c>
    </row>
    <row r="190" spans="4:10" x14ac:dyDescent="0.25">
      <c r="D190" s="79">
        <v>209500534</v>
      </c>
      <c r="F190" s="35">
        <f>IFERROR(MATCH(D190,Catalogo!$C$4:$C$1299,0),0)</f>
        <v>0</v>
      </c>
      <c r="H190" s="35" t="e">
        <f>IF(F190&gt;0,F190,MATCH(D190,Catalogo!$D$4:$D$1299,0))</f>
        <v>#N/A</v>
      </c>
      <c r="J190" s="35" t="e">
        <f>INDEX(Catalogo!$C$4:$C$1499,H190)</f>
        <v>#N/A</v>
      </c>
    </row>
    <row r="191" spans="4:10" x14ac:dyDescent="0.25">
      <c r="D191" s="78">
        <v>209410501</v>
      </c>
      <c r="F191" s="35">
        <f>IFERROR(MATCH(D191,Catalogo!$C$4:$C$1299,0),0)</f>
        <v>0</v>
      </c>
      <c r="H191" s="35" t="e">
        <f>IF(F191&gt;0,F191,MATCH(D191,Catalogo!$D$4:$D$1299,0))</f>
        <v>#N/A</v>
      </c>
      <c r="J191" s="35" t="e">
        <f>INDEX(Catalogo!$C$4:$C$1499,H191)</f>
        <v>#N/A</v>
      </c>
    </row>
    <row r="192" spans="4:10" x14ac:dyDescent="0.25">
      <c r="D192" s="78">
        <v>209440152</v>
      </c>
      <c r="F192" s="35">
        <f>IFERROR(MATCH(D192,Catalogo!$C$4:$C$1299,0),0)</f>
        <v>0</v>
      </c>
      <c r="H192" s="35" t="e">
        <f>IF(F192&gt;0,F192,MATCH(D192,Catalogo!$D$4:$D$1299,0))</f>
        <v>#N/A</v>
      </c>
      <c r="J192" s="35" t="e">
        <f>INDEX(Catalogo!$C$4:$C$1499,H192)</f>
        <v>#N/A</v>
      </c>
    </row>
    <row r="193" spans="4:10" x14ac:dyDescent="0.25">
      <c r="D193" s="78">
        <v>209530351</v>
      </c>
      <c r="F193" s="35">
        <f>IFERROR(MATCH(D193,Catalogo!$C$4:$C$1299,0),0)</f>
        <v>0</v>
      </c>
      <c r="H193" s="35" t="e">
        <f>IF(F193&gt;0,F193,MATCH(D193,Catalogo!$D$4:$D$1299,0))</f>
        <v>#N/A</v>
      </c>
      <c r="J193" s="35" t="e">
        <f>INDEX(Catalogo!$C$4:$C$1499,H193)</f>
        <v>#N/A</v>
      </c>
    </row>
    <row r="194" spans="4:10" x14ac:dyDescent="0.25">
      <c r="D194" s="78">
        <v>209410398</v>
      </c>
      <c r="F194" s="35">
        <f>IFERROR(MATCH(D194,Catalogo!$C$4:$C$1299,0),0)</f>
        <v>0</v>
      </c>
      <c r="H194" s="35" t="e">
        <f>IF(F194&gt;0,F194,MATCH(D194,Catalogo!$D$4:$D$1299,0))</f>
        <v>#N/A</v>
      </c>
      <c r="J194" s="35" t="e">
        <f>INDEX(Catalogo!$C$4:$C$1499,H194)</f>
        <v>#N/A</v>
      </c>
    </row>
    <row r="195" spans="4:10" x14ac:dyDescent="0.25">
      <c r="D195" s="78">
        <v>209440096</v>
      </c>
      <c r="F195" s="35">
        <f>IFERROR(MATCH(D195,Catalogo!$C$4:$C$1299,0),0)</f>
        <v>0</v>
      </c>
      <c r="H195" s="35" t="e">
        <f>IF(F195&gt;0,F195,MATCH(D195,Catalogo!$D$4:$D$1299,0))</f>
        <v>#N/A</v>
      </c>
      <c r="J195" s="35" t="e">
        <f>INDEX(Catalogo!$C$4:$C$1499,H195)</f>
        <v>#N/A</v>
      </c>
    </row>
    <row r="196" spans="4:10" x14ac:dyDescent="0.25">
      <c r="D196" s="78">
        <v>209420978</v>
      </c>
      <c r="F196" s="35">
        <f>IFERROR(MATCH(D196,Catalogo!$C$4:$C$1299,0),0)</f>
        <v>0</v>
      </c>
      <c r="H196" s="35" t="e">
        <f>IF(F196&gt;0,F196,MATCH(D196,Catalogo!$D$4:$D$1299,0))</f>
        <v>#N/A</v>
      </c>
      <c r="J196" s="35" t="e">
        <f>INDEX(Catalogo!$C$4:$C$1499,H196)</f>
        <v>#N/A</v>
      </c>
    </row>
    <row r="197" spans="4:10" x14ac:dyDescent="0.25">
      <c r="D197" s="78">
        <v>209520692</v>
      </c>
      <c r="F197" s="35">
        <f>IFERROR(MATCH(D197,Catalogo!$C$4:$C$1299,0),0)</f>
        <v>0</v>
      </c>
      <c r="H197" s="35" t="e">
        <f>IF(F197&gt;0,F197,MATCH(D197,Catalogo!$D$4:$D$1299,0))</f>
        <v>#N/A</v>
      </c>
      <c r="J197" s="35" t="e">
        <f>INDEX(Catalogo!$C$4:$C$1499,H197)</f>
        <v>#N/A</v>
      </c>
    </row>
    <row r="198" spans="4:10" x14ac:dyDescent="0.25">
      <c r="D198" s="78">
        <v>209440546</v>
      </c>
      <c r="F198" s="35">
        <f>IFERROR(MATCH(D198,Catalogo!$C$4:$C$1299,0),0)</f>
        <v>0</v>
      </c>
      <c r="H198" s="35" t="e">
        <f>IF(F198&gt;0,F198,MATCH(D198,Catalogo!$D$4:$D$1299,0))</f>
        <v>#N/A</v>
      </c>
      <c r="J198" s="35" t="e">
        <f>INDEX(Catalogo!$C$4:$C$1499,H198)</f>
        <v>#N/A</v>
      </c>
    </row>
    <row r="199" spans="4:10" x14ac:dyDescent="0.25">
      <c r="D199" s="79">
        <v>209460851</v>
      </c>
      <c r="F199" s="35">
        <f>IFERROR(MATCH(D199,Catalogo!$C$4:$C$1299,0),0)</f>
        <v>0</v>
      </c>
      <c r="H199" s="35" t="e">
        <f>IF(F199&gt;0,F199,MATCH(D199,Catalogo!$D$4:$D$1299,0))</f>
        <v>#N/A</v>
      </c>
      <c r="J199" s="35" t="e">
        <f>INDEX(Catalogo!$C$4:$C$1499,H199)</f>
        <v>#N/A</v>
      </c>
    </row>
    <row r="200" spans="4:10" x14ac:dyDescent="0.25">
      <c r="D200" s="78">
        <v>209440598</v>
      </c>
      <c r="F200" s="35">
        <f>IFERROR(MATCH(D200,Catalogo!$C$4:$C$1299,0),0)</f>
        <v>0</v>
      </c>
      <c r="H200" s="35" t="e">
        <f>IF(F200&gt;0,F200,MATCH(D200,Catalogo!$D$4:$D$1299,0))</f>
        <v>#N/A</v>
      </c>
      <c r="J200" s="35" t="e">
        <f>INDEX(Catalogo!$C$4:$C$1499,H200)</f>
        <v>#N/A</v>
      </c>
    </row>
    <row r="201" spans="4:10" x14ac:dyDescent="0.25">
      <c r="D201" s="78">
        <v>121060918</v>
      </c>
      <c r="F201" s="35">
        <f>IFERROR(MATCH(D201,Catalogo!$C$4:$C$1299,0),0)</f>
        <v>0</v>
      </c>
      <c r="H201" s="35" t="e">
        <f>IF(F201&gt;0,F201,MATCH(D201,Catalogo!$D$4:$D$1299,0))</f>
        <v>#N/A</v>
      </c>
      <c r="J201" s="35" t="e">
        <f>INDEX(Catalogo!$C$4:$C$1499,H201)</f>
        <v>#N/A</v>
      </c>
    </row>
    <row r="202" spans="4:10" x14ac:dyDescent="0.25">
      <c r="D202" s="79">
        <v>402820855</v>
      </c>
      <c r="F202" s="35">
        <f>IFERROR(MATCH(D202,Catalogo!$C$4:$C$1299,0),0)</f>
        <v>0</v>
      </c>
      <c r="H202" s="35" t="e">
        <f>IF(F202&gt;0,F202,MATCH(D202,Catalogo!$D$4:$D$1299,0))</f>
        <v>#N/A</v>
      </c>
      <c r="J202" s="35" t="e">
        <f>INDEX(Catalogo!$C$4:$C$1499,H202)</f>
        <v>#N/A</v>
      </c>
    </row>
    <row r="203" spans="4:10" x14ac:dyDescent="0.25">
      <c r="D203" s="78">
        <v>209430167</v>
      </c>
      <c r="F203" s="35">
        <f>IFERROR(MATCH(D203,Catalogo!$C$4:$C$1299,0),0)</f>
        <v>0</v>
      </c>
      <c r="H203" s="35" t="e">
        <f>IF(F203&gt;0,F203,MATCH(D203,Catalogo!$D$4:$D$1299,0))</f>
        <v>#N/A</v>
      </c>
      <c r="J203" s="35" t="e">
        <f>INDEX(Catalogo!$C$4:$C$1499,H203)</f>
        <v>#N/A</v>
      </c>
    </row>
    <row r="204" spans="4:10" x14ac:dyDescent="0.25">
      <c r="D204" s="79">
        <v>402940593</v>
      </c>
      <c r="F204" s="35">
        <f>IFERROR(MATCH(D204,Catalogo!$C$4:$C$1299,0),0)</f>
        <v>0</v>
      </c>
      <c r="H204" s="35" t="e">
        <f>IF(F204&gt;0,F204,MATCH(D204,Catalogo!$D$4:$D$1299,0))</f>
        <v>#N/A</v>
      </c>
      <c r="J204" s="35" t="e">
        <f>INDEX(Catalogo!$C$4:$C$1499,H204)</f>
        <v>#N/A</v>
      </c>
    </row>
    <row r="205" spans="4:10" x14ac:dyDescent="0.25">
      <c r="D205" s="75">
        <v>121020676</v>
      </c>
      <c r="F205" s="35">
        <f>IFERROR(MATCH(D205,Catalogo!$C$4:$C$1299,0),0)</f>
        <v>0</v>
      </c>
      <c r="H205" s="35" t="e">
        <f>IF(F205&gt;0,F205,MATCH(D205,Catalogo!$D$4:$D$1299,0))</f>
        <v>#N/A</v>
      </c>
      <c r="J205" s="35" t="e">
        <f>INDEX(Catalogo!$C$4:$C$1499,H205)</f>
        <v>#N/A</v>
      </c>
    </row>
    <row r="206" spans="4:10" x14ac:dyDescent="0.25">
      <c r="D206" s="79">
        <v>605240477</v>
      </c>
      <c r="F206" s="35">
        <f>IFERROR(MATCH(D206,Catalogo!$C$4:$C$1299,0),0)</f>
        <v>0</v>
      </c>
      <c r="H206" s="35" t="e">
        <f>IF(F206&gt;0,F206,MATCH(D206,Catalogo!$D$4:$D$1299,0))</f>
        <v>#N/A</v>
      </c>
      <c r="J206" s="35" t="e">
        <f>INDEX(Catalogo!$C$4:$C$1499,H206)</f>
        <v>#N/A</v>
      </c>
    </row>
    <row r="207" spans="4:10" x14ac:dyDescent="0.25">
      <c r="D207" s="78">
        <v>121280740</v>
      </c>
      <c r="F207" s="35">
        <f>IFERROR(MATCH(D207,Catalogo!$C$4:$C$1299,0),0)</f>
        <v>0</v>
      </c>
      <c r="H207" s="35" t="e">
        <f>IF(F207&gt;0,F207,MATCH(D207,Catalogo!$D$4:$D$1299,0))</f>
        <v>#N/A</v>
      </c>
      <c r="J207" s="35" t="e">
        <f>INDEX(Catalogo!$C$4:$C$1499,H207)</f>
        <v>#N/A</v>
      </c>
    </row>
    <row r="208" spans="4:10" x14ac:dyDescent="0.25">
      <c r="D208" s="78">
        <v>209410749</v>
      </c>
      <c r="F208" s="35">
        <f>IFERROR(MATCH(D208,Catalogo!$C$4:$C$1299,0),0)</f>
        <v>0</v>
      </c>
      <c r="H208" s="35" t="e">
        <f>IF(F208&gt;0,F208,MATCH(D208,Catalogo!$D$4:$D$1299,0))</f>
        <v>#N/A</v>
      </c>
      <c r="J208" s="35" t="e">
        <f>INDEX(Catalogo!$C$4:$C$1499,H208)</f>
        <v>#N/A</v>
      </c>
    </row>
    <row r="209" spans="4:10" x14ac:dyDescent="0.25">
      <c r="D209" s="78">
        <v>209450410</v>
      </c>
      <c r="F209" s="35">
        <f>IFERROR(MATCH(D209,Catalogo!$C$4:$C$1299,0),0)</f>
        <v>0</v>
      </c>
      <c r="H209" s="35" t="e">
        <f>IF(F209&gt;0,F209,MATCH(D209,Catalogo!$D$4:$D$1299,0))</f>
        <v>#N/A</v>
      </c>
      <c r="J209" s="35" t="e">
        <f>INDEX(Catalogo!$C$4:$C$1499,H209)</f>
        <v>#N/A</v>
      </c>
    </row>
    <row r="210" spans="4:10" x14ac:dyDescent="0.25">
      <c r="D210" s="78">
        <v>209400911</v>
      </c>
      <c r="F210" s="35">
        <f>IFERROR(MATCH(D210,Catalogo!$C$4:$C$1299,0),0)</f>
        <v>0</v>
      </c>
      <c r="H210" s="35" t="e">
        <f>IF(F210&gt;0,F210,MATCH(D210,Catalogo!$D$4:$D$1299,0))</f>
        <v>#N/A</v>
      </c>
      <c r="J210" s="35" t="e">
        <f>INDEX(Catalogo!$C$4:$C$1499,H210)</f>
        <v>#N/A</v>
      </c>
    </row>
    <row r="211" spans="4:10" x14ac:dyDescent="0.25">
      <c r="D211" s="78">
        <v>209410916</v>
      </c>
      <c r="F211" s="35">
        <f>IFERROR(MATCH(D211,Catalogo!$C$4:$C$1299,0),0)</f>
        <v>0</v>
      </c>
      <c r="H211" s="35" t="e">
        <f>IF(F211&gt;0,F211,MATCH(D211,Catalogo!$D$4:$D$1299,0))</f>
        <v>#N/A</v>
      </c>
      <c r="J211" s="35" t="e">
        <f>INDEX(Catalogo!$C$4:$C$1499,H211)</f>
        <v>#N/A</v>
      </c>
    </row>
    <row r="212" spans="4:10" x14ac:dyDescent="0.25">
      <c r="D212" s="79">
        <v>402900612</v>
      </c>
      <c r="F212" s="35">
        <f>IFERROR(MATCH(D212,Catalogo!$C$4:$C$1299,0),0)</f>
        <v>0</v>
      </c>
      <c r="H212" s="35" t="e">
        <f>IF(F212&gt;0,F212,MATCH(D212,Catalogo!$D$4:$D$1299,0))</f>
        <v>#N/A</v>
      </c>
      <c r="J212" s="35" t="e">
        <f>INDEX(Catalogo!$C$4:$C$1499,H212)</f>
        <v>#N/A</v>
      </c>
    </row>
    <row r="213" spans="4:10" x14ac:dyDescent="0.25">
      <c r="D213" s="78">
        <v>209440744</v>
      </c>
      <c r="F213" s="35">
        <f>IFERROR(MATCH(D213,Catalogo!$C$4:$C$1299,0),0)</f>
        <v>0</v>
      </c>
      <c r="H213" s="35" t="e">
        <f>IF(F213&gt;0,F213,MATCH(D213,Catalogo!$D$4:$D$1299,0))</f>
        <v>#N/A</v>
      </c>
      <c r="J213" s="35" t="e">
        <f>INDEX(Catalogo!$C$4:$C$1499,H213)</f>
        <v>#N/A</v>
      </c>
    </row>
    <row r="214" spans="4:10" x14ac:dyDescent="0.25">
      <c r="D214" s="79">
        <v>209420530</v>
      </c>
      <c r="F214" s="35">
        <f>IFERROR(MATCH(D214,Catalogo!$C$4:$C$1299,0),0)</f>
        <v>0</v>
      </c>
      <c r="H214" s="35" t="e">
        <f>IF(F214&gt;0,F214,MATCH(D214,Catalogo!$D$4:$D$1299,0))</f>
        <v>#N/A</v>
      </c>
      <c r="J214" s="35" t="e">
        <f>INDEX(Catalogo!$C$4:$C$1499,H214)</f>
        <v>#N/A</v>
      </c>
    </row>
    <row r="215" spans="4:10" x14ac:dyDescent="0.25">
      <c r="D215" s="79">
        <v>402910431</v>
      </c>
      <c r="F215" s="35">
        <f>IFERROR(MATCH(D215,Catalogo!$C$4:$C$1299,0),0)</f>
        <v>0</v>
      </c>
      <c r="H215" s="35" t="e">
        <f>IF(F215&gt;0,F215,MATCH(D215,Catalogo!$D$4:$D$1299,0))</f>
        <v>#N/A</v>
      </c>
      <c r="J215" s="35" t="e">
        <f>INDEX(Catalogo!$C$4:$C$1499,H215)</f>
        <v>#N/A</v>
      </c>
    </row>
    <row r="216" spans="4:10" x14ac:dyDescent="0.25">
      <c r="D216" s="75">
        <v>209440563</v>
      </c>
      <c r="F216" s="35">
        <f>IFERROR(MATCH(D216,Catalogo!$C$4:$C$1299,0),0)</f>
        <v>0</v>
      </c>
      <c r="H216" s="35" t="e">
        <f>IF(F216&gt;0,F216,MATCH(D216,Catalogo!$D$4:$D$1299,0))</f>
        <v>#N/A</v>
      </c>
      <c r="J216" s="35" t="e">
        <f>INDEX(Catalogo!$C$4:$C$1499,H216)</f>
        <v>#N/A</v>
      </c>
    </row>
    <row r="217" spans="4:10" x14ac:dyDescent="0.25">
      <c r="D217" s="75">
        <v>209330500</v>
      </c>
      <c r="F217" s="35">
        <f>IFERROR(MATCH(D217,Catalogo!$C$4:$C$1299,0),0)</f>
        <v>0</v>
      </c>
      <c r="H217" s="35" t="e">
        <f>IF(F217&gt;0,F217,MATCH(D217,Catalogo!$D$4:$D$1299,0))</f>
        <v>#N/A</v>
      </c>
      <c r="J217" s="35" t="e">
        <f>INDEX(Catalogo!$C$4:$C$1499,H217)</f>
        <v>#N/A</v>
      </c>
    </row>
    <row r="218" spans="4:10" x14ac:dyDescent="0.25">
      <c r="D218" s="79">
        <v>209200632</v>
      </c>
      <c r="F218" s="35">
        <f>IFERROR(MATCH(D218,Catalogo!$C$4:$C$1299,0),0)</f>
        <v>0</v>
      </c>
      <c r="H218" s="35" t="e">
        <f>IF(F218&gt;0,F218,MATCH(D218,Catalogo!$D$4:$D$1299,0))</f>
        <v>#N/A</v>
      </c>
      <c r="J218" s="35" t="e">
        <f>INDEX(Catalogo!$C$4:$C$1499,H218)</f>
        <v>#N/A</v>
      </c>
    </row>
    <row r="219" spans="4:10" x14ac:dyDescent="0.25">
      <c r="D219" s="78">
        <v>402930103</v>
      </c>
      <c r="F219" s="35">
        <f>IFERROR(MATCH(D219,Catalogo!$C$4:$C$1299,0),0)</f>
        <v>0</v>
      </c>
      <c r="H219" s="35" t="e">
        <f>IF(F219&gt;0,F219,MATCH(D219,Catalogo!$D$4:$D$1299,0))</f>
        <v>#N/A</v>
      </c>
      <c r="J219" s="35" t="e">
        <f>INDEX(Catalogo!$C$4:$C$1499,H219)</f>
        <v>#N/A</v>
      </c>
    </row>
    <row r="220" spans="4:10" x14ac:dyDescent="0.25">
      <c r="D220" s="79">
        <v>209430666</v>
      </c>
      <c r="F220" s="35">
        <f>IFERROR(MATCH(D220,Catalogo!$C$4:$C$1299,0),0)</f>
        <v>0</v>
      </c>
      <c r="H220" s="35" t="e">
        <f>IF(F220&gt;0,F220,MATCH(D220,Catalogo!$D$4:$D$1299,0))</f>
        <v>#N/A</v>
      </c>
      <c r="J220" s="35" t="e">
        <f>INDEX(Catalogo!$C$4:$C$1499,H220)</f>
        <v>#N/A</v>
      </c>
    </row>
    <row r="221" spans="4:10" x14ac:dyDescent="0.25">
      <c r="D221" s="79">
        <v>209480392</v>
      </c>
      <c r="F221" s="35">
        <f>IFERROR(MATCH(D221,Catalogo!$C$4:$C$1299,0),0)</f>
        <v>0</v>
      </c>
      <c r="H221" s="35" t="e">
        <f>IF(F221&gt;0,F221,MATCH(D221,Catalogo!$D$4:$D$1299,0))</f>
        <v>#N/A</v>
      </c>
      <c r="J221" s="35" t="e">
        <f>INDEX(Catalogo!$C$4:$C$1499,H221)</f>
        <v>#N/A</v>
      </c>
    </row>
    <row r="222" spans="4:10" x14ac:dyDescent="0.25">
      <c r="D222" s="79">
        <v>209360637</v>
      </c>
      <c r="F222" s="35">
        <f>IFERROR(MATCH(D222,Catalogo!$C$4:$C$1299,0),0)</f>
        <v>0</v>
      </c>
      <c r="H222" s="35" t="e">
        <f>IF(F222&gt;0,F222,MATCH(D222,Catalogo!$D$4:$D$1299,0))</f>
        <v>#N/A</v>
      </c>
      <c r="J222" s="35" t="e">
        <f>INDEX(Catalogo!$C$4:$C$1499,H222)</f>
        <v>#N/A</v>
      </c>
    </row>
    <row r="223" spans="4:10" x14ac:dyDescent="0.25">
      <c r="D223" s="79">
        <v>209510880</v>
      </c>
      <c r="F223" s="35">
        <f>IFERROR(MATCH(D223,Catalogo!$C$4:$C$1299,0),0)</f>
        <v>0</v>
      </c>
      <c r="H223" s="35" t="e">
        <f>IF(F223&gt;0,F223,MATCH(D223,Catalogo!$D$4:$D$1299,0))</f>
        <v>#N/A</v>
      </c>
      <c r="J223" s="35" t="e">
        <f>INDEX(Catalogo!$C$4:$C$1499,H223)</f>
        <v>#N/A</v>
      </c>
    </row>
    <row r="224" spans="4:10" x14ac:dyDescent="0.25">
      <c r="D224" s="78">
        <v>209380704</v>
      </c>
      <c r="F224" s="35">
        <f>IFERROR(MATCH(D224,Catalogo!$C$4:$C$1299,0),0)</f>
        <v>0</v>
      </c>
      <c r="H224" s="35" t="e">
        <f>IF(F224&gt;0,F224,MATCH(D224,Catalogo!$D$4:$D$1299,0))</f>
        <v>#N/A</v>
      </c>
      <c r="J224" s="35" t="e">
        <f>INDEX(Catalogo!$C$4:$C$1499,H224)</f>
        <v>#N/A</v>
      </c>
    </row>
    <row r="225" spans="4:10" x14ac:dyDescent="0.25">
      <c r="D225" s="79">
        <v>121020643</v>
      </c>
      <c r="F225" s="35">
        <f>IFERROR(MATCH(D225,Catalogo!$C$4:$C$1299,0),0)</f>
        <v>0</v>
      </c>
      <c r="H225" s="35" t="e">
        <f>IF(F225&gt;0,F225,MATCH(D225,Catalogo!$D$4:$D$1299,0))</f>
        <v>#N/A</v>
      </c>
      <c r="J225" s="35" t="e">
        <f>INDEX(Catalogo!$C$4:$C$1499,H225)</f>
        <v>#N/A</v>
      </c>
    </row>
    <row r="226" spans="4:10" x14ac:dyDescent="0.25">
      <c r="D226" s="78">
        <v>402930940</v>
      </c>
      <c r="F226" s="35">
        <f>IFERROR(MATCH(D226,Catalogo!$C$4:$C$1299,0),0)</f>
        <v>0</v>
      </c>
      <c r="H226" s="35" t="e">
        <f>IF(F226&gt;0,F226,MATCH(D226,Catalogo!$D$4:$D$1299,0))</f>
        <v>#N/A</v>
      </c>
      <c r="J226" s="35" t="e">
        <f>INDEX(Catalogo!$C$4:$C$1499,H226)</f>
        <v>#N/A</v>
      </c>
    </row>
    <row r="227" spans="4:10" x14ac:dyDescent="0.25">
      <c r="D227" s="78">
        <v>209450494</v>
      </c>
      <c r="F227" s="35">
        <f>IFERROR(MATCH(D227,Catalogo!$C$4:$C$1299,0),0)</f>
        <v>0</v>
      </c>
      <c r="H227" s="35" t="e">
        <f>IF(F227&gt;0,F227,MATCH(D227,Catalogo!$D$4:$D$1299,0))</f>
        <v>#N/A</v>
      </c>
      <c r="J227" s="35" t="e">
        <f>INDEX(Catalogo!$C$4:$C$1499,H227)</f>
        <v>#N/A</v>
      </c>
    </row>
    <row r="228" spans="4:10" x14ac:dyDescent="0.25">
      <c r="D228" s="87" t="s">
        <v>350</v>
      </c>
      <c r="F228" s="35">
        <f>IFERROR(MATCH(D228,Catalogo!$C$4:$C$1299,0),0)</f>
        <v>0</v>
      </c>
      <c r="H228" s="35" t="e">
        <f>IF(F228&gt;0,F228,MATCH(D228,Catalogo!$D$4:$D$1299,0))</f>
        <v>#N/A</v>
      </c>
      <c r="J228" s="35" t="e">
        <f>INDEX(Catalogo!$C$4:$C$1499,H228)</f>
        <v>#N/A</v>
      </c>
    </row>
    <row r="229" spans="4:10" x14ac:dyDescent="0.25">
      <c r="D229" s="78">
        <v>120860736</v>
      </c>
      <c r="F229" s="35">
        <f>IFERROR(MATCH(D229,Catalogo!$C$4:$C$1299,0),0)</f>
        <v>0</v>
      </c>
      <c r="H229" s="35" t="e">
        <f>IF(F229&gt;0,F229,MATCH(D229,Catalogo!$D$4:$D$1299,0))</f>
        <v>#N/A</v>
      </c>
      <c r="J229" s="35" t="e">
        <f>INDEX(Catalogo!$C$4:$C$1499,H229)</f>
        <v>#N/A</v>
      </c>
    </row>
    <row r="230" spans="4:10" x14ac:dyDescent="0.25">
      <c r="D230" s="78">
        <v>209500498</v>
      </c>
      <c r="F230" s="35">
        <f>IFERROR(MATCH(D230,Catalogo!$C$4:$C$1299,0),0)</f>
        <v>0</v>
      </c>
      <c r="H230" s="35" t="e">
        <f>IF(F230&gt;0,F230,MATCH(D230,Catalogo!$D$4:$D$1299,0))</f>
        <v>#N/A</v>
      </c>
      <c r="J230" s="35" t="e">
        <f>INDEX(Catalogo!$C$4:$C$1499,H230)</f>
        <v>#N/A</v>
      </c>
    </row>
    <row r="231" spans="4:10" x14ac:dyDescent="0.25">
      <c r="D231" s="79">
        <v>209220594</v>
      </c>
      <c r="F231" s="35">
        <f>IFERROR(MATCH(D231,Catalogo!$C$4:$C$1299,0),0)</f>
        <v>0</v>
      </c>
      <c r="H231" s="35" t="e">
        <f>IF(F231&gt;0,F231,MATCH(D231,Catalogo!$D$4:$D$1299,0))</f>
        <v>#N/A</v>
      </c>
      <c r="J231" s="35" t="e">
        <f>INDEX(Catalogo!$C$4:$C$1499,H231)</f>
        <v>#N/A</v>
      </c>
    </row>
    <row r="232" spans="4:10" x14ac:dyDescent="0.25">
      <c r="D232" s="79">
        <v>121100762</v>
      </c>
      <c r="F232" s="35">
        <f>IFERROR(MATCH(D232,Catalogo!$C$4:$C$1299,0),0)</f>
        <v>0</v>
      </c>
      <c r="H232" s="35" t="e">
        <f>IF(F232&gt;0,F232,MATCH(D232,Catalogo!$D$4:$D$1299,0))</f>
        <v>#N/A</v>
      </c>
      <c r="J232" s="35" t="e">
        <f>INDEX(Catalogo!$C$4:$C$1499,H232)</f>
        <v>#N/A</v>
      </c>
    </row>
    <row r="233" spans="4:10" x14ac:dyDescent="0.25">
      <c r="D233" s="78">
        <v>209460953</v>
      </c>
      <c r="F233" s="35">
        <f>IFERROR(MATCH(D233,Catalogo!$C$4:$C$1299,0),0)</f>
        <v>0</v>
      </c>
      <c r="H233" s="35" t="e">
        <f>IF(F233&gt;0,F233,MATCH(D233,Catalogo!$D$4:$D$1299,0))</f>
        <v>#N/A</v>
      </c>
      <c r="J233" s="35" t="e">
        <f>INDEX(Catalogo!$C$4:$C$1499,H233)</f>
        <v>#N/A</v>
      </c>
    </row>
    <row r="234" spans="4:10" x14ac:dyDescent="0.25">
      <c r="D234" s="78">
        <v>209450895</v>
      </c>
      <c r="F234" s="35">
        <f>IFERROR(MATCH(D234,Catalogo!$C$4:$C$1299,0),0)</f>
        <v>0</v>
      </c>
      <c r="H234" s="35" t="e">
        <f>IF(F234&gt;0,F234,MATCH(D234,Catalogo!$D$4:$D$1299,0))</f>
        <v>#N/A</v>
      </c>
      <c r="J234" s="35" t="e">
        <f>INDEX(Catalogo!$C$4:$C$1499,H234)</f>
        <v>#N/A</v>
      </c>
    </row>
    <row r="235" spans="4:10" x14ac:dyDescent="0.25">
      <c r="D235" s="79">
        <v>209460087</v>
      </c>
      <c r="F235" s="35">
        <f>IFERROR(MATCH(D235,Catalogo!$C$4:$C$1299,0),0)</f>
        <v>0</v>
      </c>
      <c r="H235" s="35" t="e">
        <f>IF(F235&gt;0,F235,MATCH(D235,Catalogo!$D$4:$D$1299,0))</f>
        <v>#N/A</v>
      </c>
      <c r="J235" s="35" t="e">
        <f>INDEX(Catalogo!$C$4:$C$1499,H235)</f>
        <v>#N/A</v>
      </c>
    </row>
    <row r="236" spans="4:10" x14ac:dyDescent="0.25">
      <c r="D236" s="78">
        <v>209440976</v>
      </c>
      <c r="F236" s="35">
        <f>IFERROR(MATCH(D236,Catalogo!$C$4:$C$1299,0),0)</f>
        <v>0</v>
      </c>
      <c r="H236" s="35" t="e">
        <f>IF(F236&gt;0,F236,MATCH(D236,Catalogo!$D$4:$D$1299,0))</f>
        <v>#N/A</v>
      </c>
      <c r="J236" s="35" t="e">
        <f>INDEX(Catalogo!$C$4:$C$1499,H236)</f>
        <v>#N/A</v>
      </c>
    </row>
    <row r="237" spans="4:10" x14ac:dyDescent="0.25">
      <c r="D237" s="78">
        <v>402880022</v>
      </c>
      <c r="F237" s="35">
        <f>IFERROR(MATCH(D237,Catalogo!$C$4:$C$1299,0),0)</f>
        <v>0</v>
      </c>
      <c r="H237" s="35" t="e">
        <f>IF(F237&gt;0,F237,MATCH(D237,Catalogo!$D$4:$D$1299,0))</f>
        <v>#N/A</v>
      </c>
      <c r="J237" s="35" t="e">
        <f>INDEX(Catalogo!$C$4:$C$1499,H237)</f>
        <v>#N/A</v>
      </c>
    </row>
    <row r="238" spans="4:10" x14ac:dyDescent="0.25">
      <c r="D238" s="78">
        <v>209390317</v>
      </c>
      <c r="F238" s="35">
        <f>IFERROR(MATCH(D238,Catalogo!$C$4:$C$1299,0),0)</f>
        <v>0</v>
      </c>
      <c r="H238" s="35" t="e">
        <f>IF(F238&gt;0,F238,MATCH(D238,Catalogo!$D$4:$D$1299,0))</f>
        <v>#N/A</v>
      </c>
      <c r="J238" s="35" t="e">
        <f>INDEX(Catalogo!$C$4:$C$1499,H238)</f>
        <v>#N/A</v>
      </c>
    </row>
    <row r="239" spans="4:10" x14ac:dyDescent="0.25">
      <c r="D239" s="78">
        <v>209430451</v>
      </c>
      <c r="F239" s="35">
        <f>IFERROR(MATCH(D239,Catalogo!$C$4:$C$1299,0),0)</f>
        <v>0</v>
      </c>
      <c r="H239" s="35" t="e">
        <f>IF(F239&gt;0,F239,MATCH(D239,Catalogo!$D$4:$D$1299,0))</f>
        <v>#N/A</v>
      </c>
      <c r="J239" s="35" t="e">
        <f>INDEX(Catalogo!$C$4:$C$1499,H239)</f>
        <v>#N/A</v>
      </c>
    </row>
    <row r="240" spans="4:10" x14ac:dyDescent="0.25">
      <c r="D240" s="78">
        <v>209400865</v>
      </c>
      <c r="F240" s="35">
        <f>IFERROR(MATCH(D240,Catalogo!$C$4:$C$1299,0),0)</f>
        <v>0</v>
      </c>
      <c r="H240" s="35" t="e">
        <f>IF(F240&gt;0,F240,MATCH(D240,Catalogo!$D$4:$D$1299,0))</f>
        <v>#N/A</v>
      </c>
      <c r="J240" s="35" t="e">
        <f>INDEX(Catalogo!$C$4:$C$1499,H240)</f>
        <v>#N/A</v>
      </c>
    </row>
    <row r="241" spans="4:10" x14ac:dyDescent="0.25">
      <c r="D241" s="78">
        <v>402900031</v>
      </c>
      <c r="F241" s="35">
        <f>IFERROR(MATCH(D241,Catalogo!$C$4:$C$1299,0),0)</f>
        <v>0</v>
      </c>
      <c r="H241" s="35" t="e">
        <f>IF(F241&gt;0,F241,MATCH(D241,Catalogo!$D$4:$D$1299,0))</f>
        <v>#N/A</v>
      </c>
      <c r="J241" s="35" t="e">
        <f>INDEX(Catalogo!$C$4:$C$1499,H241)</f>
        <v>#N/A</v>
      </c>
    </row>
    <row r="242" spans="4:10" x14ac:dyDescent="0.25">
      <c r="D242" s="78">
        <v>504940534</v>
      </c>
      <c r="F242" s="35">
        <f>IFERROR(MATCH(D242,Catalogo!$C$4:$C$1299,0),0)</f>
        <v>0</v>
      </c>
      <c r="H242" s="35" t="e">
        <f>IF(F242&gt;0,F242,MATCH(D242,Catalogo!$D$4:$D$1299,0))</f>
        <v>#N/A</v>
      </c>
      <c r="J242" s="35" t="e">
        <f>INDEX(Catalogo!$C$4:$C$1499,H242)</f>
        <v>#N/A</v>
      </c>
    </row>
    <row r="243" spans="4:10" x14ac:dyDescent="0.25">
      <c r="D243" s="78">
        <v>209400366</v>
      </c>
      <c r="F243" s="35">
        <f>IFERROR(MATCH(D243,Catalogo!$C$4:$C$1299,0),0)</f>
        <v>0</v>
      </c>
      <c r="H243" s="35" t="e">
        <f>IF(F243&gt;0,F243,MATCH(D243,Catalogo!$D$4:$D$1299,0))</f>
        <v>#N/A</v>
      </c>
      <c r="J243" s="35" t="e">
        <f>INDEX(Catalogo!$C$4:$C$1499,H243)</f>
        <v>#N/A</v>
      </c>
    </row>
    <row r="244" spans="4:10" x14ac:dyDescent="0.25">
      <c r="D244" s="78">
        <v>209380435</v>
      </c>
      <c r="F244" s="35">
        <f>IFERROR(MATCH(D244,Catalogo!$C$4:$C$1299,0),0)</f>
        <v>0</v>
      </c>
      <c r="H244" s="35" t="e">
        <f>IF(F244&gt;0,F244,MATCH(D244,Catalogo!$D$4:$D$1299,0))</f>
        <v>#N/A</v>
      </c>
      <c r="J244" s="35" t="e">
        <f>INDEX(Catalogo!$C$4:$C$1499,H244)</f>
        <v>#N/A</v>
      </c>
    </row>
    <row r="245" spans="4:10" x14ac:dyDescent="0.25">
      <c r="D245" s="78">
        <v>209500406</v>
      </c>
      <c r="F245" s="35">
        <f>IFERROR(MATCH(D245,Catalogo!$C$4:$C$1299,0),0)</f>
        <v>0</v>
      </c>
      <c r="H245" s="35" t="e">
        <f>IF(F245&gt;0,F245,MATCH(D245,Catalogo!$D$4:$D$1299,0))</f>
        <v>#N/A</v>
      </c>
      <c r="J245" s="35" t="e">
        <f>INDEX(Catalogo!$C$4:$C$1499,H245)</f>
        <v>#N/A</v>
      </c>
    </row>
    <row r="246" spans="4:10" x14ac:dyDescent="0.25">
      <c r="D246" s="78">
        <v>703610697</v>
      </c>
      <c r="F246" s="35">
        <f>IFERROR(MATCH(D246,Catalogo!$C$4:$C$1299,0),0)</f>
        <v>0</v>
      </c>
      <c r="H246" s="35" t="e">
        <f>IF(F246&gt;0,F246,MATCH(D246,Catalogo!$D$4:$D$1299,0))</f>
        <v>#N/A</v>
      </c>
      <c r="J246" s="35" t="e">
        <f>INDEX(Catalogo!$C$4:$C$1499,H246)</f>
        <v>#N/A</v>
      </c>
    </row>
    <row r="247" spans="4:10" x14ac:dyDescent="0.25">
      <c r="D247" s="78">
        <v>209440965</v>
      </c>
      <c r="F247" s="35">
        <f>IFERROR(MATCH(D247,Catalogo!$C$4:$C$1299,0),0)</f>
        <v>0</v>
      </c>
      <c r="H247" s="35" t="e">
        <f>IF(F247&gt;0,F247,MATCH(D247,Catalogo!$D$4:$D$1299,0))</f>
        <v>#N/A</v>
      </c>
      <c r="J247" s="35" t="e">
        <f>INDEX(Catalogo!$C$4:$C$1499,H247)</f>
        <v>#N/A</v>
      </c>
    </row>
    <row r="248" spans="4:10" x14ac:dyDescent="0.25">
      <c r="D248" s="79">
        <v>402900729</v>
      </c>
      <c r="F248" s="35">
        <f>IFERROR(MATCH(D248,Catalogo!$C$4:$C$1299,0),0)</f>
        <v>0</v>
      </c>
      <c r="H248" s="35" t="e">
        <f>IF(F248&gt;0,F248,MATCH(D248,Catalogo!$D$4:$D$1299,0))</f>
        <v>#N/A</v>
      </c>
      <c r="J248" s="35" t="e">
        <f>INDEX(Catalogo!$C$4:$C$1499,H248)</f>
        <v>#N/A</v>
      </c>
    </row>
    <row r="249" spans="4:10" x14ac:dyDescent="0.25">
      <c r="D249" s="75">
        <v>209520036</v>
      </c>
      <c r="F249" s="35">
        <f>IFERROR(MATCH(D249,Catalogo!$C$4:$C$1299,0),0)</f>
        <v>0</v>
      </c>
      <c r="H249" s="35" t="e">
        <f>IF(F249&gt;0,F249,MATCH(D249,Catalogo!$D$4:$D$1299,0))</f>
        <v>#N/A</v>
      </c>
      <c r="J249" s="35" t="e">
        <f>INDEX(Catalogo!$C$4:$C$1499,H249)</f>
        <v>#N/A</v>
      </c>
    </row>
    <row r="250" spans="4:10" x14ac:dyDescent="0.25">
      <c r="D250" s="75">
        <v>402940506</v>
      </c>
      <c r="F250" s="35">
        <f>IFERROR(MATCH(D250,Catalogo!$C$4:$C$1299,0),0)</f>
        <v>0</v>
      </c>
      <c r="H250" s="35" t="e">
        <f>IF(F250&gt;0,F250,MATCH(D250,Catalogo!$D$4:$D$1299,0))</f>
        <v>#N/A</v>
      </c>
      <c r="J250" s="35" t="e">
        <f>INDEX(Catalogo!$C$4:$C$1499,H250)</f>
        <v>#N/A</v>
      </c>
    </row>
    <row r="251" spans="4:10" x14ac:dyDescent="0.25">
      <c r="D251" s="75">
        <v>209430103</v>
      </c>
      <c r="F251" s="35">
        <f>IFERROR(MATCH(D251,Catalogo!$C$4:$C$1299,0),0)</f>
        <v>0</v>
      </c>
      <c r="H251" s="35" t="e">
        <f>IF(F251&gt;0,F251,MATCH(D251,Catalogo!$D$4:$D$1299,0))</f>
        <v>#N/A</v>
      </c>
      <c r="J251" s="35" t="e">
        <f>INDEX(Catalogo!$C$4:$C$1499,H251)</f>
        <v>#N/A</v>
      </c>
    </row>
    <row r="252" spans="4:10" x14ac:dyDescent="0.25">
      <c r="D252" s="75">
        <v>209410423</v>
      </c>
      <c r="F252" s="35">
        <f>IFERROR(MATCH(D252,Catalogo!$C$4:$C$1299,0),0)</f>
        <v>0</v>
      </c>
      <c r="H252" s="35" t="e">
        <f>IF(F252&gt;0,F252,MATCH(D252,Catalogo!$D$4:$D$1299,0))</f>
        <v>#N/A</v>
      </c>
      <c r="J252" s="35" t="e">
        <f>INDEX(Catalogo!$C$4:$C$1499,H252)</f>
        <v>#N/A</v>
      </c>
    </row>
    <row r="253" spans="4:10" x14ac:dyDescent="0.25">
      <c r="D253" s="79">
        <v>209250991</v>
      </c>
      <c r="F253" s="35">
        <f>IFERROR(MATCH(D253,Catalogo!$C$4:$C$1299,0),0)</f>
        <v>0</v>
      </c>
      <c r="H253" s="35" t="e">
        <f>IF(F253&gt;0,F253,MATCH(D253,Catalogo!$D$4:$D$1299,0))</f>
        <v>#N/A</v>
      </c>
      <c r="J253" s="35" t="e">
        <f>INDEX(Catalogo!$C$4:$C$1499,H253)</f>
        <v>#N/A</v>
      </c>
    </row>
    <row r="254" spans="4:10" x14ac:dyDescent="0.25">
      <c r="D254" s="79">
        <v>402860380</v>
      </c>
      <c r="F254" s="35">
        <f>IFERROR(MATCH(D254,Catalogo!$C$4:$C$1299,0),0)</f>
        <v>0</v>
      </c>
      <c r="H254" s="35" t="e">
        <f>IF(F254&gt;0,F254,MATCH(D254,Catalogo!$D$4:$D$1299,0))</f>
        <v>#N/A</v>
      </c>
      <c r="J254" s="35" t="e">
        <f>INDEX(Catalogo!$C$4:$C$1499,H254)</f>
        <v>#N/A</v>
      </c>
    </row>
    <row r="255" spans="4:10" x14ac:dyDescent="0.25">
      <c r="D255" s="79">
        <v>402890182</v>
      </c>
      <c r="F255" s="35">
        <f>IFERROR(MATCH(D255,Catalogo!$C$4:$C$1299,0),0)</f>
        <v>0</v>
      </c>
      <c r="H255" s="35" t="e">
        <f>IF(F255&gt;0,F255,MATCH(D255,Catalogo!$D$4:$D$1299,0))</f>
        <v>#N/A</v>
      </c>
      <c r="J255" s="35" t="e">
        <f>INDEX(Catalogo!$C$4:$C$1499,H255)</f>
        <v>#N/A</v>
      </c>
    </row>
    <row r="256" spans="4:10" x14ac:dyDescent="0.25">
      <c r="D256" s="79">
        <v>402890911</v>
      </c>
      <c r="F256" s="35">
        <f>IFERROR(MATCH(D256,Catalogo!$C$4:$C$1299,0),0)</f>
        <v>0</v>
      </c>
      <c r="H256" s="35" t="e">
        <f>IF(F256&gt;0,F256,MATCH(D256,Catalogo!$D$4:$D$1299,0))</f>
        <v>#N/A</v>
      </c>
      <c r="J256" s="35" t="e">
        <f>INDEX(Catalogo!$C$4:$C$1499,H256)</f>
        <v>#N/A</v>
      </c>
    </row>
    <row r="257" spans="4:10" x14ac:dyDescent="0.25">
      <c r="D257" s="80">
        <v>209190657</v>
      </c>
      <c r="F257" s="35">
        <f>IFERROR(MATCH(D257,Catalogo!$C$4:$C$1299,0),0)</f>
        <v>0</v>
      </c>
      <c r="H257" s="35" t="e">
        <f>IF(F257&gt;0,F257,MATCH(D257,Catalogo!$D$4:$D$1299,0))</f>
        <v>#N/A</v>
      </c>
      <c r="J257" s="35" t="e">
        <f>INDEX(Catalogo!$C$4:$C$1499,H257)</f>
        <v>#N/A</v>
      </c>
    </row>
    <row r="258" spans="4:10" x14ac:dyDescent="0.25">
      <c r="D258" s="79">
        <v>402850861</v>
      </c>
      <c r="F258" s="35">
        <f>IFERROR(MATCH(D258,Catalogo!$C$4:$C$1299,0),0)</f>
        <v>0</v>
      </c>
      <c r="H258" s="35" t="e">
        <f>IF(F258&gt;0,F258,MATCH(D258,Catalogo!$D$4:$D$1299,0))</f>
        <v>#N/A</v>
      </c>
      <c r="J258" s="35" t="e">
        <f>INDEX(Catalogo!$C$4:$C$1499,H258)</f>
        <v>#N/A</v>
      </c>
    </row>
    <row r="259" spans="4:10" x14ac:dyDescent="0.25">
      <c r="D259" s="78">
        <v>209300800</v>
      </c>
      <c r="F259" s="35">
        <f>IFERROR(MATCH(D259,Catalogo!$C$4:$C$1299,0),0)</f>
        <v>0</v>
      </c>
      <c r="H259" s="35" t="e">
        <f>IF(F259&gt;0,F259,MATCH(D259,Catalogo!$D$4:$D$1299,0))</f>
        <v>#N/A</v>
      </c>
      <c r="J259" s="35" t="e">
        <f>INDEX(Catalogo!$C$4:$C$1499,H259)</f>
        <v>#N/A</v>
      </c>
    </row>
    <row r="260" spans="4:10" x14ac:dyDescent="0.25">
      <c r="D260" s="78">
        <v>209100455</v>
      </c>
      <c r="F260" s="35">
        <f>IFERROR(MATCH(D260,Catalogo!$C$4:$C$1299,0),0)</f>
        <v>0</v>
      </c>
      <c r="H260" s="35" t="e">
        <f>IF(F260&gt;0,F260,MATCH(D260,Catalogo!$D$4:$D$1299,0))</f>
        <v>#N/A</v>
      </c>
      <c r="J260" s="35" t="e">
        <f>INDEX(Catalogo!$C$4:$C$1499,H260)</f>
        <v>#N/A</v>
      </c>
    </row>
    <row r="261" spans="4:10" x14ac:dyDescent="0.25">
      <c r="D261" s="79">
        <v>209330220</v>
      </c>
      <c r="F261" s="35">
        <f>IFERROR(MATCH(D261,Catalogo!$C$4:$C$1299,0),0)</f>
        <v>0</v>
      </c>
      <c r="H261" s="35" t="e">
        <f>IF(F261&gt;0,F261,MATCH(D261,Catalogo!$D$4:$D$1299,0))</f>
        <v>#N/A</v>
      </c>
      <c r="J261" s="35" t="e">
        <f>INDEX(Catalogo!$C$4:$C$1499,H261)</f>
        <v>#N/A</v>
      </c>
    </row>
    <row r="262" spans="4:10" x14ac:dyDescent="0.25">
      <c r="D262" s="78">
        <v>209050494</v>
      </c>
      <c r="F262" s="35">
        <f>IFERROR(MATCH(D262,Catalogo!$C$4:$C$1299,0),0)</f>
        <v>0</v>
      </c>
      <c r="H262" s="35" t="e">
        <f>IF(F262&gt;0,F262,MATCH(D262,Catalogo!$D$4:$D$1299,0))</f>
        <v>#N/A</v>
      </c>
      <c r="J262" s="35" t="e">
        <f>INDEX(Catalogo!$C$4:$C$1499,H262)</f>
        <v>#N/A</v>
      </c>
    </row>
    <row r="263" spans="4:10" x14ac:dyDescent="0.25">
      <c r="D263" s="78">
        <v>209120140</v>
      </c>
      <c r="F263" s="35">
        <f>IFERROR(MATCH(D263,Catalogo!$C$4:$C$1299,0),0)</f>
        <v>0</v>
      </c>
      <c r="H263" s="35" t="e">
        <f>IF(F263&gt;0,F263,MATCH(D263,Catalogo!$D$4:$D$1299,0))</f>
        <v>#N/A</v>
      </c>
      <c r="J263" s="35" t="e">
        <f>INDEX(Catalogo!$C$4:$C$1499,H263)</f>
        <v>#N/A</v>
      </c>
    </row>
    <row r="264" spans="4:10" x14ac:dyDescent="0.25">
      <c r="D264" s="79">
        <v>209130045</v>
      </c>
      <c r="F264" s="35">
        <f>IFERROR(MATCH(D264,Catalogo!$C$4:$C$1299,0),0)</f>
        <v>0</v>
      </c>
      <c r="H264" s="35" t="e">
        <f>IF(F264&gt;0,F264,MATCH(D264,Catalogo!$D$4:$D$1299,0))</f>
        <v>#N/A</v>
      </c>
      <c r="J264" s="35" t="e">
        <f>INDEX(Catalogo!$C$4:$C$1499,H264)</f>
        <v>#N/A</v>
      </c>
    </row>
    <row r="265" spans="4:10" x14ac:dyDescent="0.25">
      <c r="D265" s="79">
        <v>209340477</v>
      </c>
      <c r="F265" s="35">
        <f>IFERROR(MATCH(D265,Catalogo!$C$4:$C$1299,0),0)</f>
        <v>0</v>
      </c>
      <c r="H265" s="35" t="e">
        <f>IF(F265&gt;0,F265,MATCH(D265,Catalogo!$D$4:$D$1299,0))</f>
        <v>#N/A</v>
      </c>
      <c r="J265" s="35" t="e">
        <f>INDEX(Catalogo!$C$4:$C$1499,H265)</f>
        <v>#N/A</v>
      </c>
    </row>
    <row r="266" spans="4:10" x14ac:dyDescent="0.25">
      <c r="D266" s="79">
        <v>120860867</v>
      </c>
      <c r="F266" s="35">
        <f>IFERROR(MATCH(D266,Catalogo!$C$4:$C$1299,0),0)</f>
        <v>0</v>
      </c>
      <c r="H266" s="35" t="e">
        <f>IF(F266&gt;0,F266,MATCH(D266,Catalogo!$D$4:$D$1299,0))</f>
        <v>#N/A</v>
      </c>
      <c r="J266" s="35" t="e">
        <f>INDEX(Catalogo!$C$4:$C$1499,H266)</f>
        <v>#N/A</v>
      </c>
    </row>
    <row r="267" spans="4:10" x14ac:dyDescent="0.25">
      <c r="D267" s="80">
        <v>209170161</v>
      </c>
      <c r="F267" s="35">
        <f>IFERROR(MATCH(D267,Catalogo!$C$4:$C$1299,0),0)</f>
        <v>0</v>
      </c>
      <c r="H267" s="35" t="e">
        <f>IF(F267&gt;0,F267,MATCH(D267,Catalogo!$D$4:$D$1299,0))</f>
        <v>#N/A</v>
      </c>
      <c r="J267" s="35" t="e">
        <f>INDEX(Catalogo!$C$4:$C$1499,H267)</f>
        <v>#N/A</v>
      </c>
    </row>
    <row r="268" spans="4:10" x14ac:dyDescent="0.25">
      <c r="D268" s="75">
        <v>605270267</v>
      </c>
      <c r="F268" s="35">
        <f>IFERROR(MATCH(D268,Catalogo!$C$4:$C$1299,0),0)</f>
        <v>0</v>
      </c>
      <c r="H268" s="35" t="e">
        <f>IF(F268&gt;0,F268,MATCH(D268,Catalogo!$D$4:$D$1299,0))</f>
        <v>#N/A</v>
      </c>
      <c r="J268" s="35" t="e">
        <f>INDEX(Catalogo!$C$4:$C$1499,H268)</f>
        <v>#N/A</v>
      </c>
    </row>
    <row r="269" spans="4:10" x14ac:dyDescent="0.25">
      <c r="D269" s="79">
        <v>402870903</v>
      </c>
      <c r="F269" s="35">
        <f>IFERROR(MATCH(D269,Catalogo!$C$4:$C$1299,0),0)</f>
        <v>0</v>
      </c>
      <c r="H269" s="35" t="e">
        <f>IF(F269&gt;0,F269,MATCH(D269,Catalogo!$D$4:$D$1299,0))</f>
        <v>#N/A</v>
      </c>
      <c r="J269" s="35" t="e">
        <f>INDEX(Catalogo!$C$4:$C$1499,H269)</f>
        <v>#N/A</v>
      </c>
    </row>
    <row r="270" spans="4:10" x14ac:dyDescent="0.25">
      <c r="D270" s="79">
        <v>209370533</v>
      </c>
      <c r="F270" s="35">
        <f>IFERROR(MATCH(D270,Catalogo!$C$4:$C$1299,0),0)</f>
        <v>0</v>
      </c>
      <c r="H270" s="35" t="e">
        <f>IF(F270&gt;0,F270,MATCH(D270,Catalogo!$D$4:$D$1299,0))</f>
        <v>#N/A</v>
      </c>
      <c r="J270" s="35" t="e">
        <f>INDEX(Catalogo!$C$4:$C$1499,H270)</f>
        <v>#N/A</v>
      </c>
    </row>
    <row r="271" spans="4:10" x14ac:dyDescent="0.25">
      <c r="D271" s="79">
        <v>209280828</v>
      </c>
      <c r="F271" s="35">
        <f>IFERROR(MATCH(D271,Catalogo!$C$4:$C$1299,0),0)</f>
        <v>0</v>
      </c>
      <c r="H271" s="35" t="e">
        <f>IF(F271&gt;0,F271,MATCH(D271,Catalogo!$D$4:$D$1299,0))</f>
        <v>#N/A</v>
      </c>
      <c r="J271" s="35" t="e">
        <f>INDEX(Catalogo!$C$4:$C$1499,H271)</f>
        <v>#N/A</v>
      </c>
    </row>
    <row r="272" spans="4:10" x14ac:dyDescent="0.25">
      <c r="D272" s="80">
        <v>120320610</v>
      </c>
      <c r="F272" s="35">
        <f>IFERROR(MATCH(D272,Catalogo!$C$4:$C$1299,0),0)</f>
        <v>0</v>
      </c>
      <c r="H272" s="35" t="e">
        <f>IF(F272&gt;0,F272,MATCH(D272,Catalogo!$D$4:$D$1299,0))</f>
        <v>#N/A</v>
      </c>
      <c r="J272" s="35" t="e">
        <f>INDEX(Catalogo!$C$4:$C$1499,H272)</f>
        <v>#N/A</v>
      </c>
    </row>
    <row r="273" spans="4:10" x14ac:dyDescent="0.25">
      <c r="D273" s="79">
        <v>209300795</v>
      </c>
      <c r="F273" s="35">
        <f>IFERROR(MATCH(D273,Catalogo!$C$4:$C$1299,0),0)</f>
        <v>0</v>
      </c>
      <c r="H273" s="35" t="e">
        <f>IF(F273&gt;0,F273,MATCH(D273,Catalogo!$D$4:$D$1299,0))</f>
        <v>#N/A</v>
      </c>
      <c r="J273" s="35" t="e">
        <f>INDEX(Catalogo!$C$4:$C$1499,H273)</f>
        <v>#N/A</v>
      </c>
    </row>
    <row r="274" spans="4:10" x14ac:dyDescent="0.25">
      <c r="D274" s="79">
        <v>402870751</v>
      </c>
      <c r="F274" s="35">
        <f>IFERROR(MATCH(D274,Catalogo!$C$4:$C$1299,0),0)</f>
        <v>0</v>
      </c>
      <c r="H274" s="35" t="e">
        <f>IF(F274&gt;0,F274,MATCH(D274,Catalogo!$D$4:$D$1299,0))</f>
        <v>#N/A</v>
      </c>
      <c r="J274" s="35" t="e">
        <f>INDEX(Catalogo!$C$4:$C$1499,H274)</f>
        <v>#N/A</v>
      </c>
    </row>
    <row r="275" spans="4:10" x14ac:dyDescent="0.25">
      <c r="D275" s="79">
        <v>209340259</v>
      </c>
      <c r="F275" s="35">
        <f>IFERROR(MATCH(D275,Catalogo!$C$4:$C$1299,0),0)</f>
        <v>0</v>
      </c>
      <c r="H275" s="35" t="e">
        <f>IF(F275&gt;0,F275,MATCH(D275,Catalogo!$D$4:$D$1299,0))</f>
        <v>#N/A</v>
      </c>
      <c r="J275" s="35" t="e">
        <f>INDEX(Catalogo!$C$4:$C$1499,H275)</f>
        <v>#N/A</v>
      </c>
    </row>
    <row r="276" spans="4:10" x14ac:dyDescent="0.25">
      <c r="D276" s="79">
        <v>209320875</v>
      </c>
      <c r="F276" s="35">
        <f>IFERROR(MATCH(D276,Catalogo!$C$4:$C$1299,0),0)</f>
        <v>0</v>
      </c>
      <c r="H276" s="35" t="e">
        <f>IF(F276&gt;0,F276,MATCH(D276,Catalogo!$D$4:$D$1299,0))</f>
        <v>#N/A</v>
      </c>
      <c r="J276" s="35" t="e">
        <f>INDEX(Catalogo!$C$4:$C$1499,H276)</f>
        <v>#N/A</v>
      </c>
    </row>
    <row r="277" spans="4:10" x14ac:dyDescent="0.25">
      <c r="D277" s="79">
        <v>120730617</v>
      </c>
      <c r="F277" s="35">
        <f>IFERROR(MATCH(D277,Catalogo!$C$4:$C$1299,0),0)</f>
        <v>0</v>
      </c>
      <c r="H277" s="35" t="e">
        <f>IF(F277&gt;0,F277,MATCH(D277,Catalogo!$D$4:$D$1299,0))</f>
        <v>#N/A</v>
      </c>
      <c r="J277" s="35" t="e">
        <f>INDEX(Catalogo!$C$4:$C$1499,H277)</f>
        <v>#N/A</v>
      </c>
    </row>
    <row r="278" spans="4:10" x14ac:dyDescent="0.25">
      <c r="D278" s="78">
        <v>209290171</v>
      </c>
      <c r="F278" s="35">
        <f>IFERROR(MATCH(D278,Catalogo!$C$4:$C$1299,0),0)</f>
        <v>0</v>
      </c>
      <c r="H278" s="35" t="e">
        <f>IF(F278&gt;0,F278,MATCH(D278,Catalogo!$D$4:$D$1299,0))</f>
        <v>#N/A</v>
      </c>
      <c r="J278" s="35" t="e">
        <f>INDEX(Catalogo!$C$4:$C$1499,H278)</f>
        <v>#N/A</v>
      </c>
    </row>
    <row r="279" spans="4:10" x14ac:dyDescent="0.25">
      <c r="D279" s="79">
        <v>209300989</v>
      </c>
      <c r="F279" s="35">
        <f>IFERROR(MATCH(D279,Catalogo!$C$4:$C$1299,0),0)</f>
        <v>0</v>
      </c>
      <c r="H279" s="35" t="e">
        <f>IF(F279&gt;0,F279,MATCH(D279,Catalogo!$D$4:$D$1299,0))</f>
        <v>#N/A</v>
      </c>
      <c r="J279" s="35" t="e">
        <f>INDEX(Catalogo!$C$4:$C$1499,H279)</f>
        <v>#N/A</v>
      </c>
    </row>
    <row r="280" spans="4:10" x14ac:dyDescent="0.25">
      <c r="D280" s="79">
        <v>209310393</v>
      </c>
      <c r="F280" s="35">
        <f>IFERROR(MATCH(D280,Catalogo!$C$4:$C$1299,0),0)</f>
        <v>0</v>
      </c>
      <c r="H280" s="35" t="e">
        <f>IF(F280&gt;0,F280,MATCH(D280,Catalogo!$D$4:$D$1299,0))</f>
        <v>#N/A</v>
      </c>
      <c r="J280" s="35" t="e">
        <f>INDEX(Catalogo!$C$4:$C$1499,H280)</f>
        <v>#N/A</v>
      </c>
    </row>
    <row r="281" spans="4:10" x14ac:dyDescent="0.25">
      <c r="D281" s="79">
        <v>209340021</v>
      </c>
      <c r="F281" s="35">
        <f>IFERROR(MATCH(D281,Catalogo!$C$4:$C$1299,0),0)</f>
        <v>0</v>
      </c>
      <c r="H281" s="35" t="e">
        <f>IF(F281&gt;0,F281,MATCH(D281,Catalogo!$D$4:$D$1299,0))</f>
        <v>#N/A</v>
      </c>
      <c r="J281" s="35" t="e">
        <f>INDEX(Catalogo!$C$4:$C$1499,H281)</f>
        <v>#N/A</v>
      </c>
    </row>
    <row r="282" spans="4:10" x14ac:dyDescent="0.25">
      <c r="D282" s="79">
        <v>209330564</v>
      </c>
      <c r="F282" s="35">
        <f>IFERROR(MATCH(D282,Catalogo!$C$4:$C$1299,0),0)</f>
        <v>0</v>
      </c>
      <c r="H282" s="35" t="e">
        <f>IF(F282&gt;0,F282,MATCH(D282,Catalogo!$D$4:$D$1299,0))</f>
        <v>#N/A</v>
      </c>
      <c r="J282" s="35" t="e">
        <f>INDEX(Catalogo!$C$4:$C$1499,H282)</f>
        <v>#N/A</v>
      </c>
    </row>
    <row r="283" spans="4:10" x14ac:dyDescent="0.25">
      <c r="D283" s="79">
        <v>120830662</v>
      </c>
      <c r="F283" s="35">
        <f>IFERROR(MATCH(D283,Catalogo!$C$4:$C$1299,0),0)</f>
        <v>0</v>
      </c>
      <c r="H283" s="35" t="e">
        <f>IF(F283&gt;0,F283,MATCH(D283,Catalogo!$D$4:$D$1299,0))</f>
        <v>#N/A</v>
      </c>
      <c r="J283" s="35" t="e">
        <f>INDEX(Catalogo!$C$4:$C$1499,H283)</f>
        <v>#N/A</v>
      </c>
    </row>
    <row r="284" spans="4:10" x14ac:dyDescent="0.25">
      <c r="D284" s="79">
        <v>209290259</v>
      </c>
      <c r="F284" s="35">
        <f>IFERROR(MATCH(D284,Catalogo!$C$4:$C$1299,0),0)</f>
        <v>0</v>
      </c>
      <c r="H284" s="35" t="e">
        <f>IF(F284&gt;0,F284,MATCH(D284,Catalogo!$D$4:$D$1299,0))</f>
        <v>#N/A</v>
      </c>
      <c r="J284" s="35" t="e">
        <f>INDEX(Catalogo!$C$4:$C$1499,H284)</f>
        <v>#N/A</v>
      </c>
    </row>
    <row r="285" spans="4:10" x14ac:dyDescent="0.25">
      <c r="D285" s="78">
        <v>209290260</v>
      </c>
      <c r="F285" s="35">
        <f>IFERROR(MATCH(D285,Catalogo!$C$4:$C$1299,0),0)</f>
        <v>0</v>
      </c>
      <c r="H285" s="35" t="e">
        <f>IF(F285&gt;0,F285,MATCH(D285,Catalogo!$D$4:$D$1299,0))</f>
        <v>#N/A</v>
      </c>
      <c r="J285" s="35" t="e">
        <f>INDEX(Catalogo!$C$4:$C$1499,H285)</f>
        <v>#N/A</v>
      </c>
    </row>
    <row r="286" spans="4:10" x14ac:dyDescent="0.25">
      <c r="D286" s="78">
        <v>209350976</v>
      </c>
      <c r="F286" s="35">
        <f>IFERROR(MATCH(D286,Catalogo!$C$4:$C$1299,0),0)</f>
        <v>0</v>
      </c>
      <c r="H286" s="35" t="e">
        <f>IF(F286&gt;0,F286,MATCH(D286,Catalogo!$D$4:$D$1299,0))</f>
        <v>#N/A</v>
      </c>
      <c r="J286" s="35" t="e">
        <f>INDEX(Catalogo!$C$4:$C$1499,H286)</f>
        <v>#N/A</v>
      </c>
    </row>
    <row r="287" spans="4:10" x14ac:dyDescent="0.25">
      <c r="D287" s="79">
        <v>209290890</v>
      </c>
      <c r="F287" s="35">
        <f>IFERROR(MATCH(D287,Catalogo!$C$4:$C$1299,0),0)</f>
        <v>0</v>
      </c>
      <c r="H287" s="35" t="e">
        <f>IF(F287&gt;0,F287,MATCH(D287,Catalogo!$D$4:$D$1299,0))</f>
        <v>#N/A</v>
      </c>
      <c r="J287" s="35" t="e">
        <f>INDEX(Catalogo!$C$4:$C$1499,H287)</f>
        <v>#N/A</v>
      </c>
    </row>
    <row r="288" spans="4:10" x14ac:dyDescent="0.25">
      <c r="D288" s="79">
        <v>402890621</v>
      </c>
      <c r="F288" s="35">
        <f>IFERROR(MATCH(D288,Catalogo!$C$4:$C$1299,0),0)</f>
        <v>0</v>
      </c>
      <c r="H288" s="35" t="e">
        <f>IF(F288&gt;0,F288,MATCH(D288,Catalogo!$D$4:$D$1299,0))</f>
        <v>#N/A</v>
      </c>
      <c r="J288" s="35" t="e">
        <f>INDEX(Catalogo!$C$4:$C$1499,H288)</f>
        <v>#N/A</v>
      </c>
    </row>
    <row r="289" spans="4:10" x14ac:dyDescent="0.25">
      <c r="D289" s="78">
        <v>209280085</v>
      </c>
      <c r="F289" s="35">
        <f>IFERROR(MATCH(D289,Catalogo!$C$4:$C$1299,0),0)</f>
        <v>0</v>
      </c>
      <c r="H289" s="35" t="e">
        <f>IF(F289&gt;0,F289,MATCH(D289,Catalogo!$D$4:$D$1299,0))</f>
        <v>#N/A</v>
      </c>
      <c r="J289" s="35" t="e">
        <f>INDEX(Catalogo!$C$4:$C$1499,H289)</f>
        <v>#N/A</v>
      </c>
    </row>
    <row r="290" spans="4:10" x14ac:dyDescent="0.25">
      <c r="D290" s="79">
        <v>120790563</v>
      </c>
      <c r="F290" s="35">
        <f>IFERROR(MATCH(D290,Catalogo!$C$4:$C$1299,0),0)</f>
        <v>0</v>
      </c>
      <c r="H290" s="35" t="e">
        <f>IF(F290&gt;0,F290,MATCH(D290,Catalogo!$D$4:$D$1299,0))</f>
        <v>#N/A</v>
      </c>
      <c r="J290" s="35" t="e">
        <f>INDEX(Catalogo!$C$4:$C$1499,H290)</f>
        <v>#N/A</v>
      </c>
    </row>
    <row r="291" spans="4:10" x14ac:dyDescent="0.25">
      <c r="D291" s="79">
        <v>504780974</v>
      </c>
      <c r="F291" s="35">
        <f>IFERROR(MATCH(D291,Catalogo!$C$4:$C$1299,0),0)</f>
        <v>0</v>
      </c>
      <c r="H291" s="35" t="e">
        <f>IF(F291&gt;0,F291,MATCH(D291,Catalogo!$D$4:$D$1299,0))</f>
        <v>#N/A</v>
      </c>
      <c r="J291" s="35" t="e">
        <f>INDEX(Catalogo!$C$4:$C$1499,H291)</f>
        <v>#N/A</v>
      </c>
    </row>
    <row r="292" spans="4:10" x14ac:dyDescent="0.25">
      <c r="D292" s="79">
        <v>209300230</v>
      </c>
      <c r="F292" s="35">
        <f>IFERROR(MATCH(D292,Catalogo!$C$4:$C$1299,0),0)</f>
        <v>0</v>
      </c>
      <c r="H292" s="35" t="e">
        <f>IF(F292&gt;0,F292,MATCH(D292,Catalogo!$D$4:$D$1299,0))</f>
        <v>#N/A</v>
      </c>
      <c r="J292" s="35" t="e">
        <f>INDEX(Catalogo!$C$4:$C$1499,H292)</f>
        <v>#N/A</v>
      </c>
    </row>
    <row r="293" spans="4:10" x14ac:dyDescent="0.25">
      <c r="D293" s="79">
        <v>209370186</v>
      </c>
      <c r="F293" s="35">
        <f>IFERROR(MATCH(D293,Catalogo!$C$4:$C$1299,0),0)</f>
        <v>0</v>
      </c>
      <c r="H293" s="35" t="e">
        <f>IF(F293&gt;0,F293,MATCH(D293,Catalogo!$D$4:$D$1299,0))</f>
        <v>#N/A</v>
      </c>
      <c r="J293" s="35" t="e">
        <f>INDEX(Catalogo!$C$4:$C$1499,H293)</f>
        <v>#N/A</v>
      </c>
    </row>
    <row r="294" spans="4:10" x14ac:dyDescent="0.25">
      <c r="D294" s="75">
        <v>209080172</v>
      </c>
      <c r="F294" s="35">
        <f>IFERROR(MATCH(D294,Catalogo!$C$4:$C$1299,0),0)</f>
        <v>0</v>
      </c>
      <c r="H294" s="35" t="e">
        <f>IF(F294&gt;0,F294,MATCH(D294,Catalogo!$D$4:$D$1299,0))</f>
        <v>#N/A</v>
      </c>
      <c r="J294" s="35" t="e">
        <f>INDEX(Catalogo!$C$4:$C$1499,H294)</f>
        <v>#N/A</v>
      </c>
    </row>
    <row r="295" spans="4:10" x14ac:dyDescent="0.25">
      <c r="D295" s="79">
        <v>210930405</v>
      </c>
      <c r="F295" s="35">
        <f>IFERROR(MATCH(D295,Catalogo!$C$4:$C$1299,0),0)</f>
        <v>0</v>
      </c>
      <c r="H295" s="35" t="e">
        <f>IF(F295&gt;0,F295,MATCH(D295,Catalogo!$D$4:$D$1299,0))</f>
        <v>#N/A</v>
      </c>
      <c r="J295" s="35" t="e">
        <f>INDEX(Catalogo!$C$4:$C$1499,H295)</f>
        <v>#N/A</v>
      </c>
    </row>
    <row r="296" spans="4:10" x14ac:dyDescent="0.25">
      <c r="D296" s="79">
        <v>209280830</v>
      </c>
      <c r="F296" s="35">
        <f>IFERROR(MATCH(D296,Catalogo!$C$4:$C$1299,0),0)</f>
        <v>0</v>
      </c>
      <c r="H296" s="35" t="e">
        <f>IF(F296&gt;0,F296,MATCH(D296,Catalogo!$D$4:$D$1299,0))</f>
        <v>#N/A</v>
      </c>
      <c r="J296" s="35" t="e">
        <f>INDEX(Catalogo!$C$4:$C$1499,H296)</f>
        <v>#N/A</v>
      </c>
    </row>
    <row r="297" spans="4:10" x14ac:dyDescent="0.25">
      <c r="D297" s="79">
        <v>209320360</v>
      </c>
      <c r="F297" s="35">
        <f>IFERROR(MATCH(D297,Catalogo!$C$4:$C$1299,0),0)</f>
        <v>0</v>
      </c>
      <c r="H297" s="35" t="e">
        <f>IF(F297&gt;0,F297,MATCH(D297,Catalogo!$D$4:$D$1299,0))</f>
        <v>#N/A</v>
      </c>
      <c r="J297" s="35" t="e">
        <f>INDEX(Catalogo!$C$4:$C$1499,H297)</f>
        <v>#N/A</v>
      </c>
    </row>
    <row r="298" spans="4:10" x14ac:dyDescent="0.25">
      <c r="D298" s="79">
        <v>402850979</v>
      </c>
      <c r="F298" s="35">
        <f>IFERROR(MATCH(D298,Catalogo!$C$4:$C$1299,0),0)</f>
        <v>0</v>
      </c>
      <c r="H298" s="35" t="e">
        <f>IF(F298&gt;0,F298,MATCH(D298,Catalogo!$D$4:$D$1299,0))</f>
        <v>#N/A</v>
      </c>
      <c r="J298" s="35" t="e">
        <f>INDEX(Catalogo!$C$4:$C$1499,H298)</f>
        <v>#N/A</v>
      </c>
    </row>
    <row r="299" spans="4:10" x14ac:dyDescent="0.25">
      <c r="D299" s="79">
        <v>901250616</v>
      </c>
      <c r="F299" s="35">
        <f>IFERROR(MATCH(D299,Catalogo!$C$4:$C$1299,0),0)</f>
        <v>0</v>
      </c>
      <c r="H299" s="35" t="e">
        <f>IF(F299&gt;0,F299,MATCH(D299,Catalogo!$D$4:$D$1299,0))</f>
        <v>#N/A</v>
      </c>
      <c r="J299" s="35" t="e">
        <f>INDEX(Catalogo!$C$4:$C$1499,H299)</f>
        <v>#N/A</v>
      </c>
    </row>
    <row r="300" spans="4:10" x14ac:dyDescent="0.25">
      <c r="D300" s="79">
        <v>209280071</v>
      </c>
      <c r="F300" s="35">
        <f>IFERROR(MATCH(D300,Catalogo!$C$4:$C$1299,0),0)</f>
        <v>0</v>
      </c>
      <c r="H300" s="35" t="e">
        <f>IF(F300&gt;0,F300,MATCH(D300,Catalogo!$D$4:$D$1299,0))</f>
        <v>#N/A</v>
      </c>
      <c r="J300" s="35" t="e">
        <f>INDEX(Catalogo!$C$4:$C$1499,H300)</f>
        <v>#N/A</v>
      </c>
    </row>
    <row r="301" spans="4:10" x14ac:dyDescent="0.25">
      <c r="D301" s="79">
        <v>402860091</v>
      </c>
      <c r="F301" s="35">
        <f>IFERROR(MATCH(D301,Catalogo!$C$4:$C$1299,0),0)</f>
        <v>0</v>
      </c>
      <c r="H301" s="35" t="e">
        <f>IF(F301&gt;0,F301,MATCH(D301,Catalogo!$D$4:$D$1299,0))</f>
        <v>#N/A</v>
      </c>
      <c r="J301" s="35" t="e">
        <f>INDEX(Catalogo!$C$4:$C$1499,H301)</f>
        <v>#N/A</v>
      </c>
    </row>
    <row r="302" spans="4:10" x14ac:dyDescent="0.25">
      <c r="D302" s="79">
        <v>209360642</v>
      </c>
      <c r="F302" s="35">
        <f>IFERROR(MATCH(D302,Catalogo!$C$4:$C$1299,0),0)</f>
        <v>0</v>
      </c>
      <c r="H302" s="35" t="e">
        <f>IF(F302&gt;0,F302,MATCH(D302,Catalogo!$D$4:$D$1299,0))</f>
        <v>#N/A</v>
      </c>
      <c r="J302" s="35" t="e">
        <f>INDEX(Catalogo!$C$4:$C$1499,H302)</f>
        <v>#N/A</v>
      </c>
    </row>
    <row r="303" spans="4:10" x14ac:dyDescent="0.25">
      <c r="D303" s="79">
        <v>209270800</v>
      </c>
      <c r="F303" s="35">
        <f>IFERROR(MATCH(D303,Catalogo!$C$4:$C$1299,0),0)</f>
        <v>0</v>
      </c>
      <c r="H303" s="35" t="e">
        <f>IF(F303&gt;0,F303,MATCH(D303,Catalogo!$D$4:$D$1299,0))</f>
        <v>#N/A</v>
      </c>
      <c r="J303" s="35" t="e">
        <f>INDEX(Catalogo!$C$4:$C$1499,H303)</f>
        <v>#N/A</v>
      </c>
    </row>
    <row r="304" spans="4:10" x14ac:dyDescent="0.25">
      <c r="D304" s="81">
        <v>209210075</v>
      </c>
      <c r="F304" s="35">
        <f>IFERROR(MATCH(D304,Catalogo!$C$4:$C$1299,0),0)</f>
        <v>0</v>
      </c>
      <c r="H304" s="35" t="e">
        <f>IF(F304&gt;0,F304,MATCH(D304,Catalogo!$D$4:$D$1299,0))</f>
        <v>#N/A</v>
      </c>
      <c r="J304" s="35" t="e">
        <f>INDEX(Catalogo!$C$4:$C$1499,H304)</f>
        <v>#N/A</v>
      </c>
    </row>
    <row r="305" spans="4:10" x14ac:dyDescent="0.25">
      <c r="D305" s="79">
        <v>120790084</v>
      </c>
      <c r="F305" s="35">
        <f>IFERROR(MATCH(D305,Catalogo!$C$4:$C$1299,0),0)</f>
        <v>0</v>
      </c>
      <c r="H305" s="35" t="e">
        <f>IF(F305&gt;0,F305,MATCH(D305,Catalogo!$D$4:$D$1299,0))</f>
        <v>#N/A</v>
      </c>
      <c r="J305" s="35" t="e">
        <f>INDEX(Catalogo!$C$4:$C$1499,H305)</f>
        <v>#N/A</v>
      </c>
    </row>
    <row r="306" spans="4:10" x14ac:dyDescent="0.25">
      <c r="D306" s="79">
        <v>402860614</v>
      </c>
      <c r="F306" s="35">
        <f>IFERROR(MATCH(D306,Catalogo!$C$4:$C$1299,0),0)</f>
        <v>0</v>
      </c>
      <c r="H306" s="35" t="e">
        <f>IF(F306&gt;0,F306,MATCH(D306,Catalogo!$D$4:$D$1299,0))</f>
        <v>#N/A</v>
      </c>
      <c r="J306" s="35" t="e">
        <f>INDEX(Catalogo!$C$4:$C$1499,H306)</f>
        <v>#N/A</v>
      </c>
    </row>
    <row r="307" spans="4:10" x14ac:dyDescent="0.25">
      <c r="D307" s="78">
        <v>605170622</v>
      </c>
      <c r="F307" s="35">
        <f>IFERROR(MATCH(D307,Catalogo!$C$4:$C$1299,0),0)</f>
        <v>0</v>
      </c>
      <c r="H307" s="35" t="e">
        <f>IF(F307&gt;0,F307,MATCH(D307,Catalogo!$D$4:$D$1299,0))</f>
        <v>#N/A</v>
      </c>
      <c r="J307" s="35" t="e">
        <f>INDEX(Catalogo!$C$4:$C$1499,H307)</f>
        <v>#N/A</v>
      </c>
    </row>
    <row r="308" spans="4:10" x14ac:dyDescent="0.25">
      <c r="D308" s="79">
        <v>209250284</v>
      </c>
      <c r="F308" s="35">
        <f>IFERROR(MATCH(D308,Catalogo!$C$4:$C$1299,0),0)</f>
        <v>0</v>
      </c>
      <c r="H308" s="35" t="e">
        <f>IF(F308&gt;0,F308,MATCH(D308,Catalogo!$D$4:$D$1299,0))</f>
        <v>#N/A</v>
      </c>
      <c r="J308" s="35" t="e">
        <f>INDEX(Catalogo!$C$4:$C$1499,H308)</f>
        <v>#N/A</v>
      </c>
    </row>
    <row r="309" spans="4:10" x14ac:dyDescent="0.25">
      <c r="D309" s="81">
        <v>209290507</v>
      </c>
      <c r="F309" s="35">
        <f>IFERROR(MATCH(D309,Catalogo!$C$4:$C$1299,0),0)</f>
        <v>0</v>
      </c>
      <c r="H309" s="35" t="e">
        <f>IF(F309&gt;0,F309,MATCH(D309,Catalogo!$D$4:$D$1299,0))</f>
        <v>#N/A</v>
      </c>
      <c r="J309" s="35" t="e">
        <f>INDEX(Catalogo!$C$4:$C$1499,H309)</f>
        <v>#N/A</v>
      </c>
    </row>
    <row r="310" spans="4:10" x14ac:dyDescent="0.25">
      <c r="D310" s="78">
        <v>209220845</v>
      </c>
      <c r="F310" s="35">
        <f>IFERROR(MATCH(D310,Catalogo!$C$4:$C$1299,0),0)</f>
        <v>0</v>
      </c>
      <c r="H310" s="35" t="e">
        <f>IF(F310&gt;0,F310,MATCH(D310,Catalogo!$D$4:$D$1299,0))</f>
        <v>#N/A</v>
      </c>
      <c r="J310" s="35" t="e">
        <f>INDEX(Catalogo!$C$4:$C$1499,H310)</f>
        <v>#N/A</v>
      </c>
    </row>
    <row r="311" spans="4:10" x14ac:dyDescent="0.25">
      <c r="D311" s="79">
        <v>209350282</v>
      </c>
      <c r="F311" s="35">
        <f>IFERROR(MATCH(D311,Catalogo!$C$4:$C$1299,0),0)</f>
        <v>0</v>
      </c>
      <c r="H311" s="35" t="e">
        <f>IF(F311&gt;0,F311,MATCH(D311,Catalogo!$D$4:$D$1299,0))</f>
        <v>#N/A</v>
      </c>
      <c r="J311" s="35" t="e">
        <f>INDEX(Catalogo!$C$4:$C$1499,H311)</f>
        <v>#N/A</v>
      </c>
    </row>
    <row r="312" spans="4:10" x14ac:dyDescent="0.25">
      <c r="D312" s="79">
        <v>209280628</v>
      </c>
      <c r="F312" s="35">
        <f>IFERROR(MATCH(D312,Catalogo!$C$4:$C$1299,0),0)</f>
        <v>0</v>
      </c>
      <c r="H312" s="35" t="e">
        <f>IF(F312&gt;0,F312,MATCH(D312,Catalogo!$D$4:$D$1299,0))</f>
        <v>#N/A</v>
      </c>
      <c r="J312" s="35" t="e">
        <f>INDEX(Catalogo!$C$4:$C$1499,H312)</f>
        <v>#N/A</v>
      </c>
    </row>
    <row r="313" spans="4:10" x14ac:dyDescent="0.25">
      <c r="D313" s="78">
        <v>209330097</v>
      </c>
      <c r="F313" s="35">
        <f>IFERROR(MATCH(D313,Catalogo!$C$4:$C$1299,0),0)</f>
        <v>0</v>
      </c>
      <c r="H313" s="35" t="e">
        <f>IF(F313&gt;0,F313,MATCH(D313,Catalogo!$D$4:$D$1299,0))</f>
        <v>#N/A</v>
      </c>
      <c r="J313" s="35" t="e">
        <f>INDEX(Catalogo!$C$4:$C$1499,H313)</f>
        <v>#N/A</v>
      </c>
    </row>
    <row r="314" spans="4:10" x14ac:dyDescent="0.25">
      <c r="D314" s="82">
        <v>209310546</v>
      </c>
      <c r="F314" s="35">
        <f>IFERROR(MATCH(D314,Catalogo!$C$4:$C$1299,0),0)</f>
        <v>0</v>
      </c>
      <c r="H314" s="35" t="e">
        <f>IF(F314&gt;0,F314,MATCH(D314,Catalogo!$D$4:$D$1299,0))</f>
        <v>#N/A</v>
      </c>
      <c r="J314" s="35" t="e">
        <f>INDEX(Catalogo!$C$4:$C$1499,H314)</f>
        <v>#N/A</v>
      </c>
    </row>
    <row r="315" spans="4:10" x14ac:dyDescent="0.25">
      <c r="D315" s="82">
        <v>305930160</v>
      </c>
      <c r="F315" s="35">
        <f>IFERROR(MATCH(D315,Catalogo!$C$4:$C$1299,0),0)</f>
        <v>0</v>
      </c>
      <c r="H315" s="35" t="e">
        <f>IF(F315&gt;0,F315,MATCH(D315,Catalogo!$D$4:$D$1299,0))</f>
        <v>#N/A</v>
      </c>
      <c r="J315" s="35" t="e">
        <f>INDEX(Catalogo!$C$4:$C$1499,H315)</f>
        <v>#N/A</v>
      </c>
    </row>
    <row r="316" spans="4:10" x14ac:dyDescent="0.25">
      <c r="D316" s="79">
        <v>209320107</v>
      </c>
      <c r="F316" s="35">
        <f>IFERROR(MATCH(D316,Catalogo!$C$4:$C$1299,0),0)</f>
        <v>0</v>
      </c>
      <c r="H316" s="35" t="e">
        <f>IF(F316&gt;0,F316,MATCH(D316,Catalogo!$D$4:$D$1299,0))</f>
        <v>#N/A</v>
      </c>
      <c r="J316" s="35" t="e">
        <f>INDEX(Catalogo!$C$4:$C$1499,H316)</f>
        <v>#N/A</v>
      </c>
    </row>
    <row r="317" spans="4:10" x14ac:dyDescent="0.25">
      <c r="D317" s="78">
        <v>120720903</v>
      </c>
      <c r="F317" s="35">
        <f>IFERROR(MATCH(D317,Catalogo!$C$4:$C$1299,0),0)</f>
        <v>0</v>
      </c>
      <c r="H317" s="35" t="e">
        <f>IF(F317&gt;0,F317,MATCH(D317,Catalogo!$D$4:$D$1299,0))</f>
        <v>#N/A</v>
      </c>
      <c r="J317" s="35" t="e">
        <f>INDEX(Catalogo!$C$4:$C$1499,H317)</f>
        <v>#N/A</v>
      </c>
    </row>
    <row r="318" spans="4:10" x14ac:dyDescent="0.25">
      <c r="D318" s="79">
        <v>209310159</v>
      </c>
      <c r="F318" s="35">
        <f>IFERROR(MATCH(D318,Catalogo!$C$4:$C$1299,0),0)</f>
        <v>0</v>
      </c>
      <c r="H318" s="35" t="e">
        <f>IF(F318&gt;0,F318,MATCH(D318,Catalogo!$D$4:$D$1299,0))</f>
        <v>#N/A</v>
      </c>
      <c r="J318" s="35" t="e">
        <f>INDEX(Catalogo!$C$4:$C$1499,H318)</f>
        <v>#N/A</v>
      </c>
    </row>
    <row r="319" spans="4:10" x14ac:dyDescent="0.25">
      <c r="D319" s="81">
        <v>209210911</v>
      </c>
      <c r="F319" s="35">
        <f>IFERROR(MATCH(D319,Catalogo!$C$4:$C$1299,0),0)</f>
        <v>0</v>
      </c>
      <c r="H319" s="35" t="e">
        <f>IF(F319&gt;0,F319,MATCH(D319,Catalogo!$D$4:$D$1299,0))</f>
        <v>#N/A</v>
      </c>
      <c r="J319" s="35" t="e">
        <f>INDEX(Catalogo!$C$4:$C$1499,H319)</f>
        <v>#N/A</v>
      </c>
    </row>
    <row r="320" spans="4:10" x14ac:dyDescent="0.25">
      <c r="D320" s="79">
        <v>209330639</v>
      </c>
      <c r="F320" s="35">
        <f>IFERROR(MATCH(D320,Catalogo!$C$4:$C$1299,0),0)</f>
        <v>0</v>
      </c>
      <c r="H320" s="35" t="e">
        <f>IF(F320&gt;0,F320,MATCH(D320,Catalogo!$D$4:$D$1299,0))</f>
        <v>#N/A</v>
      </c>
      <c r="J320" s="35" t="e">
        <f>INDEX(Catalogo!$C$4:$C$1499,H320)</f>
        <v>#N/A</v>
      </c>
    </row>
    <row r="321" spans="4:10" x14ac:dyDescent="0.25">
      <c r="D321" s="79">
        <v>402890723</v>
      </c>
      <c r="F321" s="35">
        <f>IFERROR(MATCH(D321,Catalogo!$C$4:$C$1299,0),0)</f>
        <v>0</v>
      </c>
      <c r="H321" s="35" t="e">
        <f>IF(F321&gt;0,F321,MATCH(D321,Catalogo!$D$4:$D$1299,0))</f>
        <v>#N/A</v>
      </c>
      <c r="J321" s="35" t="e">
        <f>INDEX(Catalogo!$C$4:$C$1499,H321)</f>
        <v>#N/A</v>
      </c>
    </row>
    <row r="322" spans="4:10" x14ac:dyDescent="0.25">
      <c r="D322" s="79">
        <v>209260630</v>
      </c>
      <c r="F322" s="35">
        <f>IFERROR(MATCH(D322,Catalogo!$C$4:$C$1299,0),0)</f>
        <v>0</v>
      </c>
      <c r="H322" s="35" t="e">
        <f>IF(F322&gt;0,F322,MATCH(D322,Catalogo!$D$4:$D$1299,0))</f>
        <v>#N/A</v>
      </c>
      <c r="J322" s="35" t="e">
        <f>INDEX(Catalogo!$C$4:$C$1499,H322)</f>
        <v>#N/A</v>
      </c>
    </row>
    <row r="323" spans="4:10" x14ac:dyDescent="0.25">
      <c r="D323" s="79">
        <v>402890955</v>
      </c>
      <c r="F323" s="35">
        <f>IFERROR(MATCH(D323,Catalogo!$C$4:$C$1299,0),0)</f>
        <v>0</v>
      </c>
      <c r="H323" s="35" t="e">
        <f>IF(F323&gt;0,F323,MATCH(D323,Catalogo!$D$4:$D$1299,0))</f>
        <v>#N/A</v>
      </c>
      <c r="J323" s="35" t="e">
        <f>INDEX(Catalogo!$C$4:$C$1499,H323)</f>
        <v>#N/A</v>
      </c>
    </row>
    <row r="324" spans="4:10" x14ac:dyDescent="0.25">
      <c r="D324" s="79">
        <v>209310056</v>
      </c>
      <c r="F324" s="35">
        <f>IFERROR(MATCH(D324,Catalogo!$C$4:$C$1299,0),0)</f>
        <v>0</v>
      </c>
      <c r="H324" s="35" t="e">
        <f>IF(F324&gt;0,F324,MATCH(D324,Catalogo!$D$4:$D$1299,0))</f>
        <v>#N/A</v>
      </c>
      <c r="J324" s="35" t="e">
        <f>INDEX(Catalogo!$C$4:$C$1499,H324)</f>
        <v>#N/A</v>
      </c>
    </row>
    <row r="325" spans="4:10" x14ac:dyDescent="0.25">
      <c r="D325" s="79">
        <v>120810440</v>
      </c>
      <c r="F325" s="35">
        <f>IFERROR(MATCH(D325,Catalogo!$C$4:$C$1299,0),0)</f>
        <v>0</v>
      </c>
      <c r="H325" s="35" t="e">
        <f>IF(F325&gt;0,F325,MATCH(D325,Catalogo!$D$4:$D$1299,0))</f>
        <v>#N/A</v>
      </c>
      <c r="J325" s="35" t="e">
        <f>INDEX(Catalogo!$C$4:$C$1499,H325)</f>
        <v>#N/A</v>
      </c>
    </row>
    <row r="326" spans="4:10" x14ac:dyDescent="0.25">
      <c r="D326" s="79">
        <v>120810439</v>
      </c>
      <c r="F326" s="35">
        <f>IFERROR(MATCH(D326,Catalogo!$C$4:$C$1299,0),0)</f>
        <v>0</v>
      </c>
      <c r="H326" s="35" t="e">
        <f>IF(F326&gt;0,F326,MATCH(D326,Catalogo!$D$4:$D$1299,0))</f>
        <v>#N/A</v>
      </c>
      <c r="J326" s="35" t="e">
        <f>INDEX(Catalogo!$C$4:$C$1499,H326)</f>
        <v>#N/A</v>
      </c>
    </row>
    <row r="327" spans="4:10" x14ac:dyDescent="0.25">
      <c r="D327" s="75">
        <v>209260769</v>
      </c>
      <c r="F327" s="35">
        <f>IFERROR(MATCH(D327,Catalogo!$C$4:$C$1299,0),0)</f>
        <v>0</v>
      </c>
      <c r="H327" s="35" t="e">
        <f>IF(F327&gt;0,F327,MATCH(D327,Catalogo!$D$4:$D$1299,0))</f>
        <v>#N/A</v>
      </c>
      <c r="J327" s="35" t="e">
        <f>INDEX(Catalogo!$C$4:$C$1499,H327)</f>
        <v>#N/A</v>
      </c>
    </row>
    <row r="328" spans="4:10" x14ac:dyDescent="0.25">
      <c r="D328" s="37">
        <v>402880214</v>
      </c>
      <c r="F328" s="35">
        <f>IFERROR(MATCH(D328,Catalogo!$C$4:$C$1299,0),0)</f>
        <v>0</v>
      </c>
      <c r="H328" s="35" t="e">
        <f>IF(F328&gt;0,F328,MATCH(D328,Catalogo!$D$4:$D$1299,0))</f>
        <v>#N/A</v>
      </c>
      <c r="J328" s="35" t="e">
        <f>INDEX(Catalogo!$C$4:$C$1499,H328)</f>
        <v>#N/A</v>
      </c>
    </row>
    <row r="329" spans="4:10" x14ac:dyDescent="0.25">
      <c r="D329" s="79">
        <v>209250051</v>
      </c>
      <c r="F329" s="35">
        <f>IFERROR(MATCH(D329,Catalogo!$C$4:$C$1299,0),0)</f>
        <v>0</v>
      </c>
      <c r="H329" s="35" t="e">
        <f>IF(F329&gt;0,F329,MATCH(D329,Catalogo!$D$4:$D$1299,0))</f>
        <v>#N/A</v>
      </c>
      <c r="J329" s="35" t="e">
        <f>INDEX(Catalogo!$C$4:$C$1499,H329)</f>
        <v>#N/A</v>
      </c>
    </row>
    <row r="330" spans="4:10" x14ac:dyDescent="0.25">
      <c r="D330" s="79">
        <v>120750967</v>
      </c>
      <c r="F330" s="35">
        <f>IFERROR(MATCH(D330,Catalogo!$C$4:$C$1299,0),0)</f>
        <v>0</v>
      </c>
      <c r="H330" s="35" t="e">
        <f>IF(F330&gt;0,F330,MATCH(D330,Catalogo!$D$4:$D$1299,0))</f>
        <v>#N/A</v>
      </c>
      <c r="J330" s="35" t="e">
        <f>INDEX(Catalogo!$C$4:$C$1499,H330)</f>
        <v>#N/A</v>
      </c>
    </row>
    <row r="331" spans="4:10" x14ac:dyDescent="0.25">
      <c r="D331" s="78">
        <v>402870301</v>
      </c>
      <c r="F331" s="35">
        <f>IFERROR(MATCH(D331,Catalogo!$C$4:$C$1299,0),0)</f>
        <v>0</v>
      </c>
      <c r="H331" s="35" t="e">
        <f>IF(F331&gt;0,F331,MATCH(D331,Catalogo!$D$4:$D$1299,0))</f>
        <v>#N/A</v>
      </c>
      <c r="J331" s="35" t="e">
        <f>INDEX(Catalogo!$C$4:$C$1499,H331)</f>
        <v>#N/A</v>
      </c>
    </row>
    <row r="332" spans="4:10" x14ac:dyDescent="0.25">
      <c r="D332" s="79">
        <v>402860034</v>
      </c>
      <c r="F332" s="35">
        <f>IFERROR(MATCH(D332,Catalogo!$C$4:$C$1299,0),0)</f>
        <v>0</v>
      </c>
      <c r="H332" s="35" t="e">
        <f>IF(F332&gt;0,F332,MATCH(D332,Catalogo!$D$4:$D$1299,0))</f>
        <v>#N/A</v>
      </c>
      <c r="J332" s="35" t="e">
        <f>INDEX(Catalogo!$C$4:$C$1499,H332)</f>
        <v>#N/A</v>
      </c>
    </row>
    <row r="333" spans="4:10" x14ac:dyDescent="0.25">
      <c r="D333" s="79">
        <v>209260879</v>
      </c>
      <c r="F333" s="35">
        <f>IFERROR(MATCH(D333,Catalogo!$C$4:$C$1299,0),0)</f>
        <v>0</v>
      </c>
      <c r="H333" s="35" t="e">
        <f>IF(F333&gt;0,F333,MATCH(D333,Catalogo!$D$4:$D$1299,0))</f>
        <v>#N/A</v>
      </c>
      <c r="J333" s="35" t="e">
        <f>INDEX(Catalogo!$C$4:$C$1499,H333)</f>
        <v>#N/A</v>
      </c>
    </row>
    <row r="334" spans="4:10" x14ac:dyDescent="0.25">
      <c r="D334" s="79">
        <v>402870728</v>
      </c>
      <c r="F334" s="35">
        <f>IFERROR(MATCH(D334,Catalogo!$C$4:$C$1299,0),0)</f>
        <v>0</v>
      </c>
      <c r="H334" s="35" t="e">
        <f>IF(F334&gt;0,F334,MATCH(D334,Catalogo!$D$4:$D$1299,0))</f>
        <v>#N/A</v>
      </c>
      <c r="J334" s="35" t="e">
        <f>INDEX(Catalogo!$C$4:$C$1499,H334)</f>
        <v>#N/A</v>
      </c>
    </row>
    <row r="335" spans="4:10" x14ac:dyDescent="0.25">
      <c r="D335" s="75">
        <v>402860421</v>
      </c>
      <c r="F335" s="35">
        <f>IFERROR(MATCH(D335,Catalogo!$C$4:$C$1299,0),0)</f>
        <v>0</v>
      </c>
      <c r="H335" s="35" t="e">
        <f>IF(F335&gt;0,F335,MATCH(D335,Catalogo!$D$4:$D$1299,0))</f>
        <v>#N/A</v>
      </c>
      <c r="J335" s="35" t="e">
        <f>INDEX(Catalogo!$C$4:$C$1499,H335)</f>
        <v>#N/A</v>
      </c>
    </row>
    <row r="336" spans="4:10" x14ac:dyDescent="0.25">
      <c r="D336" s="75">
        <v>402860607</v>
      </c>
      <c r="F336" s="35">
        <f>IFERROR(MATCH(D336,Catalogo!$C$4:$C$1299,0),0)</f>
        <v>0</v>
      </c>
      <c r="H336" s="35" t="e">
        <f>IF(F336&gt;0,F336,MATCH(D336,Catalogo!$D$4:$D$1299,0))</f>
        <v>#N/A</v>
      </c>
      <c r="J336" s="35" t="e">
        <f>INDEX(Catalogo!$C$4:$C$1499,H336)</f>
        <v>#N/A</v>
      </c>
    </row>
    <row r="337" spans="4:10" x14ac:dyDescent="0.25">
      <c r="D337" s="75">
        <v>402860608</v>
      </c>
      <c r="F337" s="35">
        <f>IFERROR(MATCH(D337,Catalogo!$C$4:$C$1299,0),0)</f>
        <v>0</v>
      </c>
      <c r="H337" s="35" t="e">
        <f>IF(F337&gt;0,F337,MATCH(D337,Catalogo!$D$4:$D$1299,0))</f>
        <v>#N/A</v>
      </c>
      <c r="J337" s="35" t="e">
        <f>INDEX(Catalogo!$C$4:$C$1499,H337)</f>
        <v>#N/A</v>
      </c>
    </row>
    <row r="338" spans="4:10" x14ac:dyDescent="0.25">
      <c r="D338" s="78">
        <v>209160684</v>
      </c>
      <c r="F338" s="35">
        <f>IFERROR(MATCH(D338,Catalogo!$C$4:$C$1299,0),0)</f>
        <v>0</v>
      </c>
      <c r="H338" s="35" t="e">
        <f>IF(F338&gt;0,F338,MATCH(D338,Catalogo!$D$4:$D$1299,0))</f>
        <v>#N/A</v>
      </c>
      <c r="J338" s="35" t="e">
        <f>INDEX(Catalogo!$C$4:$C$1499,H338)</f>
        <v>#N/A</v>
      </c>
    </row>
    <row r="339" spans="4:10" x14ac:dyDescent="0.25">
      <c r="D339" s="78">
        <v>402820540</v>
      </c>
      <c r="F339" s="35">
        <f>IFERROR(MATCH(D339,Catalogo!$C$4:$C$1299,0),0)</f>
        <v>0</v>
      </c>
      <c r="H339" s="35" t="e">
        <f>IF(F339&gt;0,F339,MATCH(D339,Catalogo!$D$4:$D$1299,0))</f>
        <v>#N/A</v>
      </c>
      <c r="J339" s="35" t="e">
        <f>INDEX(Catalogo!$C$4:$C$1499,H339)</f>
        <v>#N/A</v>
      </c>
    </row>
    <row r="340" spans="4:10" x14ac:dyDescent="0.25">
      <c r="D340" s="78" t="s">
        <v>551</v>
      </c>
      <c r="F340" s="35">
        <f>IFERROR(MATCH(D340,Catalogo!$C$4:$C$1299,0),0)</f>
        <v>0</v>
      </c>
      <c r="H340" s="35" t="e">
        <f>IF(F340&gt;0,F340,MATCH(D340,Catalogo!$D$4:$D$1299,0))</f>
        <v>#N/A</v>
      </c>
      <c r="J340" s="35" t="e">
        <f>INDEX(Catalogo!$C$4:$C$1499,H340)</f>
        <v>#N/A</v>
      </c>
    </row>
    <row r="341" spans="4:10" x14ac:dyDescent="0.25">
      <c r="D341" s="78">
        <v>209080436</v>
      </c>
      <c r="F341" s="35">
        <f>IFERROR(MATCH(D341,Catalogo!$C$4:$C$1299,0),0)</f>
        <v>0</v>
      </c>
      <c r="H341" s="35" t="e">
        <f>IF(F341&gt;0,F341,MATCH(D341,Catalogo!$D$4:$D$1299,0))</f>
        <v>#N/A</v>
      </c>
      <c r="J341" s="35" t="e">
        <f>INDEX(Catalogo!$C$4:$C$1499,H341)</f>
        <v>#N/A</v>
      </c>
    </row>
    <row r="342" spans="4:10" x14ac:dyDescent="0.25">
      <c r="D342" s="78">
        <v>120660217</v>
      </c>
      <c r="F342" s="35">
        <f>IFERROR(MATCH(D342,Catalogo!$C$4:$C$1299,0),0)</f>
        <v>0</v>
      </c>
      <c r="H342" s="35" t="e">
        <f>IF(F342&gt;0,F342,MATCH(D342,Catalogo!$D$4:$D$1299,0))</f>
        <v>#N/A</v>
      </c>
      <c r="J342" s="35" t="e">
        <f>INDEX(Catalogo!$C$4:$C$1499,H342)</f>
        <v>#N/A</v>
      </c>
    </row>
    <row r="343" spans="4:10" x14ac:dyDescent="0.25">
      <c r="D343" s="83">
        <v>155831612811</v>
      </c>
      <c r="F343" s="35">
        <f>IFERROR(MATCH(D343,Catalogo!$C$4:$C$1299,0),0)</f>
        <v>0</v>
      </c>
      <c r="H343" s="35" t="e">
        <f>IF(F343&gt;0,F343,MATCH(D343,Catalogo!$D$4:$D$1299,0))</f>
        <v>#N/A</v>
      </c>
      <c r="J343" s="35" t="e">
        <f>INDEX(Catalogo!$C$4:$C$1499,H343)</f>
        <v>#N/A</v>
      </c>
    </row>
    <row r="344" spans="4:10" x14ac:dyDescent="0.25">
      <c r="D344" s="78">
        <v>209130031</v>
      </c>
      <c r="F344" s="35">
        <f>IFERROR(MATCH(D344,Catalogo!$C$4:$C$1299,0),0)</f>
        <v>0</v>
      </c>
      <c r="H344" s="35" t="e">
        <f>IF(F344&gt;0,F344,MATCH(D344,Catalogo!$D$4:$D$1299,0))</f>
        <v>#N/A</v>
      </c>
      <c r="J344" s="35" t="e">
        <f>INDEX(Catalogo!$C$4:$C$1499,H344)</f>
        <v>#N/A</v>
      </c>
    </row>
    <row r="345" spans="4:10" x14ac:dyDescent="0.25">
      <c r="D345" s="78">
        <v>402830481</v>
      </c>
      <c r="F345" s="35">
        <f>IFERROR(MATCH(D345,Catalogo!$C$4:$C$1299,0),0)</f>
        <v>0</v>
      </c>
      <c r="H345" s="35" t="e">
        <f>IF(F345&gt;0,F345,MATCH(D345,Catalogo!$D$4:$D$1299,0))</f>
        <v>#N/A</v>
      </c>
      <c r="J345" s="35" t="e">
        <f>INDEX(Catalogo!$C$4:$C$1499,H345)</f>
        <v>#N/A</v>
      </c>
    </row>
    <row r="346" spans="4:10" x14ac:dyDescent="0.25">
      <c r="D346" s="78">
        <v>402840913</v>
      </c>
      <c r="F346" s="35">
        <f>IFERROR(MATCH(D346,Catalogo!$C$4:$C$1299,0),0)</f>
        <v>0</v>
      </c>
      <c r="H346" s="35" t="e">
        <f>IF(F346&gt;0,F346,MATCH(D346,Catalogo!$D$4:$D$1299,0))</f>
        <v>#N/A</v>
      </c>
      <c r="J346" s="35" t="e">
        <f>INDEX(Catalogo!$C$4:$C$1499,H346)</f>
        <v>#N/A</v>
      </c>
    </row>
    <row r="347" spans="4:10" x14ac:dyDescent="0.25">
      <c r="D347" s="75">
        <v>402830886</v>
      </c>
      <c r="F347" s="35">
        <f>IFERROR(MATCH(D347,Catalogo!$C$4:$C$1299,0),0)</f>
        <v>0</v>
      </c>
      <c r="H347" s="35" t="e">
        <f>IF(F347&gt;0,F347,MATCH(D347,Catalogo!$D$4:$D$1299,0))</f>
        <v>#N/A</v>
      </c>
      <c r="J347" s="35" t="e">
        <f>INDEX(Catalogo!$C$4:$C$1499,H347)</f>
        <v>#N/A</v>
      </c>
    </row>
    <row r="348" spans="4:10" x14ac:dyDescent="0.25">
      <c r="D348" s="75">
        <v>120610270</v>
      </c>
      <c r="F348" s="35">
        <f>IFERROR(MATCH(D348,Catalogo!$C$4:$C$1299,0),0)</f>
        <v>0</v>
      </c>
      <c r="H348" s="35" t="e">
        <f>IF(F348&gt;0,F348,MATCH(D348,Catalogo!$D$4:$D$1299,0))</f>
        <v>#N/A</v>
      </c>
      <c r="J348" s="35" t="e">
        <f>INDEX(Catalogo!$C$4:$C$1499,H348)</f>
        <v>#N/A</v>
      </c>
    </row>
    <row r="349" spans="4:10" x14ac:dyDescent="0.25">
      <c r="D349" s="78">
        <v>402840459</v>
      </c>
      <c r="F349" s="35">
        <f>IFERROR(MATCH(D349,Catalogo!$C$4:$C$1299,0),0)</f>
        <v>0</v>
      </c>
      <c r="H349" s="35" t="e">
        <f>IF(F349&gt;0,F349,MATCH(D349,Catalogo!$D$4:$D$1299,0))</f>
        <v>#N/A</v>
      </c>
      <c r="J349" s="35" t="e">
        <f>INDEX(Catalogo!$C$4:$C$1499,H349)</f>
        <v>#N/A</v>
      </c>
    </row>
    <row r="350" spans="4:10" x14ac:dyDescent="0.25">
      <c r="D350" s="78">
        <v>209160804</v>
      </c>
      <c r="F350" s="35">
        <f>IFERROR(MATCH(D350,Catalogo!$C$4:$C$1299,0),0)</f>
        <v>0</v>
      </c>
      <c r="H350" s="35" t="e">
        <f>IF(F350&gt;0,F350,MATCH(D350,Catalogo!$D$4:$D$1299,0))</f>
        <v>#N/A</v>
      </c>
      <c r="J350" s="35" t="e">
        <f>INDEX(Catalogo!$C$4:$C$1499,H350)</f>
        <v>#N/A</v>
      </c>
    </row>
    <row r="351" spans="4:10" x14ac:dyDescent="0.25">
      <c r="D351" s="78">
        <v>120700522</v>
      </c>
      <c r="F351" s="35">
        <f>IFERROR(MATCH(D351,Catalogo!$C$4:$C$1299,0),0)</f>
        <v>0</v>
      </c>
      <c r="H351" s="35" t="e">
        <f>IF(F351&gt;0,F351,MATCH(D351,Catalogo!$D$4:$D$1299,0))</f>
        <v>#N/A</v>
      </c>
      <c r="J351" s="35" t="e">
        <f>INDEX(Catalogo!$C$4:$C$1499,H351)</f>
        <v>#N/A</v>
      </c>
    </row>
    <row r="352" spans="4:10" x14ac:dyDescent="0.25">
      <c r="D352" s="78">
        <v>402850785</v>
      </c>
      <c r="F352" s="35">
        <f>IFERROR(MATCH(D352,Catalogo!$C$4:$C$1299,0),0)</f>
        <v>0</v>
      </c>
      <c r="H352" s="35" t="e">
        <f>IF(F352&gt;0,F352,MATCH(D352,Catalogo!$D$4:$D$1299,0))</f>
        <v>#N/A</v>
      </c>
      <c r="J352" s="35" t="e">
        <f>INDEX(Catalogo!$C$4:$C$1499,H352)</f>
        <v>#N/A</v>
      </c>
    </row>
    <row r="353" spans="4:10" x14ac:dyDescent="0.25">
      <c r="D353" s="78">
        <v>402840458</v>
      </c>
      <c r="F353" s="35">
        <f>IFERROR(MATCH(D353,Catalogo!$C$4:$C$1299,0),0)</f>
        <v>0</v>
      </c>
      <c r="H353" s="35" t="e">
        <f>IF(F353&gt;0,F353,MATCH(D353,Catalogo!$D$4:$D$1299,0))</f>
        <v>#N/A</v>
      </c>
      <c r="J353" s="35" t="e">
        <f>INDEX(Catalogo!$C$4:$C$1499,H353)</f>
        <v>#N/A</v>
      </c>
    </row>
    <row r="354" spans="4:10" x14ac:dyDescent="0.25">
      <c r="D354" s="78">
        <v>120710232</v>
      </c>
      <c r="F354" s="35">
        <f>IFERROR(MATCH(D354,Catalogo!$C$4:$C$1299,0),0)</f>
        <v>0</v>
      </c>
      <c r="H354" s="35" t="e">
        <f>IF(F354&gt;0,F354,MATCH(D354,Catalogo!$D$4:$D$1299,0))</f>
        <v>#N/A</v>
      </c>
      <c r="J354" s="35" t="e">
        <f>INDEX(Catalogo!$C$4:$C$1499,H354)</f>
        <v>#N/A</v>
      </c>
    </row>
    <row r="355" spans="4:10" x14ac:dyDescent="0.25">
      <c r="D355" s="78">
        <v>402830329</v>
      </c>
      <c r="F355" s="35">
        <f>IFERROR(MATCH(D355,Catalogo!$C$4:$C$1299,0),0)</f>
        <v>0</v>
      </c>
      <c r="H355" s="35" t="e">
        <f>IF(F355&gt;0,F355,MATCH(D355,Catalogo!$D$4:$D$1299,0))</f>
        <v>#N/A</v>
      </c>
      <c r="J355" s="35" t="e">
        <f>INDEX(Catalogo!$C$4:$C$1499,H355)</f>
        <v>#N/A</v>
      </c>
    </row>
    <row r="356" spans="4:10" x14ac:dyDescent="0.25">
      <c r="D356" s="78">
        <v>402850639</v>
      </c>
      <c r="F356" s="35">
        <f>IFERROR(MATCH(D356,Catalogo!$C$4:$C$1299,0),0)</f>
        <v>0</v>
      </c>
      <c r="H356" s="35" t="e">
        <f>IF(F356&gt;0,F356,MATCH(D356,Catalogo!$D$4:$D$1299,0))</f>
        <v>#N/A</v>
      </c>
      <c r="J356" s="35" t="e">
        <f>INDEX(Catalogo!$C$4:$C$1499,H356)</f>
        <v>#N/A</v>
      </c>
    </row>
    <row r="357" spans="4:10" x14ac:dyDescent="0.25">
      <c r="D357" s="78">
        <v>209170546</v>
      </c>
      <c r="F357" s="35">
        <f>IFERROR(MATCH(D357,Catalogo!$C$4:$C$1299,0),0)</f>
        <v>0</v>
      </c>
      <c r="H357" s="35" t="e">
        <f>IF(F357&gt;0,F357,MATCH(D357,Catalogo!$D$4:$D$1299,0))</f>
        <v>#N/A</v>
      </c>
      <c r="J357" s="35" t="e">
        <f>INDEX(Catalogo!$C$4:$C$1499,H357)</f>
        <v>#N/A</v>
      </c>
    </row>
    <row r="358" spans="4:10" x14ac:dyDescent="0.25">
      <c r="D358" s="78">
        <v>209060669</v>
      </c>
      <c r="F358" s="35">
        <f>IFERROR(MATCH(D358,Catalogo!$C$4:$C$1299,0),0)</f>
        <v>0</v>
      </c>
      <c r="H358" s="35" t="e">
        <f>IF(F358&gt;0,F358,MATCH(D358,Catalogo!$D$4:$D$1299,0))</f>
        <v>#N/A</v>
      </c>
      <c r="J358" s="35" t="e">
        <f>INDEX(Catalogo!$C$4:$C$1499,H358)</f>
        <v>#N/A</v>
      </c>
    </row>
    <row r="359" spans="4:10" x14ac:dyDescent="0.25">
      <c r="D359" s="78">
        <v>402810859</v>
      </c>
      <c r="F359" s="35">
        <f>IFERROR(MATCH(D359,Catalogo!$C$4:$C$1299,0),0)</f>
        <v>0</v>
      </c>
      <c r="H359" s="35" t="e">
        <f>IF(F359&gt;0,F359,MATCH(D359,Catalogo!$D$4:$D$1299,0))</f>
        <v>#N/A</v>
      </c>
      <c r="J359" s="35" t="e">
        <f>INDEX(Catalogo!$C$4:$C$1499,H359)</f>
        <v>#N/A</v>
      </c>
    </row>
    <row r="360" spans="4:10" x14ac:dyDescent="0.25">
      <c r="D360" s="78">
        <v>402830061</v>
      </c>
      <c r="F360" s="35">
        <f>IFERROR(MATCH(D360,Catalogo!$C$4:$C$1299,0),0)</f>
        <v>0</v>
      </c>
      <c r="H360" s="35" t="e">
        <f>IF(F360&gt;0,F360,MATCH(D360,Catalogo!$D$4:$D$1299,0))</f>
        <v>#N/A</v>
      </c>
      <c r="J360" s="35" t="e">
        <f>INDEX(Catalogo!$C$4:$C$1499,H360)</f>
        <v>#N/A</v>
      </c>
    </row>
    <row r="361" spans="4:10" x14ac:dyDescent="0.25">
      <c r="D361" s="78">
        <v>120230559</v>
      </c>
      <c r="F361" s="35">
        <f>IFERROR(MATCH(D361,Catalogo!$C$4:$C$1299,0),0)</f>
        <v>0</v>
      </c>
      <c r="H361" s="35" t="e">
        <f>IF(F361&gt;0,F361,MATCH(D361,Catalogo!$D$4:$D$1299,0))</f>
        <v>#N/A</v>
      </c>
      <c r="J361" s="35" t="e">
        <f>INDEX(Catalogo!$C$4:$C$1499,H361)</f>
        <v>#N/A</v>
      </c>
    </row>
    <row r="362" spans="4:10" x14ac:dyDescent="0.25">
      <c r="D362" s="82">
        <v>209120834</v>
      </c>
      <c r="F362" s="35">
        <f>IFERROR(MATCH(D362,Catalogo!$C$4:$C$1299,0),0)</f>
        <v>0</v>
      </c>
      <c r="H362" s="35" t="e">
        <f>IF(F362&gt;0,F362,MATCH(D362,Catalogo!$D$4:$D$1299,0))</f>
        <v>#N/A</v>
      </c>
      <c r="J362" s="35" t="e">
        <f>INDEX(Catalogo!$C$4:$C$1499,H362)</f>
        <v>#N/A</v>
      </c>
    </row>
    <row r="363" spans="4:10" x14ac:dyDescent="0.25">
      <c r="D363" s="82">
        <v>402810207</v>
      </c>
      <c r="F363" s="35">
        <f>IFERROR(MATCH(D363,Catalogo!$C$4:$C$1299,0),0)</f>
        <v>0</v>
      </c>
      <c r="H363" s="35" t="e">
        <f>IF(F363&gt;0,F363,MATCH(D363,Catalogo!$D$4:$D$1299,0))</f>
        <v>#N/A</v>
      </c>
      <c r="J363" s="35" t="e">
        <f>INDEX(Catalogo!$C$4:$C$1499,H363)</f>
        <v>#N/A</v>
      </c>
    </row>
    <row r="364" spans="4:10" x14ac:dyDescent="0.25">
      <c r="D364" s="78">
        <v>209220773</v>
      </c>
      <c r="F364" s="35">
        <f>IFERROR(MATCH(D364,Catalogo!$C$4:$C$1299,0),0)</f>
        <v>0</v>
      </c>
      <c r="H364" s="35" t="e">
        <f>IF(F364&gt;0,F364,MATCH(D364,Catalogo!$D$4:$D$1299,0))</f>
        <v>#N/A</v>
      </c>
      <c r="J364" s="35" t="e">
        <f>INDEX(Catalogo!$C$4:$C$1499,H364)</f>
        <v>#N/A</v>
      </c>
    </row>
    <row r="365" spans="4:10" x14ac:dyDescent="0.25">
      <c r="D365" s="78">
        <v>209110628</v>
      </c>
      <c r="F365" s="35">
        <f>IFERROR(MATCH(D365,Catalogo!$C$4:$C$1299,0),0)</f>
        <v>0</v>
      </c>
      <c r="H365" s="35" t="e">
        <f>IF(F365&gt;0,F365,MATCH(D365,Catalogo!$D$4:$D$1299,0))</f>
        <v>#N/A</v>
      </c>
      <c r="J365" s="35" t="e">
        <f>INDEX(Catalogo!$C$4:$C$1499,H365)</f>
        <v>#N/A</v>
      </c>
    </row>
    <row r="366" spans="4:10" x14ac:dyDescent="0.25">
      <c r="D366" s="78">
        <v>402820341</v>
      </c>
      <c r="F366" s="35">
        <f>IFERROR(MATCH(D366,Catalogo!$C$4:$C$1299,0),0)</f>
        <v>0</v>
      </c>
      <c r="H366" s="35" t="e">
        <f>IF(F366&gt;0,F366,MATCH(D366,Catalogo!$D$4:$D$1299,0))</f>
        <v>#N/A</v>
      </c>
      <c r="J366" s="35" t="e">
        <f>INDEX(Catalogo!$C$4:$C$1499,H366)</f>
        <v>#N/A</v>
      </c>
    </row>
    <row r="367" spans="4:10" x14ac:dyDescent="0.25">
      <c r="D367" s="78">
        <v>209160683</v>
      </c>
      <c r="F367" s="35">
        <f>IFERROR(MATCH(D367,Catalogo!$C$4:$C$1299,0),0)</f>
        <v>0</v>
      </c>
      <c r="H367" s="35" t="e">
        <f>IF(F367&gt;0,F367,MATCH(D367,Catalogo!$D$4:$D$1299,0))</f>
        <v>#N/A</v>
      </c>
      <c r="J367" s="35" t="e">
        <f>INDEX(Catalogo!$C$4:$C$1499,H367)</f>
        <v>#N/A</v>
      </c>
    </row>
    <row r="368" spans="4:10" x14ac:dyDescent="0.25">
      <c r="D368" s="78">
        <v>402840548</v>
      </c>
      <c r="F368" s="35">
        <f>IFERROR(MATCH(D368,Catalogo!$C$4:$C$1299,0),0)</f>
        <v>0</v>
      </c>
      <c r="H368" s="35" t="e">
        <f>IF(F368&gt;0,F368,MATCH(D368,Catalogo!$D$4:$D$1299,0))</f>
        <v>#N/A</v>
      </c>
      <c r="J368" s="35" t="e">
        <f>INDEX(Catalogo!$C$4:$C$1499,H368)</f>
        <v>#N/A</v>
      </c>
    </row>
    <row r="369" spans="4:10" x14ac:dyDescent="0.25">
      <c r="D369" s="78">
        <v>209220655</v>
      </c>
      <c r="F369" s="35">
        <f>IFERROR(MATCH(D369,Catalogo!$C$4:$C$1299,0),0)</f>
        <v>0</v>
      </c>
      <c r="H369" s="35" t="e">
        <f>IF(F369&gt;0,F369,MATCH(D369,Catalogo!$D$4:$D$1299,0))</f>
        <v>#N/A</v>
      </c>
      <c r="J369" s="35" t="e">
        <f>INDEX(Catalogo!$C$4:$C$1499,H369)</f>
        <v>#N/A</v>
      </c>
    </row>
    <row r="370" spans="4:10" x14ac:dyDescent="0.25">
      <c r="D370" s="78">
        <v>209220238</v>
      </c>
      <c r="F370" s="35">
        <f>IFERROR(MATCH(D370,Catalogo!$C$4:$C$1299,0),0)</f>
        <v>0</v>
      </c>
      <c r="H370" s="35" t="e">
        <f>IF(F370&gt;0,F370,MATCH(D370,Catalogo!$D$4:$D$1299,0))</f>
        <v>#N/A</v>
      </c>
      <c r="J370" s="35" t="e">
        <f>INDEX(Catalogo!$C$4:$C$1499,H370)</f>
        <v>#N/A</v>
      </c>
    </row>
    <row r="371" spans="4:10" x14ac:dyDescent="0.25">
      <c r="D371" s="78">
        <v>209130893</v>
      </c>
      <c r="F371" s="35">
        <f>IFERROR(MATCH(D371,Catalogo!$C$4:$C$1299,0),0)</f>
        <v>0</v>
      </c>
      <c r="H371" s="35" t="e">
        <f>IF(F371&gt;0,F371,MATCH(D371,Catalogo!$D$4:$D$1299,0))</f>
        <v>#N/A</v>
      </c>
      <c r="J371" s="35" t="e">
        <f>INDEX(Catalogo!$C$4:$C$1499,H371)</f>
        <v>#N/A</v>
      </c>
    </row>
    <row r="372" spans="4:10" x14ac:dyDescent="0.25">
      <c r="D372" s="78">
        <v>402830388</v>
      </c>
      <c r="F372" s="35">
        <f>IFERROR(MATCH(D372,Catalogo!$C$4:$C$1299,0),0)</f>
        <v>0</v>
      </c>
      <c r="H372" s="35" t="e">
        <f>IF(F372&gt;0,F372,MATCH(D372,Catalogo!$D$4:$D$1299,0))</f>
        <v>#N/A</v>
      </c>
      <c r="J372" s="35" t="e">
        <f>INDEX(Catalogo!$C$4:$C$1499,H372)</f>
        <v>#N/A</v>
      </c>
    </row>
    <row r="373" spans="4:10" x14ac:dyDescent="0.25">
      <c r="D373" s="78">
        <v>209140970</v>
      </c>
      <c r="F373" s="35">
        <f>IFERROR(MATCH(D373,Catalogo!$C$4:$C$1299,0),0)</f>
        <v>0</v>
      </c>
      <c r="H373" s="35" t="e">
        <f>IF(F373&gt;0,F373,MATCH(D373,Catalogo!$D$4:$D$1299,0))</f>
        <v>#N/A</v>
      </c>
      <c r="J373" s="35" t="e">
        <f>INDEX(Catalogo!$C$4:$C$1499,H373)</f>
        <v>#N/A</v>
      </c>
    </row>
    <row r="374" spans="4:10" x14ac:dyDescent="0.25">
      <c r="D374" s="78">
        <v>120530836</v>
      </c>
      <c r="F374" s="35">
        <f>IFERROR(MATCH(D374,Catalogo!$C$4:$C$1299,0),0)</f>
        <v>0</v>
      </c>
      <c r="H374" s="35" t="e">
        <f>IF(F374&gt;0,F374,MATCH(D374,Catalogo!$D$4:$D$1299,0))</f>
        <v>#N/A</v>
      </c>
      <c r="J374" s="35" t="e">
        <f>INDEX(Catalogo!$C$4:$C$1499,H374)</f>
        <v>#N/A</v>
      </c>
    </row>
    <row r="375" spans="4:10" x14ac:dyDescent="0.25">
      <c r="D375" s="78">
        <v>209100720</v>
      </c>
      <c r="F375" s="35">
        <f>IFERROR(MATCH(D375,Catalogo!$C$4:$C$1299,0),0)</f>
        <v>0</v>
      </c>
      <c r="H375" s="35" t="e">
        <f>IF(F375&gt;0,F375,MATCH(D375,Catalogo!$D$4:$D$1299,0))</f>
        <v>#N/A</v>
      </c>
      <c r="J375" s="35" t="e">
        <f>INDEX(Catalogo!$C$4:$C$1499,H375)</f>
        <v>#N/A</v>
      </c>
    </row>
    <row r="376" spans="4:10" x14ac:dyDescent="0.25">
      <c r="D376" s="78">
        <v>402810836</v>
      </c>
      <c r="F376" s="35">
        <f>IFERROR(MATCH(D376,Catalogo!$C$4:$C$1299,0),0)</f>
        <v>0</v>
      </c>
      <c r="H376" s="35" t="e">
        <f>IF(F376&gt;0,F376,MATCH(D376,Catalogo!$D$4:$D$1299,0))</f>
        <v>#N/A</v>
      </c>
      <c r="J376" s="35" t="e">
        <f>INDEX(Catalogo!$C$4:$C$1499,H376)</f>
        <v>#N/A</v>
      </c>
    </row>
    <row r="377" spans="4:10" x14ac:dyDescent="0.25">
      <c r="D377" s="78">
        <v>209240937</v>
      </c>
      <c r="F377" s="35">
        <f>IFERROR(MATCH(D377,Catalogo!$C$4:$C$1299,0),0)</f>
        <v>0</v>
      </c>
      <c r="H377" s="35" t="e">
        <f>IF(F377&gt;0,F377,MATCH(D377,Catalogo!$D$4:$D$1299,0))</f>
        <v>#N/A</v>
      </c>
      <c r="J377" s="35" t="e">
        <f>INDEX(Catalogo!$C$4:$C$1499,H377)</f>
        <v>#N/A</v>
      </c>
    </row>
    <row r="378" spans="4:10" x14ac:dyDescent="0.25">
      <c r="D378" s="78">
        <v>120640048</v>
      </c>
      <c r="F378" s="35">
        <f>IFERROR(MATCH(D378,Catalogo!$C$4:$C$1299,0),0)</f>
        <v>0</v>
      </c>
      <c r="H378" s="35" t="e">
        <f>IF(F378&gt;0,F378,MATCH(D378,Catalogo!$D$4:$D$1299,0))</f>
        <v>#N/A</v>
      </c>
      <c r="J378" s="35" t="e">
        <f>INDEX(Catalogo!$C$4:$C$1499,H378)</f>
        <v>#N/A</v>
      </c>
    </row>
    <row r="379" spans="4:10" x14ac:dyDescent="0.25">
      <c r="D379" s="78">
        <v>119940619</v>
      </c>
      <c r="F379" s="35">
        <f>IFERROR(MATCH(D379,Catalogo!$C$4:$C$1299,0),0)</f>
        <v>0</v>
      </c>
      <c r="H379" s="35" t="e">
        <f>IF(F379&gt;0,F379,MATCH(D379,Catalogo!$D$4:$D$1299,0))</f>
        <v>#N/A</v>
      </c>
      <c r="J379" s="35" t="e">
        <f>INDEX(Catalogo!$C$4:$C$1499,H379)</f>
        <v>#N/A</v>
      </c>
    </row>
    <row r="380" spans="4:10" x14ac:dyDescent="0.25">
      <c r="D380" s="78">
        <v>305880841</v>
      </c>
      <c r="F380" s="35">
        <f>IFERROR(MATCH(D380,Catalogo!$C$4:$C$1299,0),0)</f>
        <v>0</v>
      </c>
      <c r="H380" s="35" t="e">
        <f>IF(F380&gt;0,F380,MATCH(D380,Catalogo!$D$4:$D$1299,0))</f>
        <v>#N/A</v>
      </c>
      <c r="J380" s="35" t="e">
        <f>INDEX(Catalogo!$C$4:$C$1499,H380)</f>
        <v>#N/A</v>
      </c>
    </row>
    <row r="381" spans="4:10" x14ac:dyDescent="0.25">
      <c r="D381" s="78">
        <v>402830059</v>
      </c>
      <c r="F381" s="35">
        <f>IFERROR(MATCH(D381,Catalogo!$C$4:$C$1299,0),0)</f>
        <v>0</v>
      </c>
      <c r="H381" s="35" t="e">
        <f>IF(F381&gt;0,F381,MATCH(D381,Catalogo!$D$4:$D$1299,0))</f>
        <v>#N/A</v>
      </c>
      <c r="J381" s="35" t="e">
        <f>INDEX(Catalogo!$C$4:$C$1499,H381)</f>
        <v>#N/A</v>
      </c>
    </row>
    <row r="382" spans="4:10" x14ac:dyDescent="0.25">
      <c r="D382" s="78">
        <v>209190568</v>
      </c>
      <c r="F382" s="35">
        <f>IFERROR(MATCH(D382,Catalogo!$C$4:$C$1299,0),0)</f>
        <v>0</v>
      </c>
      <c r="H382" s="35" t="e">
        <f>IF(F382&gt;0,F382,MATCH(D382,Catalogo!$D$4:$D$1299,0))</f>
        <v>#N/A</v>
      </c>
      <c r="J382" s="35" t="e">
        <f>INDEX(Catalogo!$C$4:$C$1499,H382)</f>
        <v>#N/A</v>
      </c>
    </row>
    <row r="383" spans="4:10" x14ac:dyDescent="0.25">
      <c r="D383" s="78">
        <v>209150524</v>
      </c>
      <c r="F383" s="35">
        <f>IFERROR(MATCH(D383,Catalogo!$C$4:$C$1299,0),0)</f>
        <v>0</v>
      </c>
      <c r="H383" s="35" t="e">
        <f>IF(F383&gt;0,F383,MATCH(D383,Catalogo!$D$4:$D$1299,0))</f>
        <v>#N/A</v>
      </c>
      <c r="J383" s="35" t="e">
        <f>INDEX(Catalogo!$C$4:$C$1499,H383)</f>
        <v>#N/A</v>
      </c>
    </row>
    <row r="384" spans="4:10" x14ac:dyDescent="0.25">
      <c r="D384" s="78">
        <v>402820862</v>
      </c>
      <c r="F384" s="35">
        <f>IFERROR(MATCH(D384,Catalogo!$C$4:$C$1299,0),0)</f>
        <v>0</v>
      </c>
      <c r="H384" s="35" t="e">
        <f>IF(F384&gt;0,F384,MATCH(D384,Catalogo!$D$4:$D$1299,0))</f>
        <v>#N/A</v>
      </c>
      <c r="J384" s="35" t="e">
        <f>INDEX(Catalogo!$C$4:$C$1499,H384)</f>
        <v>#N/A</v>
      </c>
    </row>
    <row r="385" spans="4:10" x14ac:dyDescent="0.25">
      <c r="D385" s="78">
        <v>402830307</v>
      </c>
      <c r="F385" s="35">
        <f>IFERROR(MATCH(D385,Catalogo!$C$4:$C$1299,0),0)</f>
        <v>0</v>
      </c>
      <c r="H385" s="35" t="e">
        <f>IF(F385&gt;0,F385,MATCH(D385,Catalogo!$D$4:$D$1299,0))</f>
        <v>#N/A</v>
      </c>
      <c r="J385" s="35" t="e">
        <f>INDEX(Catalogo!$C$4:$C$1499,H385)</f>
        <v>#N/A</v>
      </c>
    </row>
    <row r="386" spans="4:10" x14ac:dyDescent="0.25">
      <c r="D386" s="78">
        <v>120660706</v>
      </c>
      <c r="F386" s="35">
        <f>IFERROR(MATCH(D386,Catalogo!$C$4:$C$1299,0),0)</f>
        <v>0</v>
      </c>
      <c r="H386" s="35" t="e">
        <f>IF(F386&gt;0,F386,MATCH(D386,Catalogo!$D$4:$D$1299,0))</f>
        <v>#N/A</v>
      </c>
      <c r="J386" s="35" t="e">
        <f>INDEX(Catalogo!$C$4:$C$1499,H386)</f>
        <v>#N/A</v>
      </c>
    </row>
    <row r="387" spans="4:10" x14ac:dyDescent="0.25">
      <c r="D387" s="78">
        <v>209160506</v>
      </c>
      <c r="F387" s="35">
        <f>IFERROR(MATCH(D387,Catalogo!$C$4:$C$1299,0),0)</f>
        <v>0</v>
      </c>
      <c r="H387" s="35" t="e">
        <f>IF(F387&gt;0,F387,MATCH(D387,Catalogo!$D$4:$D$1299,0))</f>
        <v>#N/A</v>
      </c>
      <c r="J387" s="35" t="e">
        <f>INDEX(Catalogo!$C$4:$C$1499,H387)</f>
        <v>#N/A</v>
      </c>
    </row>
    <row r="388" spans="4:10" x14ac:dyDescent="0.25">
      <c r="D388" s="78">
        <v>120590868</v>
      </c>
      <c r="F388" s="35">
        <f>IFERROR(MATCH(D388,Catalogo!$C$4:$C$1299,0),0)</f>
        <v>0</v>
      </c>
      <c r="H388" s="35" t="e">
        <f>IF(F388&gt;0,F388,MATCH(D388,Catalogo!$D$4:$D$1299,0))</f>
        <v>#N/A</v>
      </c>
      <c r="J388" s="35" t="e">
        <f>INDEX(Catalogo!$C$4:$C$1499,H388)</f>
        <v>#N/A</v>
      </c>
    </row>
    <row r="389" spans="4:10" x14ac:dyDescent="0.25">
      <c r="D389" s="78">
        <v>209160227</v>
      </c>
      <c r="F389" s="35">
        <f>IFERROR(MATCH(D389,Catalogo!$C$4:$C$1299,0),0)</f>
        <v>0</v>
      </c>
      <c r="H389" s="35" t="e">
        <f>IF(F389&gt;0,F389,MATCH(D389,Catalogo!$D$4:$D$1299,0))</f>
        <v>#N/A</v>
      </c>
      <c r="J389" s="35" t="e">
        <f>INDEX(Catalogo!$C$4:$C$1499,H389)</f>
        <v>#N/A</v>
      </c>
    </row>
    <row r="390" spans="4:10" x14ac:dyDescent="0.25">
      <c r="D390" s="78">
        <v>402840526</v>
      </c>
      <c r="F390" s="35">
        <f>IFERROR(MATCH(D390,Catalogo!$C$4:$C$1299,0),0)</f>
        <v>0</v>
      </c>
      <c r="H390" s="35" t="e">
        <f>IF(F390&gt;0,F390,MATCH(D390,Catalogo!$D$4:$D$1299,0))</f>
        <v>#N/A</v>
      </c>
      <c r="J390" s="35" t="e">
        <f>INDEX(Catalogo!$C$4:$C$1499,H390)</f>
        <v>#N/A</v>
      </c>
    </row>
    <row r="391" spans="4:10" x14ac:dyDescent="0.25">
      <c r="D391" s="78">
        <v>209180677</v>
      </c>
      <c r="F391" s="35">
        <f>IFERROR(MATCH(D391,Catalogo!$C$4:$C$1299,0),0)</f>
        <v>0</v>
      </c>
      <c r="H391" s="35" t="e">
        <f>IF(F391&gt;0,F391,MATCH(D391,Catalogo!$D$4:$D$1299,0))</f>
        <v>#N/A</v>
      </c>
      <c r="J391" s="35" t="e">
        <f>INDEX(Catalogo!$C$4:$C$1499,H391)</f>
        <v>#N/A</v>
      </c>
    </row>
    <row r="392" spans="4:10" x14ac:dyDescent="0.25">
      <c r="D392" s="78">
        <v>120500707</v>
      </c>
      <c r="F392" s="35">
        <f>IFERROR(MATCH(D392,Catalogo!$C$4:$C$1299,0),0)</f>
        <v>0</v>
      </c>
      <c r="H392" s="35" t="e">
        <f>IF(F392&gt;0,F392,MATCH(D392,Catalogo!$D$4:$D$1299,0))</f>
        <v>#N/A</v>
      </c>
      <c r="J392" s="35" t="e">
        <f>INDEX(Catalogo!$C$4:$C$1499,H392)</f>
        <v>#N/A</v>
      </c>
    </row>
    <row r="393" spans="4:10" x14ac:dyDescent="0.25">
      <c r="D393" s="78">
        <v>209020562</v>
      </c>
      <c r="F393" s="35">
        <f>IFERROR(MATCH(D393,Catalogo!$C$4:$C$1299,0),0)</f>
        <v>0</v>
      </c>
      <c r="H393" s="35" t="e">
        <f>IF(F393&gt;0,F393,MATCH(D393,Catalogo!$D$4:$D$1299,0))</f>
        <v>#N/A</v>
      </c>
      <c r="J393" s="35" t="e">
        <f>INDEX(Catalogo!$C$4:$C$1499,H393)</f>
        <v>#N/A</v>
      </c>
    </row>
    <row r="394" spans="4:10" x14ac:dyDescent="0.25">
      <c r="D394" s="78">
        <v>120490481</v>
      </c>
      <c r="F394" s="35">
        <f>IFERROR(MATCH(D394,Catalogo!$C$4:$C$1299,0),0)</f>
        <v>0</v>
      </c>
      <c r="H394" s="35" t="e">
        <f>IF(F394&gt;0,F394,MATCH(D394,Catalogo!$D$4:$D$1299,0))</f>
        <v>#N/A</v>
      </c>
      <c r="J394" s="35" t="e">
        <f>INDEX(Catalogo!$C$4:$C$1499,H394)</f>
        <v>#N/A</v>
      </c>
    </row>
    <row r="395" spans="4:10" x14ac:dyDescent="0.25">
      <c r="D395" s="78">
        <v>209250031</v>
      </c>
      <c r="F395" s="35">
        <f>IFERROR(MATCH(D395,Catalogo!$C$4:$C$1299,0),0)</f>
        <v>0</v>
      </c>
      <c r="H395" s="35" t="e">
        <f>IF(F395&gt;0,F395,MATCH(D395,Catalogo!$D$4:$D$1299,0))</f>
        <v>#N/A</v>
      </c>
      <c r="J395" s="35" t="e">
        <f>INDEX(Catalogo!$C$4:$C$1499,H395)</f>
        <v>#N/A</v>
      </c>
    </row>
    <row r="396" spans="4:10" x14ac:dyDescent="0.25">
      <c r="D396" s="78">
        <v>209200094</v>
      </c>
      <c r="F396" s="35">
        <f>IFERROR(MATCH(D396,Catalogo!$C$4:$C$1299,0),0)</f>
        <v>0</v>
      </c>
      <c r="H396" s="35" t="e">
        <f>IF(F396&gt;0,F396,MATCH(D396,Catalogo!$D$4:$D$1299,0))</f>
        <v>#N/A</v>
      </c>
      <c r="J396" s="35" t="e">
        <f>INDEX(Catalogo!$C$4:$C$1499,H396)</f>
        <v>#N/A</v>
      </c>
    </row>
    <row r="397" spans="4:10" x14ac:dyDescent="0.25">
      <c r="D397" s="78">
        <v>209140628</v>
      </c>
      <c r="F397" s="35">
        <f>IFERROR(MATCH(D397,Catalogo!$C$4:$C$1299,0),0)</f>
        <v>0</v>
      </c>
      <c r="H397" s="35" t="e">
        <f>IF(F397&gt;0,F397,MATCH(D397,Catalogo!$D$4:$D$1299,0))</f>
        <v>#N/A</v>
      </c>
      <c r="J397" s="35" t="e">
        <f>INDEX(Catalogo!$C$4:$C$1499,H397)</f>
        <v>#N/A</v>
      </c>
    </row>
    <row r="398" spans="4:10" x14ac:dyDescent="0.25">
      <c r="D398" s="78">
        <v>402840182</v>
      </c>
      <c r="F398" s="35">
        <f>IFERROR(MATCH(D398,Catalogo!$C$4:$C$1299,0),0)</f>
        <v>0</v>
      </c>
      <c r="H398" s="35" t="e">
        <f>IF(F398&gt;0,F398,MATCH(D398,Catalogo!$D$4:$D$1299,0))</f>
        <v>#N/A</v>
      </c>
      <c r="J398" s="35" t="e">
        <f>INDEX(Catalogo!$C$4:$C$1499,H398)</f>
        <v>#N/A</v>
      </c>
    </row>
    <row r="399" spans="4:10" x14ac:dyDescent="0.25">
      <c r="D399" s="78">
        <v>209200205</v>
      </c>
      <c r="F399" s="35">
        <f>IFERROR(MATCH(D399,Catalogo!$C$4:$C$1299,0),0)</f>
        <v>0</v>
      </c>
      <c r="H399" s="35" t="e">
        <f>IF(F399&gt;0,F399,MATCH(D399,Catalogo!$D$4:$D$1299,0))</f>
        <v>#N/A</v>
      </c>
      <c r="J399" s="35" t="e">
        <f>INDEX(Catalogo!$C$4:$C$1499,H399)</f>
        <v>#N/A</v>
      </c>
    </row>
    <row r="400" spans="4:10" x14ac:dyDescent="0.25">
      <c r="D400" s="78" t="s">
        <v>2326</v>
      </c>
      <c r="F400" s="35">
        <f>IFERROR(MATCH(D400,Catalogo!$C$4:$C$1299,0),0)</f>
        <v>0</v>
      </c>
      <c r="H400" s="35" t="e">
        <f>IF(F400&gt;0,F400,MATCH(D400,Catalogo!$D$4:$D$1299,0))</f>
        <v>#N/A</v>
      </c>
      <c r="J400" s="35" t="e">
        <f>INDEX(Catalogo!$C$4:$C$1499,H400)</f>
        <v>#N/A</v>
      </c>
    </row>
    <row r="401" spans="4:10" x14ac:dyDescent="0.25">
      <c r="D401" s="78">
        <v>209120360</v>
      </c>
      <c r="F401" s="35">
        <f>IFERROR(MATCH(D401,Catalogo!$C$4:$C$1299,0),0)</f>
        <v>0</v>
      </c>
      <c r="H401" s="35" t="e">
        <f>IF(F401&gt;0,F401,MATCH(D401,Catalogo!$D$4:$D$1299,0))</f>
        <v>#N/A</v>
      </c>
      <c r="J401" s="35" t="e">
        <f>INDEX(Catalogo!$C$4:$C$1499,H401)</f>
        <v>#N/A</v>
      </c>
    </row>
    <row r="402" spans="4:10" x14ac:dyDescent="0.25">
      <c r="D402" s="90" t="s">
        <v>623</v>
      </c>
      <c r="F402" s="35">
        <f>IFERROR(MATCH(D402,Catalogo!$C$4:$C$1299,0),0)</f>
        <v>0</v>
      </c>
      <c r="H402" s="35" t="e">
        <f>IF(F402&gt;0,F402,MATCH(D402,Catalogo!$D$4:$D$1299,0))</f>
        <v>#N/A</v>
      </c>
      <c r="J402" s="35" t="e">
        <f>INDEX(Catalogo!$C$4:$C$1499,H402)</f>
        <v>#N/A</v>
      </c>
    </row>
    <row r="403" spans="4:10" x14ac:dyDescent="0.25">
      <c r="D403" s="78">
        <v>120090091</v>
      </c>
      <c r="F403" s="35">
        <f>IFERROR(MATCH(D403,Catalogo!$C$4:$C$1299,0),0)</f>
        <v>0</v>
      </c>
      <c r="H403" s="35" t="e">
        <f>IF(F403&gt;0,F403,MATCH(D403,Catalogo!$D$4:$D$1299,0))</f>
        <v>#N/A</v>
      </c>
      <c r="J403" s="35" t="e">
        <f>INDEX(Catalogo!$C$4:$C$1499,H403)</f>
        <v>#N/A</v>
      </c>
    </row>
    <row r="404" spans="4:10" x14ac:dyDescent="0.25">
      <c r="D404" s="78">
        <v>120320498</v>
      </c>
      <c r="F404" s="35">
        <f>IFERROR(MATCH(D404,Catalogo!$C$4:$C$1299,0),0)</f>
        <v>0</v>
      </c>
      <c r="H404" s="35" t="e">
        <f>IF(F404&gt;0,F404,MATCH(D404,Catalogo!$D$4:$D$1299,0))</f>
        <v>#N/A</v>
      </c>
      <c r="J404" s="35" t="e">
        <f>INDEX(Catalogo!$C$4:$C$1499,H404)</f>
        <v>#N/A</v>
      </c>
    </row>
    <row r="405" spans="4:10" x14ac:dyDescent="0.25">
      <c r="D405" s="78">
        <v>402770617</v>
      </c>
      <c r="F405" s="35">
        <f>IFERROR(MATCH(D405,Catalogo!$C$4:$C$1299,0),0)</f>
        <v>0</v>
      </c>
      <c r="H405" s="35" t="e">
        <f>IF(F405&gt;0,F405,MATCH(D405,Catalogo!$D$4:$D$1299,0))</f>
        <v>#N/A</v>
      </c>
      <c r="J405" s="35" t="e">
        <f>INDEX(Catalogo!$C$4:$C$1499,H405)</f>
        <v>#N/A</v>
      </c>
    </row>
    <row r="406" spans="4:10" x14ac:dyDescent="0.25">
      <c r="D406" s="78">
        <v>402840382</v>
      </c>
      <c r="F406" s="35">
        <f>IFERROR(MATCH(D406,Catalogo!$C$4:$C$1299,0),0)</f>
        <v>0</v>
      </c>
      <c r="H406" s="35" t="e">
        <f>IF(F406&gt;0,F406,MATCH(D406,Catalogo!$D$4:$D$1299,0))</f>
        <v>#N/A</v>
      </c>
      <c r="J406" s="35" t="e">
        <f>INDEX(Catalogo!$C$4:$C$1499,H406)</f>
        <v>#N/A</v>
      </c>
    </row>
    <row r="407" spans="4:10" x14ac:dyDescent="0.25">
      <c r="D407" s="78">
        <v>209140556</v>
      </c>
      <c r="F407" s="35">
        <f>IFERROR(MATCH(D407,Catalogo!$C$4:$C$1299,0),0)</f>
        <v>0</v>
      </c>
      <c r="H407" s="35" t="e">
        <f>IF(F407&gt;0,F407,MATCH(D407,Catalogo!$D$4:$D$1299,0))</f>
        <v>#N/A</v>
      </c>
      <c r="J407" s="35" t="e">
        <f>INDEX(Catalogo!$C$4:$C$1499,H407)</f>
        <v>#N/A</v>
      </c>
    </row>
    <row r="408" spans="4:10" x14ac:dyDescent="0.25">
      <c r="D408" s="91" t="s">
        <v>640</v>
      </c>
      <c r="F408" s="35">
        <f>IFERROR(MATCH(D408,Catalogo!$C$4:$C$1299,0),0)</f>
        <v>0</v>
      </c>
      <c r="H408" s="35" t="e">
        <f>IF(F408&gt;0,F408,MATCH(D408,Catalogo!$D$4:$D$1299,0))</f>
        <v>#N/A</v>
      </c>
      <c r="J408" s="35" t="e">
        <f>INDEX(Catalogo!$C$4:$C$1499,H408)</f>
        <v>#N/A</v>
      </c>
    </row>
    <row r="409" spans="4:10" x14ac:dyDescent="0.25">
      <c r="D409" s="78">
        <v>209110882</v>
      </c>
      <c r="F409" s="35">
        <f>IFERROR(MATCH(D409,Catalogo!$C$4:$C$1299,0),0)</f>
        <v>0</v>
      </c>
      <c r="H409" s="35" t="e">
        <f>IF(F409&gt;0,F409,MATCH(D409,Catalogo!$D$4:$D$1299,0))</f>
        <v>#N/A</v>
      </c>
      <c r="J409" s="35" t="e">
        <f>INDEX(Catalogo!$C$4:$C$1499,H409)</f>
        <v>#N/A</v>
      </c>
    </row>
    <row r="410" spans="4:10" x14ac:dyDescent="0.25">
      <c r="D410" s="78">
        <v>209110883</v>
      </c>
      <c r="F410" s="35">
        <f>IFERROR(MATCH(D410,Catalogo!$C$4:$C$1299,0),0)</f>
        <v>0</v>
      </c>
      <c r="H410" s="35" t="e">
        <f>IF(F410&gt;0,F410,MATCH(D410,Catalogo!$D$4:$D$1299,0))</f>
        <v>#N/A</v>
      </c>
      <c r="J410" s="35" t="e">
        <f>INDEX(Catalogo!$C$4:$C$1499,H410)</f>
        <v>#N/A</v>
      </c>
    </row>
    <row r="411" spans="4:10" x14ac:dyDescent="0.25">
      <c r="D411" s="78">
        <v>209220353</v>
      </c>
      <c r="F411" s="35">
        <f>IFERROR(MATCH(D411,Catalogo!$C$4:$C$1299,0),0)</f>
        <v>0</v>
      </c>
      <c r="H411" s="35" t="e">
        <f>IF(F411&gt;0,F411,MATCH(D411,Catalogo!$D$4:$D$1299,0))</f>
        <v>#N/A</v>
      </c>
      <c r="J411" s="35" t="e">
        <f>INDEX(Catalogo!$C$4:$C$1499,H411)</f>
        <v>#N/A</v>
      </c>
    </row>
    <row r="412" spans="4:10" x14ac:dyDescent="0.25">
      <c r="D412" s="78">
        <v>209200440</v>
      </c>
      <c r="F412" s="35">
        <f>IFERROR(MATCH(D412,Catalogo!$C$4:$C$1299,0),0)</f>
        <v>0</v>
      </c>
      <c r="H412" s="35" t="e">
        <f>IF(F412&gt;0,F412,MATCH(D412,Catalogo!$D$4:$D$1299,0))</f>
        <v>#N/A</v>
      </c>
      <c r="J412" s="35" t="e">
        <f>INDEX(Catalogo!$C$4:$C$1499,H412)</f>
        <v>#N/A</v>
      </c>
    </row>
    <row r="413" spans="4:10" x14ac:dyDescent="0.25">
      <c r="D413" s="75">
        <v>402850401</v>
      </c>
      <c r="F413" s="35">
        <f>IFERROR(MATCH(D413,Catalogo!$C$4:$C$1299,0),0)</f>
        <v>0</v>
      </c>
      <c r="H413" s="35" t="e">
        <f>IF(F413&gt;0,F413,MATCH(D413,Catalogo!$D$4:$D$1299,0))</f>
        <v>#N/A</v>
      </c>
      <c r="J413" s="35" t="e">
        <f>INDEX(Catalogo!$C$4:$C$1499,H413)</f>
        <v>#N/A</v>
      </c>
    </row>
    <row r="414" spans="4:10" x14ac:dyDescent="0.25">
      <c r="D414" s="75">
        <v>209210829</v>
      </c>
      <c r="F414" s="35">
        <f>IFERROR(MATCH(D414,Catalogo!$C$4:$C$1299,0),0)</f>
        <v>0</v>
      </c>
      <c r="H414" s="35" t="e">
        <f>IF(F414&gt;0,F414,MATCH(D414,Catalogo!$D$4:$D$1299,0))</f>
        <v>#N/A</v>
      </c>
      <c r="J414" s="35" t="e">
        <f>INDEX(Catalogo!$C$4:$C$1499,H414)</f>
        <v>#N/A</v>
      </c>
    </row>
    <row r="415" spans="4:10" x14ac:dyDescent="0.25">
      <c r="D415" s="78">
        <v>402830332</v>
      </c>
      <c r="F415" s="35">
        <f>IFERROR(MATCH(D415,Catalogo!$C$4:$C$1299,0),0)</f>
        <v>0</v>
      </c>
      <c r="H415" s="35" t="e">
        <f>IF(F415&gt;0,F415,MATCH(D415,Catalogo!$D$4:$D$1299,0))</f>
        <v>#N/A</v>
      </c>
      <c r="J415" s="35" t="e">
        <f>INDEX(Catalogo!$C$4:$C$1499,H415)</f>
        <v>#N/A</v>
      </c>
    </row>
    <row r="416" spans="4:10" x14ac:dyDescent="0.25">
      <c r="D416" s="78">
        <v>209050837</v>
      </c>
      <c r="F416" s="35">
        <f>IFERROR(MATCH(D416,Catalogo!$C$4:$C$1299,0),0)</f>
        <v>0</v>
      </c>
      <c r="H416" s="35" t="e">
        <f>IF(F416&gt;0,F416,MATCH(D416,Catalogo!$D$4:$D$1299,0))</f>
        <v>#N/A</v>
      </c>
      <c r="J416" s="35" t="e">
        <f>INDEX(Catalogo!$C$4:$C$1499,H416)</f>
        <v>#N/A</v>
      </c>
    </row>
    <row r="417" spans="4:10" x14ac:dyDescent="0.25">
      <c r="D417" s="78">
        <v>209150388</v>
      </c>
      <c r="F417" s="35">
        <f>IFERROR(MATCH(D417,Catalogo!$C$4:$C$1299,0),0)</f>
        <v>0</v>
      </c>
      <c r="H417" s="35" t="e">
        <f>IF(F417&gt;0,F417,MATCH(D417,Catalogo!$D$4:$D$1299,0))</f>
        <v>#N/A</v>
      </c>
      <c r="J417" s="35" t="e">
        <f>INDEX(Catalogo!$C$4:$C$1499,H417)</f>
        <v>#N/A</v>
      </c>
    </row>
    <row r="418" spans="4:10" x14ac:dyDescent="0.25">
      <c r="D418" s="78">
        <v>209210193</v>
      </c>
      <c r="F418" s="35">
        <f>IFERROR(MATCH(D418,Catalogo!$C$4:$C$1299,0),0)</f>
        <v>0</v>
      </c>
      <c r="H418" s="35" t="e">
        <f>IF(F418&gt;0,F418,MATCH(D418,Catalogo!$D$4:$D$1299,0))</f>
        <v>#N/A</v>
      </c>
      <c r="J418" s="35" t="e">
        <f>INDEX(Catalogo!$C$4:$C$1499,H418)</f>
        <v>#N/A</v>
      </c>
    </row>
    <row r="419" spans="4:10" x14ac:dyDescent="0.25">
      <c r="D419" s="78">
        <v>402810155</v>
      </c>
      <c r="F419" s="35">
        <f>IFERROR(MATCH(D419,Catalogo!$C$4:$C$1299,0),0)</f>
        <v>0</v>
      </c>
      <c r="H419" s="35" t="e">
        <f>IF(F419&gt;0,F419,MATCH(D419,Catalogo!$D$4:$D$1299,0))</f>
        <v>#N/A</v>
      </c>
      <c r="J419" s="35" t="e">
        <f>INDEX(Catalogo!$C$4:$C$1499,H419)</f>
        <v>#N/A</v>
      </c>
    </row>
    <row r="420" spans="4:10" x14ac:dyDescent="0.25">
      <c r="D420" s="78">
        <v>209040815</v>
      </c>
      <c r="F420" s="35">
        <f>IFERROR(MATCH(D420,Catalogo!$C$4:$C$1299,0),0)</f>
        <v>0</v>
      </c>
      <c r="H420" s="35" t="e">
        <f>IF(F420&gt;0,F420,MATCH(D420,Catalogo!$D$4:$D$1299,0))</f>
        <v>#N/A</v>
      </c>
      <c r="J420" s="35" t="e">
        <f>INDEX(Catalogo!$C$4:$C$1499,H420)</f>
        <v>#N/A</v>
      </c>
    </row>
    <row r="421" spans="4:10" x14ac:dyDescent="0.25">
      <c r="D421" s="78">
        <v>209210489</v>
      </c>
      <c r="F421" s="35">
        <f>IFERROR(MATCH(D421,Catalogo!$C$4:$C$1299,0),0)</f>
        <v>0</v>
      </c>
      <c r="H421" s="35" t="e">
        <f>IF(F421&gt;0,F421,MATCH(D421,Catalogo!$D$4:$D$1299,0))</f>
        <v>#N/A</v>
      </c>
      <c r="J421" s="35" t="e">
        <f>INDEX(Catalogo!$C$4:$C$1499,H421)</f>
        <v>#N/A</v>
      </c>
    </row>
    <row r="422" spans="4:10" x14ac:dyDescent="0.25">
      <c r="D422" s="78">
        <v>209160311</v>
      </c>
      <c r="F422" s="35">
        <f>IFERROR(MATCH(D422,Catalogo!$C$4:$C$1299,0),0)</f>
        <v>0</v>
      </c>
      <c r="H422" s="35" t="e">
        <f>IF(F422&gt;0,F422,MATCH(D422,Catalogo!$D$4:$D$1299,0))</f>
        <v>#N/A</v>
      </c>
      <c r="J422" s="35" t="e">
        <f>INDEX(Catalogo!$C$4:$C$1499,H422)</f>
        <v>#N/A</v>
      </c>
    </row>
    <row r="423" spans="4:10" x14ac:dyDescent="0.25">
      <c r="D423" s="78">
        <v>209190711</v>
      </c>
      <c r="F423" s="35">
        <f>IFERROR(MATCH(D423,Catalogo!$C$4:$C$1299,0),0)</f>
        <v>7</v>
      </c>
      <c r="H423" s="35">
        <f>IF(F423&gt;0,F423,MATCH(D423,Catalogo!$D$4:$D$1299,0))</f>
        <v>7</v>
      </c>
      <c r="J423" s="35">
        <f>INDEX(Catalogo!$C$4:$C$1499,H423)</f>
        <v>209190711</v>
      </c>
    </row>
    <row r="424" spans="4:10" x14ac:dyDescent="0.25">
      <c r="D424" s="78">
        <v>402830284</v>
      </c>
      <c r="F424" s="35">
        <f>IFERROR(MATCH(D424,Catalogo!$C$4:$C$1299,0),0)</f>
        <v>0</v>
      </c>
      <c r="H424" s="35" t="e">
        <f>IF(F424&gt;0,F424,MATCH(D424,Catalogo!$D$4:$D$1299,0))</f>
        <v>#N/A</v>
      </c>
      <c r="J424" s="35" t="e">
        <f>INDEX(Catalogo!$C$4:$C$1499,H424)</f>
        <v>#N/A</v>
      </c>
    </row>
    <row r="425" spans="4:10" x14ac:dyDescent="0.25">
      <c r="D425" s="78">
        <v>209160281</v>
      </c>
      <c r="F425" s="35">
        <f>IFERROR(MATCH(D425,Catalogo!$C$4:$C$1299,0),0)</f>
        <v>0</v>
      </c>
      <c r="H425" s="35" t="e">
        <f>IF(F425&gt;0,F425,MATCH(D425,Catalogo!$D$4:$D$1299,0))</f>
        <v>#N/A</v>
      </c>
      <c r="J425" s="35" t="e">
        <f>INDEX(Catalogo!$C$4:$C$1499,H425)</f>
        <v>#N/A</v>
      </c>
    </row>
    <row r="426" spans="4:10" x14ac:dyDescent="0.25">
      <c r="D426" s="78">
        <v>209110939</v>
      </c>
      <c r="F426" s="35">
        <f>IFERROR(MATCH(D426,Catalogo!$C$4:$C$1299,0),0)</f>
        <v>0</v>
      </c>
      <c r="H426" s="35" t="e">
        <f>IF(F426&gt;0,F426,MATCH(D426,Catalogo!$D$4:$D$1299,0))</f>
        <v>#N/A</v>
      </c>
      <c r="J426" s="35" t="e">
        <f>INDEX(Catalogo!$C$4:$C$1499,H426)</f>
        <v>#N/A</v>
      </c>
    </row>
    <row r="427" spans="4:10" x14ac:dyDescent="0.25">
      <c r="D427" s="78">
        <v>209240045</v>
      </c>
      <c r="F427" s="35">
        <f>IFERROR(MATCH(D427,Catalogo!$C$4:$C$1299,0),0)</f>
        <v>0</v>
      </c>
      <c r="H427" s="35" t="e">
        <f>IF(F427&gt;0,F427,MATCH(D427,Catalogo!$D$4:$D$1299,0))</f>
        <v>#N/A</v>
      </c>
      <c r="J427" s="35" t="e">
        <f>INDEX(Catalogo!$C$4:$C$1499,H427)</f>
        <v>#N/A</v>
      </c>
    </row>
    <row r="428" spans="4:10" x14ac:dyDescent="0.25">
      <c r="D428" s="78">
        <v>209230020</v>
      </c>
      <c r="F428" s="35">
        <f>IFERROR(MATCH(D428,Catalogo!$C$4:$C$1299,0),0)</f>
        <v>0</v>
      </c>
      <c r="H428" s="35" t="e">
        <f>IF(F428&gt;0,F428,MATCH(D428,Catalogo!$D$4:$D$1299,0))</f>
        <v>#N/A</v>
      </c>
      <c r="J428" s="35" t="e">
        <f>INDEX(Catalogo!$C$4:$C$1499,H428)</f>
        <v>#N/A</v>
      </c>
    </row>
    <row r="429" spans="4:10" x14ac:dyDescent="0.25">
      <c r="D429" s="78">
        <v>402780847</v>
      </c>
      <c r="F429" s="35">
        <f>IFERROR(MATCH(D429,Catalogo!$C$4:$C$1299,0),0)</f>
        <v>0</v>
      </c>
      <c r="H429" s="35" t="e">
        <f>IF(F429&gt;0,F429,MATCH(D429,Catalogo!$D$4:$D$1299,0))</f>
        <v>#N/A</v>
      </c>
      <c r="J429" s="35" t="e">
        <f>INDEX(Catalogo!$C$4:$C$1499,H429)</f>
        <v>#N/A</v>
      </c>
    </row>
    <row r="430" spans="4:10" x14ac:dyDescent="0.25">
      <c r="D430" s="78">
        <v>209160373</v>
      </c>
      <c r="F430" s="35">
        <f>IFERROR(MATCH(D430,Catalogo!$C$4:$C$1299,0),0)</f>
        <v>0</v>
      </c>
      <c r="H430" s="35" t="e">
        <f>IF(F430&gt;0,F430,MATCH(D430,Catalogo!$D$4:$D$1299,0))</f>
        <v>#N/A</v>
      </c>
      <c r="J430" s="35" t="e">
        <f>INDEX(Catalogo!$C$4:$C$1499,H430)</f>
        <v>#N/A</v>
      </c>
    </row>
    <row r="431" spans="4:10" x14ac:dyDescent="0.25">
      <c r="D431" s="78">
        <v>402830812</v>
      </c>
      <c r="F431" s="35">
        <f>IFERROR(MATCH(D431,Catalogo!$C$4:$C$1299,0),0)</f>
        <v>0</v>
      </c>
      <c r="H431" s="35" t="e">
        <f>IF(F431&gt;0,F431,MATCH(D431,Catalogo!$D$4:$D$1299,0))</f>
        <v>#N/A</v>
      </c>
      <c r="J431" s="35" t="e">
        <f>INDEX(Catalogo!$C$4:$C$1499,H431)</f>
        <v>#N/A</v>
      </c>
    </row>
    <row r="432" spans="4:10" x14ac:dyDescent="0.25">
      <c r="D432" s="78">
        <v>209110978</v>
      </c>
      <c r="F432" s="35">
        <f>IFERROR(MATCH(D432,Catalogo!$C$4:$C$1299,0),0)</f>
        <v>0</v>
      </c>
      <c r="H432" s="35" t="e">
        <f>IF(F432&gt;0,F432,MATCH(D432,Catalogo!$D$4:$D$1299,0))</f>
        <v>#N/A</v>
      </c>
      <c r="J432" s="35" t="e">
        <f>INDEX(Catalogo!$C$4:$C$1499,H432)</f>
        <v>#N/A</v>
      </c>
    </row>
    <row r="433" spans="4:10" x14ac:dyDescent="0.25">
      <c r="D433" s="78">
        <v>209230904</v>
      </c>
      <c r="F433" s="35">
        <f>IFERROR(MATCH(D433,Catalogo!$C$4:$C$1299,0),0)</f>
        <v>0</v>
      </c>
      <c r="H433" s="35" t="e">
        <f>IF(F433&gt;0,F433,MATCH(D433,Catalogo!$D$4:$D$1299,0))</f>
        <v>#N/A</v>
      </c>
      <c r="J433" s="35" t="e">
        <f>INDEX(Catalogo!$C$4:$C$1499,H433)</f>
        <v>#N/A</v>
      </c>
    </row>
    <row r="434" spans="4:10" x14ac:dyDescent="0.25">
      <c r="D434" s="78">
        <v>209140422</v>
      </c>
      <c r="F434" s="35">
        <f>IFERROR(MATCH(D434,Catalogo!$C$4:$C$1299,0),0)</f>
        <v>0</v>
      </c>
      <c r="H434" s="35" t="e">
        <f>IF(F434&gt;0,F434,MATCH(D434,Catalogo!$D$4:$D$1299,0))</f>
        <v>#N/A</v>
      </c>
      <c r="J434" s="35" t="e">
        <f>INDEX(Catalogo!$C$4:$C$1499,H434)</f>
        <v>#N/A</v>
      </c>
    </row>
    <row r="435" spans="4:10" x14ac:dyDescent="0.25">
      <c r="D435" s="82">
        <v>209180085</v>
      </c>
      <c r="F435" s="35">
        <f>IFERROR(MATCH(D435,Catalogo!$C$4:$C$1299,0),0)</f>
        <v>0</v>
      </c>
      <c r="H435" s="35" t="e">
        <f>IF(F435&gt;0,F435,MATCH(D435,Catalogo!$D$4:$D$1299,0))</f>
        <v>#N/A</v>
      </c>
      <c r="J435" s="35" t="e">
        <f>INDEX(Catalogo!$C$4:$C$1499,H435)</f>
        <v>#N/A</v>
      </c>
    </row>
    <row r="436" spans="4:10" x14ac:dyDescent="0.25">
      <c r="D436" s="75">
        <v>208910223</v>
      </c>
      <c r="F436" s="35">
        <f>IFERROR(MATCH(D436,Catalogo!$C$4:$C$1299,0),0)</f>
        <v>8</v>
      </c>
      <c r="H436" s="35">
        <f>IF(F436&gt;0,F436,MATCH(D436,Catalogo!$D$4:$D$1299,0))</f>
        <v>8</v>
      </c>
      <c r="J436" s="35">
        <f>INDEX(Catalogo!$C$4:$C$1499,H436)</f>
        <v>208910223</v>
      </c>
    </row>
    <row r="437" spans="4:10" x14ac:dyDescent="0.25">
      <c r="D437" s="82">
        <v>209200536</v>
      </c>
      <c r="F437" s="35">
        <f>IFERROR(MATCH(D437,Catalogo!$C$4:$C$1299,0),0)</f>
        <v>0</v>
      </c>
      <c r="H437" s="35" t="e">
        <f>IF(F437&gt;0,F437,MATCH(D437,Catalogo!$D$4:$D$1299,0))</f>
        <v>#N/A</v>
      </c>
      <c r="J437" s="35" t="e">
        <f>INDEX(Catalogo!$C$4:$C$1499,H437)</f>
        <v>#N/A</v>
      </c>
    </row>
    <row r="438" spans="4:10" x14ac:dyDescent="0.25">
      <c r="D438" s="82">
        <v>120450591</v>
      </c>
      <c r="F438" s="35">
        <f>IFERROR(MATCH(D438,Catalogo!$C$4:$C$1299,0),0)</f>
        <v>0</v>
      </c>
      <c r="H438" s="35" t="e">
        <f>IF(F438&gt;0,F438,MATCH(D438,Catalogo!$D$4:$D$1299,0))</f>
        <v>#N/A</v>
      </c>
      <c r="J438" s="35" t="e">
        <f>INDEX(Catalogo!$C$4:$C$1499,H438)</f>
        <v>#N/A</v>
      </c>
    </row>
    <row r="439" spans="4:10" x14ac:dyDescent="0.25">
      <c r="D439" s="82">
        <v>605210279</v>
      </c>
      <c r="F439" s="35">
        <f>IFERROR(MATCH(D439,Catalogo!$C$4:$C$1299,0),0)</f>
        <v>0</v>
      </c>
      <c r="H439" s="35" t="e">
        <f>IF(F439&gt;0,F439,MATCH(D439,Catalogo!$D$4:$D$1299,0))</f>
        <v>#N/A</v>
      </c>
      <c r="J439" s="35" t="e">
        <f>INDEX(Catalogo!$C$4:$C$1499,H439)</f>
        <v>#N/A</v>
      </c>
    </row>
    <row r="440" spans="4:10" x14ac:dyDescent="0.25">
      <c r="D440" s="78">
        <v>209040984</v>
      </c>
      <c r="F440" s="35">
        <f>IFERROR(MATCH(D440,Catalogo!$C$4:$C$1299,0),0)</f>
        <v>0</v>
      </c>
      <c r="H440" s="35" t="e">
        <f>IF(F440&gt;0,F440,MATCH(D440,Catalogo!$D$4:$D$1299,0))</f>
        <v>#N/A</v>
      </c>
      <c r="J440" s="35" t="e">
        <f>INDEX(Catalogo!$C$4:$C$1499,H440)</f>
        <v>#N/A</v>
      </c>
    </row>
    <row r="441" spans="4:10" x14ac:dyDescent="0.25">
      <c r="D441" s="78">
        <v>402800098</v>
      </c>
      <c r="F441" s="35">
        <f>IFERROR(MATCH(D441,Catalogo!$C$4:$C$1299,0),0)</f>
        <v>0</v>
      </c>
      <c r="H441" s="35" t="e">
        <f>IF(F441&gt;0,F441,MATCH(D441,Catalogo!$D$4:$D$1299,0))</f>
        <v>#N/A</v>
      </c>
      <c r="J441" s="35" t="e">
        <f>INDEX(Catalogo!$C$4:$C$1499,H441)</f>
        <v>#N/A</v>
      </c>
    </row>
    <row r="442" spans="4:10" x14ac:dyDescent="0.25">
      <c r="D442" s="78">
        <v>209090205</v>
      </c>
      <c r="F442" s="35">
        <f>IFERROR(MATCH(D442,Catalogo!$C$4:$C$1299,0),0)</f>
        <v>0</v>
      </c>
      <c r="H442" s="35" t="e">
        <f>IF(F442&gt;0,F442,MATCH(D442,Catalogo!$D$4:$D$1299,0))</f>
        <v>#N/A</v>
      </c>
      <c r="J442" s="35" t="e">
        <f>INDEX(Catalogo!$C$4:$C$1499,H442)</f>
        <v>#N/A</v>
      </c>
    </row>
    <row r="443" spans="4:10" x14ac:dyDescent="0.25">
      <c r="D443" s="78">
        <v>402780628</v>
      </c>
      <c r="F443" s="35">
        <f>IFERROR(MATCH(D443,Catalogo!$C$4:$C$1299,0),0)</f>
        <v>0</v>
      </c>
      <c r="H443" s="35" t="e">
        <f>IF(F443&gt;0,F443,MATCH(D443,Catalogo!$D$4:$D$1299,0))</f>
        <v>#N/A</v>
      </c>
      <c r="J443" s="35" t="e">
        <f>INDEX(Catalogo!$C$4:$C$1499,H443)</f>
        <v>#N/A</v>
      </c>
    </row>
    <row r="444" spans="4:10" x14ac:dyDescent="0.25">
      <c r="D444" s="78">
        <v>209110690</v>
      </c>
      <c r="F444" s="35">
        <f>IFERROR(MATCH(D444,Catalogo!$C$4:$C$1299,0),0)</f>
        <v>0</v>
      </c>
      <c r="H444" s="35" t="e">
        <f>IF(F444&gt;0,F444,MATCH(D444,Catalogo!$D$4:$D$1299,0))</f>
        <v>#N/A</v>
      </c>
      <c r="J444" s="35" t="e">
        <f>INDEX(Catalogo!$C$4:$C$1499,H444)</f>
        <v>#N/A</v>
      </c>
    </row>
    <row r="445" spans="4:10" x14ac:dyDescent="0.25">
      <c r="D445" s="78">
        <v>209000812</v>
      </c>
      <c r="F445" s="35">
        <f>IFERROR(MATCH(D445,Catalogo!$C$4:$C$1299,0),0)</f>
        <v>0</v>
      </c>
      <c r="H445" s="35" t="e">
        <f>IF(F445&gt;0,F445,MATCH(D445,Catalogo!$D$4:$D$1299,0))</f>
        <v>#N/A</v>
      </c>
      <c r="J445" s="35" t="e">
        <f>INDEX(Catalogo!$C$4:$C$1499,H445)</f>
        <v>#N/A</v>
      </c>
    </row>
    <row r="446" spans="4:10" x14ac:dyDescent="0.25">
      <c r="D446" s="78">
        <v>208970959</v>
      </c>
      <c r="F446" s="35">
        <f>IFERROR(MATCH(D446,Catalogo!$C$4:$C$1299,0),0)</f>
        <v>0</v>
      </c>
      <c r="H446" s="35" t="e">
        <f>IF(F446&gt;0,F446,MATCH(D446,Catalogo!$D$4:$D$1299,0))</f>
        <v>#N/A</v>
      </c>
      <c r="J446" s="35" t="e">
        <f>INDEX(Catalogo!$C$4:$C$1499,H446)</f>
        <v>#N/A</v>
      </c>
    </row>
    <row r="447" spans="4:10" x14ac:dyDescent="0.25">
      <c r="D447" s="90" t="s">
        <v>713</v>
      </c>
      <c r="F447" s="35">
        <f>IFERROR(MATCH(D447,Catalogo!$C$4:$C$1299,0),0)</f>
        <v>0</v>
      </c>
      <c r="H447" s="35" t="e">
        <f>IF(F447&gt;0,F447,MATCH(D447,Catalogo!$D$4:$D$1299,0))</f>
        <v>#N/A</v>
      </c>
      <c r="J447" s="35" t="e">
        <f>INDEX(Catalogo!$C$4:$C$1499,H447)</f>
        <v>#N/A</v>
      </c>
    </row>
    <row r="448" spans="4:10" x14ac:dyDescent="0.25">
      <c r="D448" s="78">
        <v>209020548</v>
      </c>
      <c r="F448" s="35">
        <f>IFERROR(MATCH(D448,Catalogo!$C$4:$C$1299,0),0)</f>
        <v>0</v>
      </c>
      <c r="H448" s="35" t="e">
        <f>IF(F448&gt;0,F448,MATCH(D448,Catalogo!$D$4:$D$1299,0))</f>
        <v>#N/A</v>
      </c>
      <c r="J448" s="35" t="e">
        <f>INDEX(Catalogo!$C$4:$C$1499,H448)</f>
        <v>#N/A</v>
      </c>
    </row>
    <row r="449" spans="4:10" x14ac:dyDescent="0.25">
      <c r="D449" s="78">
        <v>209020535</v>
      </c>
      <c r="F449" s="35">
        <f>IFERROR(MATCH(D449,Catalogo!$C$4:$C$1299,0),0)</f>
        <v>0</v>
      </c>
      <c r="H449" s="35" t="e">
        <f>IF(F449&gt;0,F449,MATCH(D449,Catalogo!$D$4:$D$1299,0))</f>
        <v>#N/A</v>
      </c>
      <c r="J449" s="35" t="e">
        <f>INDEX(Catalogo!$C$4:$C$1499,H449)</f>
        <v>#N/A</v>
      </c>
    </row>
    <row r="450" spans="4:10" x14ac:dyDescent="0.25">
      <c r="D450" s="78">
        <v>208730886</v>
      </c>
      <c r="F450" s="35">
        <f>IFERROR(MATCH(D450,Catalogo!$C$4:$C$1299,0),0)</f>
        <v>0</v>
      </c>
      <c r="H450" s="35" t="e">
        <f>IF(F450&gt;0,F450,MATCH(D450,Catalogo!$D$4:$D$1299,0))</f>
        <v>#N/A</v>
      </c>
      <c r="J450" s="35" t="e">
        <f>INDEX(Catalogo!$C$4:$C$1499,H450)</f>
        <v>#N/A</v>
      </c>
    </row>
    <row r="451" spans="4:10" x14ac:dyDescent="0.25">
      <c r="D451" s="78">
        <v>605120683</v>
      </c>
      <c r="F451" s="35">
        <f>IFERROR(MATCH(D451,Catalogo!$C$4:$C$1299,0),0)</f>
        <v>0</v>
      </c>
      <c r="H451" s="35" t="e">
        <f>IF(F451&gt;0,F451,MATCH(D451,Catalogo!$D$4:$D$1299,0))</f>
        <v>#N/A</v>
      </c>
      <c r="J451" s="35" t="e">
        <f>INDEX(Catalogo!$C$4:$C$1499,H451)</f>
        <v>#N/A</v>
      </c>
    </row>
    <row r="452" spans="4:10" x14ac:dyDescent="0.25">
      <c r="D452" s="78">
        <v>209090101</v>
      </c>
      <c r="F452" s="35">
        <f>IFERROR(MATCH(D452,Catalogo!$C$4:$C$1299,0),0)</f>
        <v>0</v>
      </c>
      <c r="H452" s="35" t="e">
        <f>IF(F452&gt;0,F452,MATCH(D452,Catalogo!$D$4:$D$1299,0))</f>
        <v>#N/A</v>
      </c>
      <c r="J452" s="35" t="e">
        <f>INDEX(Catalogo!$C$4:$C$1499,H452)</f>
        <v>#N/A</v>
      </c>
    </row>
    <row r="453" spans="4:10" x14ac:dyDescent="0.25">
      <c r="D453" s="78">
        <v>208970563</v>
      </c>
      <c r="F453" s="35">
        <f>IFERROR(MATCH(D453,Catalogo!$C$4:$C$1299,0),0)</f>
        <v>0</v>
      </c>
      <c r="H453" s="35" t="e">
        <f>IF(F453&gt;0,F453,MATCH(D453,Catalogo!$D$4:$D$1299,0))</f>
        <v>#N/A</v>
      </c>
      <c r="J453" s="35" t="e">
        <f>INDEX(Catalogo!$C$4:$C$1499,H453)</f>
        <v>#N/A</v>
      </c>
    </row>
    <row r="454" spans="4:10" x14ac:dyDescent="0.25">
      <c r="D454" s="82">
        <v>209080019</v>
      </c>
      <c r="F454" s="35">
        <f>IFERROR(MATCH(D454,Catalogo!$C$4:$C$1299,0),0)</f>
        <v>0</v>
      </c>
      <c r="H454" s="35" t="e">
        <f>IF(F454&gt;0,F454,MATCH(D454,Catalogo!$D$4:$D$1299,0))</f>
        <v>#N/A</v>
      </c>
      <c r="J454" s="35" t="e">
        <f>INDEX(Catalogo!$C$4:$C$1499,H454)</f>
        <v>#N/A</v>
      </c>
    </row>
    <row r="455" spans="4:10" x14ac:dyDescent="0.25">
      <c r="D455" s="78">
        <v>120170699</v>
      </c>
      <c r="F455" s="35">
        <f>IFERROR(MATCH(D455,Catalogo!$C$4:$C$1299,0),0)</f>
        <v>0</v>
      </c>
      <c r="H455" s="35" t="e">
        <f>IF(F455&gt;0,F455,MATCH(D455,Catalogo!$D$4:$D$1299,0))</f>
        <v>#N/A</v>
      </c>
      <c r="J455" s="35" t="e">
        <f>INDEX(Catalogo!$C$4:$C$1499,H455)</f>
        <v>#N/A</v>
      </c>
    </row>
    <row r="456" spans="4:10" x14ac:dyDescent="0.25">
      <c r="D456" s="78">
        <v>208980672</v>
      </c>
      <c r="F456" s="35">
        <f>IFERROR(MATCH(D456,Catalogo!$C$4:$C$1299,0),0)</f>
        <v>0</v>
      </c>
      <c r="H456" s="35" t="e">
        <f>IF(F456&gt;0,F456,MATCH(D456,Catalogo!$D$4:$D$1299,0))</f>
        <v>#N/A</v>
      </c>
      <c r="J456" s="35" t="e">
        <f>INDEX(Catalogo!$C$4:$C$1499,H456)</f>
        <v>#N/A</v>
      </c>
    </row>
    <row r="457" spans="4:10" x14ac:dyDescent="0.25">
      <c r="D457" s="78">
        <v>402780941</v>
      </c>
      <c r="F457" s="35">
        <f>IFERROR(MATCH(D457,Catalogo!$C$4:$C$1299,0),0)</f>
        <v>0</v>
      </c>
      <c r="H457" s="35" t="e">
        <f>IF(F457&gt;0,F457,MATCH(D457,Catalogo!$D$4:$D$1299,0))</f>
        <v>#N/A</v>
      </c>
      <c r="J457" s="35" t="e">
        <f>INDEX(Catalogo!$C$4:$C$1499,H457)</f>
        <v>#N/A</v>
      </c>
    </row>
    <row r="458" spans="4:10" x14ac:dyDescent="0.25">
      <c r="D458" s="78">
        <v>402790262</v>
      </c>
      <c r="F458" s="35">
        <f>IFERROR(MATCH(D458,Catalogo!$C$4:$C$1299,0),0)</f>
        <v>0</v>
      </c>
      <c r="H458" s="35" t="e">
        <f>IF(F458&gt;0,F458,MATCH(D458,Catalogo!$D$4:$D$1299,0))</f>
        <v>#N/A</v>
      </c>
      <c r="J458" s="35" t="e">
        <f>INDEX(Catalogo!$C$4:$C$1499,H458)</f>
        <v>#N/A</v>
      </c>
    </row>
    <row r="459" spans="4:10" x14ac:dyDescent="0.25">
      <c r="D459" s="78">
        <v>402790918</v>
      </c>
      <c r="F459" s="35">
        <f>IFERROR(MATCH(D459,Catalogo!$C$4:$C$1299,0),0)</f>
        <v>0</v>
      </c>
      <c r="H459" s="35" t="e">
        <f>IF(F459&gt;0,F459,MATCH(D459,Catalogo!$D$4:$D$1299,0))</f>
        <v>#N/A</v>
      </c>
      <c r="J459" s="35" t="e">
        <f>INDEX(Catalogo!$C$4:$C$1499,H459)</f>
        <v>#N/A</v>
      </c>
    </row>
    <row r="460" spans="4:10" x14ac:dyDescent="0.25">
      <c r="D460" s="78">
        <v>120100886</v>
      </c>
      <c r="F460" s="35">
        <f>IFERROR(MATCH(D460,Catalogo!$C$4:$C$1299,0),0)</f>
        <v>0</v>
      </c>
      <c r="H460" s="35" t="e">
        <f>IF(F460&gt;0,F460,MATCH(D460,Catalogo!$D$4:$D$1299,0))</f>
        <v>#N/A</v>
      </c>
      <c r="J460" s="35" t="e">
        <f>INDEX(Catalogo!$C$4:$C$1499,H460)</f>
        <v>#N/A</v>
      </c>
    </row>
    <row r="461" spans="4:10" x14ac:dyDescent="0.25">
      <c r="D461" s="78">
        <v>209060436</v>
      </c>
      <c r="F461" s="35">
        <f>IFERROR(MATCH(D461,Catalogo!$C$4:$C$1299,0),0)</f>
        <v>0</v>
      </c>
      <c r="H461" s="35" t="e">
        <f>IF(F461&gt;0,F461,MATCH(D461,Catalogo!$D$4:$D$1299,0))</f>
        <v>#N/A</v>
      </c>
      <c r="J461" s="35" t="e">
        <f>INDEX(Catalogo!$C$4:$C$1499,H461)</f>
        <v>#N/A</v>
      </c>
    </row>
    <row r="462" spans="4:10" x14ac:dyDescent="0.25">
      <c r="D462" s="78">
        <v>208980021</v>
      </c>
      <c r="F462" s="35">
        <f>IFERROR(MATCH(D462,Catalogo!$C$4:$C$1299,0),0)</f>
        <v>0</v>
      </c>
      <c r="H462" s="35" t="e">
        <f>IF(F462&gt;0,F462,MATCH(D462,Catalogo!$D$4:$D$1299,0))</f>
        <v>#N/A</v>
      </c>
      <c r="J462" s="35" t="e">
        <f>INDEX(Catalogo!$C$4:$C$1499,H462)</f>
        <v>#N/A</v>
      </c>
    </row>
    <row r="463" spans="4:10" x14ac:dyDescent="0.25">
      <c r="D463" s="78">
        <v>208840279</v>
      </c>
      <c r="F463" s="35">
        <f>IFERROR(MATCH(D463,Catalogo!$C$4:$C$1299,0),0)</f>
        <v>0</v>
      </c>
      <c r="H463" s="35" t="e">
        <f>IF(F463&gt;0,F463,MATCH(D463,Catalogo!$D$4:$D$1299,0))</f>
        <v>#N/A</v>
      </c>
      <c r="J463" s="35" t="e">
        <f>INDEX(Catalogo!$C$4:$C$1499,H463)</f>
        <v>#N/A</v>
      </c>
    </row>
    <row r="464" spans="4:10" x14ac:dyDescent="0.25">
      <c r="D464" s="78">
        <v>208990165</v>
      </c>
      <c r="F464" s="35">
        <f>IFERROR(MATCH(D464,Catalogo!$C$4:$C$1299,0),0)</f>
        <v>0</v>
      </c>
      <c r="H464" s="35" t="e">
        <f>IF(F464&gt;0,F464,MATCH(D464,Catalogo!$D$4:$D$1299,0))</f>
        <v>#N/A</v>
      </c>
      <c r="J464" s="35" t="e">
        <f>INDEX(Catalogo!$C$4:$C$1499,H464)</f>
        <v>#N/A</v>
      </c>
    </row>
    <row r="465" spans="4:10" x14ac:dyDescent="0.25">
      <c r="D465" s="78">
        <v>208910097</v>
      </c>
      <c r="F465" s="35">
        <f>IFERROR(MATCH(D465,Catalogo!$C$4:$C$1299,0),0)</f>
        <v>0</v>
      </c>
      <c r="H465" s="35" t="e">
        <f>IF(F465&gt;0,F465,MATCH(D465,Catalogo!$D$4:$D$1299,0))</f>
        <v>#N/A</v>
      </c>
      <c r="J465" s="35" t="e">
        <f>INDEX(Catalogo!$C$4:$C$1499,H465)</f>
        <v>#N/A</v>
      </c>
    </row>
    <row r="466" spans="4:10" x14ac:dyDescent="0.25">
      <c r="D466" s="78">
        <v>208980621</v>
      </c>
      <c r="F466" s="35">
        <f>IFERROR(MATCH(D466,Catalogo!$C$4:$C$1299,0),0)</f>
        <v>0</v>
      </c>
      <c r="H466" s="35" t="e">
        <f>IF(F466&gt;0,F466,MATCH(D466,Catalogo!$D$4:$D$1299,0))</f>
        <v>#N/A</v>
      </c>
      <c r="J466" s="35" t="e">
        <f>INDEX(Catalogo!$C$4:$C$1499,H466)</f>
        <v>#N/A</v>
      </c>
    </row>
    <row r="467" spans="4:10" x14ac:dyDescent="0.25">
      <c r="D467" s="78">
        <v>120400397</v>
      </c>
      <c r="F467" s="35">
        <f>IFERROR(MATCH(D467,Catalogo!$C$4:$C$1299,0),0)</f>
        <v>0</v>
      </c>
      <c r="H467" s="35" t="e">
        <f>IF(F467&gt;0,F467,MATCH(D467,Catalogo!$D$4:$D$1299,0))</f>
        <v>#N/A</v>
      </c>
      <c r="J467" s="35" t="e">
        <f>INDEX(Catalogo!$C$4:$C$1499,H467)</f>
        <v>#N/A</v>
      </c>
    </row>
    <row r="468" spans="4:10" x14ac:dyDescent="0.25">
      <c r="D468" s="78">
        <v>402780664</v>
      </c>
      <c r="F468" s="35">
        <f>IFERROR(MATCH(D468,Catalogo!$C$4:$C$1299,0),0)</f>
        <v>0</v>
      </c>
      <c r="H468" s="35" t="e">
        <f>IF(F468&gt;0,F468,MATCH(D468,Catalogo!$D$4:$D$1299,0))</f>
        <v>#N/A</v>
      </c>
      <c r="J468" s="35" t="e">
        <f>INDEX(Catalogo!$C$4:$C$1499,H468)</f>
        <v>#N/A</v>
      </c>
    </row>
    <row r="469" spans="4:10" x14ac:dyDescent="0.25">
      <c r="D469" s="78">
        <v>208960814</v>
      </c>
      <c r="F469" s="35">
        <f>IFERROR(MATCH(D469,Catalogo!$C$4:$C$1299,0),0)</f>
        <v>0</v>
      </c>
      <c r="H469" s="35" t="e">
        <f>IF(F469&gt;0,F469,MATCH(D469,Catalogo!$D$4:$D$1299,0))</f>
        <v>#N/A</v>
      </c>
      <c r="J469" s="35" t="e">
        <f>INDEX(Catalogo!$C$4:$C$1499,H469)</f>
        <v>#N/A</v>
      </c>
    </row>
    <row r="470" spans="4:10" x14ac:dyDescent="0.25">
      <c r="D470" s="83">
        <v>402760242</v>
      </c>
      <c r="F470" s="35">
        <f>IFERROR(MATCH(D470,Catalogo!$C$4:$C$1299,0),0)</f>
        <v>0</v>
      </c>
      <c r="H470" s="35" t="e">
        <f>IF(F470&gt;0,F470,MATCH(D470,Catalogo!$D$4:$D$1299,0))</f>
        <v>#N/A</v>
      </c>
      <c r="J470" s="35" t="e">
        <f>INDEX(Catalogo!$C$4:$C$1499,H470)</f>
        <v>#N/A</v>
      </c>
    </row>
    <row r="471" spans="4:10" x14ac:dyDescent="0.25">
      <c r="D471" s="78">
        <v>402810264</v>
      </c>
      <c r="F471" s="35">
        <f>IFERROR(MATCH(D471,Catalogo!$C$4:$C$1299,0),0)</f>
        <v>0</v>
      </c>
      <c r="H471" s="35" t="e">
        <f>IF(F471&gt;0,F471,MATCH(D471,Catalogo!$D$4:$D$1299,0))</f>
        <v>#N/A</v>
      </c>
      <c r="J471" s="35" t="e">
        <f>INDEX(Catalogo!$C$4:$C$1499,H471)</f>
        <v>#N/A</v>
      </c>
    </row>
    <row r="472" spans="4:10" x14ac:dyDescent="0.25">
      <c r="D472" s="75">
        <v>209000151</v>
      </c>
      <c r="F472" s="35">
        <f>IFERROR(MATCH(D472,Catalogo!$C$4:$C$1299,0),0)</f>
        <v>0</v>
      </c>
      <c r="H472" s="35" t="e">
        <f>IF(F472&gt;0,F472,MATCH(D472,Catalogo!$D$4:$D$1299,0))</f>
        <v>#N/A</v>
      </c>
      <c r="J472" s="35" t="e">
        <f>INDEX(Catalogo!$C$4:$C$1499,H472)</f>
        <v>#N/A</v>
      </c>
    </row>
    <row r="473" spans="4:10" x14ac:dyDescent="0.25">
      <c r="D473" s="78">
        <v>208970971</v>
      </c>
      <c r="F473" s="35">
        <f>IFERROR(MATCH(D473,Catalogo!$C$4:$C$1299,0),0)</f>
        <v>0</v>
      </c>
      <c r="H473" s="35" t="e">
        <f>IF(F473&gt;0,F473,MATCH(D473,Catalogo!$D$4:$D$1299,0))</f>
        <v>#N/A</v>
      </c>
      <c r="J473" s="35" t="e">
        <f>INDEX(Catalogo!$C$4:$C$1499,H473)</f>
        <v>#N/A</v>
      </c>
    </row>
    <row r="474" spans="4:10" x14ac:dyDescent="0.25">
      <c r="D474" s="78">
        <v>120210944</v>
      </c>
      <c r="F474" s="35">
        <f>IFERROR(MATCH(D474,Catalogo!$C$4:$C$1299,0),0)</f>
        <v>0</v>
      </c>
      <c r="H474" s="35" t="e">
        <f>IF(F474&gt;0,F474,MATCH(D474,Catalogo!$D$4:$D$1299,0))</f>
        <v>#N/A</v>
      </c>
      <c r="J474" s="35" t="e">
        <f>INDEX(Catalogo!$C$4:$C$1499,H474)</f>
        <v>#N/A</v>
      </c>
    </row>
    <row r="475" spans="4:10" x14ac:dyDescent="0.25">
      <c r="D475" s="78">
        <v>703410038</v>
      </c>
      <c r="F475" s="35">
        <f>IFERROR(MATCH(D475,Catalogo!$C$4:$C$1299,0),0)</f>
        <v>0</v>
      </c>
      <c r="H475" s="35" t="e">
        <f>IF(F475&gt;0,F475,MATCH(D475,Catalogo!$D$4:$D$1299,0))</f>
        <v>#N/A</v>
      </c>
      <c r="J475" s="35" t="e">
        <f>INDEX(Catalogo!$C$4:$C$1499,H475)</f>
        <v>#N/A</v>
      </c>
    </row>
    <row r="476" spans="4:10" x14ac:dyDescent="0.25">
      <c r="D476" s="78">
        <v>120020035</v>
      </c>
      <c r="F476" s="35">
        <f>IFERROR(MATCH(D476,Catalogo!$C$4:$C$1299,0),0)</f>
        <v>0</v>
      </c>
      <c r="H476" s="35" t="e">
        <f>IF(F476&gt;0,F476,MATCH(D476,Catalogo!$D$4:$D$1299,0))</f>
        <v>#N/A</v>
      </c>
      <c r="J476" s="35" t="e">
        <f>INDEX(Catalogo!$C$4:$C$1499,H476)</f>
        <v>#N/A</v>
      </c>
    </row>
    <row r="477" spans="4:10" x14ac:dyDescent="0.25">
      <c r="D477" s="78">
        <v>209010949</v>
      </c>
      <c r="F477" s="35">
        <f>IFERROR(MATCH(D477,Catalogo!$C$4:$C$1299,0),0)</f>
        <v>0</v>
      </c>
      <c r="H477" s="35" t="e">
        <f>IF(F477&gt;0,F477,MATCH(D477,Catalogo!$D$4:$D$1299,0))</f>
        <v>#N/A</v>
      </c>
      <c r="J477" s="35" t="e">
        <f>INDEX(Catalogo!$C$4:$C$1499,H477)</f>
        <v>#N/A</v>
      </c>
    </row>
    <row r="478" spans="4:10" x14ac:dyDescent="0.25">
      <c r="D478" s="78">
        <v>402810547</v>
      </c>
      <c r="F478" s="35">
        <f>IFERROR(MATCH(D478,Catalogo!$C$4:$C$1299,0),0)</f>
        <v>0</v>
      </c>
      <c r="H478" s="35" t="e">
        <f>IF(F478&gt;0,F478,MATCH(D478,Catalogo!$D$4:$D$1299,0))</f>
        <v>#N/A</v>
      </c>
      <c r="J478" s="35" t="e">
        <f>INDEX(Catalogo!$C$4:$C$1499,H478)</f>
        <v>#N/A</v>
      </c>
    </row>
    <row r="479" spans="4:10" x14ac:dyDescent="0.25">
      <c r="D479" s="78">
        <v>209020599</v>
      </c>
      <c r="F479" s="35">
        <f>IFERROR(MATCH(D479,Catalogo!$C$4:$C$1299,0),0)</f>
        <v>0</v>
      </c>
      <c r="H479" s="35" t="e">
        <f>IF(F479&gt;0,F479,MATCH(D479,Catalogo!$D$4:$D$1299,0))</f>
        <v>#N/A</v>
      </c>
      <c r="J479" s="35" t="e">
        <f>INDEX(Catalogo!$C$4:$C$1499,H479)</f>
        <v>#N/A</v>
      </c>
    </row>
    <row r="480" spans="4:10" x14ac:dyDescent="0.25">
      <c r="D480" s="82">
        <v>209020235</v>
      </c>
      <c r="F480" s="35">
        <f>IFERROR(MATCH(D480,Catalogo!$C$4:$C$1299,0),0)</f>
        <v>0</v>
      </c>
      <c r="H480" s="35" t="e">
        <f>IF(F480&gt;0,F480,MATCH(D480,Catalogo!$D$4:$D$1299,0))</f>
        <v>#N/A</v>
      </c>
      <c r="J480" s="35" t="e">
        <f>INDEX(Catalogo!$C$4:$C$1499,H480)</f>
        <v>#N/A</v>
      </c>
    </row>
    <row r="481" spans="4:10" x14ac:dyDescent="0.25">
      <c r="D481" s="75">
        <v>209000836</v>
      </c>
      <c r="F481" s="35">
        <f>IFERROR(MATCH(D481,Catalogo!$C$4:$C$1299,0),0)</f>
        <v>0</v>
      </c>
      <c r="H481" s="35" t="e">
        <f>IF(F481&gt;0,F481,MATCH(D481,Catalogo!$D$4:$D$1299,0))</f>
        <v>#N/A</v>
      </c>
      <c r="J481" s="35" t="e">
        <f>INDEX(Catalogo!$C$4:$C$1499,H481)</f>
        <v>#N/A</v>
      </c>
    </row>
    <row r="482" spans="4:10" x14ac:dyDescent="0.25">
      <c r="D482" s="78">
        <v>209060752</v>
      </c>
      <c r="F482" s="35">
        <f>IFERROR(MATCH(D482,Catalogo!$C$4:$C$1299,0),0)</f>
        <v>0</v>
      </c>
      <c r="H482" s="35" t="e">
        <f>IF(F482&gt;0,F482,MATCH(D482,Catalogo!$D$4:$D$1299,0))</f>
        <v>#N/A</v>
      </c>
      <c r="J482" s="35" t="e">
        <f>INDEX(Catalogo!$C$4:$C$1499,H482)</f>
        <v>#N/A</v>
      </c>
    </row>
    <row r="483" spans="4:10" x14ac:dyDescent="0.25">
      <c r="D483" s="78">
        <v>209010214</v>
      </c>
      <c r="F483" s="35">
        <f>IFERROR(MATCH(D483,Catalogo!$C$4:$C$1299,0),0)</f>
        <v>0</v>
      </c>
      <c r="H483" s="35" t="e">
        <f>IF(F483&gt;0,F483,MATCH(D483,Catalogo!$D$4:$D$1299,0))</f>
        <v>#N/A</v>
      </c>
      <c r="J483" s="35" t="e">
        <f>INDEX(Catalogo!$C$4:$C$1499,H483)</f>
        <v>#N/A</v>
      </c>
    </row>
    <row r="484" spans="4:10" x14ac:dyDescent="0.25">
      <c r="D484" s="78">
        <v>209040124</v>
      </c>
      <c r="F484" s="35">
        <f>IFERROR(MATCH(D484,Catalogo!$C$4:$C$1299,0),0)</f>
        <v>0</v>
      </c>
      <c r="H484" s="35" t="e">
        <f>IF(F484&gt;0,F484,MATCH(D484,Catalogo!$D$4:$D$1299,0))</f>
        <v>#N/A</v>
      </c>
      <c r="J484" s="35" t="e">
        <f>INDEX(Catalogo!$C$4:$C$1499,H484)</f>
        <v>#N/A</v>
      </c>
    </row>
    <row r="485" spans="4:10" x14ac:dyDescent="0.25">
      <c r="D485" s="78">
        <v>209030118</v>
      </c>
      <c r="F485" s="35">
        <f>IFERROR(MATCH(D485,Catalogo!$C$4:$C$1299,0),0)</f>
        <v>0</v>
      </c>
      <c r="H485" s="35" t="e">
        <f>IF(F485&gt;0,F485,MATCH(D485,Catalogo!$D$4:$D$1299,0))</f>
        <v>#N/A</v>
      </c>
      <c r="J485" s="35" t="e">
        <f>INDEX(Catalogo!$C$4:$C$1499,H485)</f>
        <v>#N/A</v>
      </c>
    </row>
    <row r="486" spans="4:10" x14ac:dyDescent="0.25">
      <c r="D486" s="81">
        <v>703400891</v>
      </c>
      <c r="F486" s="35">
        <f>IFERROR(MATCH(D486,Catalogo!$C$4:$C$1299,0),0)</f>
        <v>0</v>
      </c>
      <c r="H486" s="35" t="e">
        <f>IF(F486&gt;0,F486,MATCH(D486,Catalogo!$D$4:$D$1299,0))</f>
        <v>#N/A</v>
      </c>
      <c r="J486" s="35" t="e">
        <f>INDEX(Catalogo!$C$4:$C$1499,H486)</f>
        <v>#N/A</v>
      </c>
    </row>
    <row r="487" spans="4:10" x14ac:dyDescent="0.25">
      <c r="D487" s="80">
        <v>901450040</v>
      </c>
      <c r="F487" s="35">
        <f>IFERROR(MATCH(D487,Catalogo!$C$4:$C$1299,0),0)</f>
        <v>0</v>
      </c>
      <c r="H487" s="35" t="e">
        <f>IF(F487&gt;0,F487,MATCH(D487,Catalogo!$D$4:$D$1299,0))</f>
        <v>#N/A</v>
      </c>
      <c r="J487" s="35" t="e">
        <f>INDEX(Catalogo!$C$4:$C$1499,H487)</f>
        <v>#N/A</v>
      </c>
    </row>
    <row r="488" spans="4:10" x14ac:dyDescent="0.25">
      <c r="D488" s="78">
        <v>209070068</v>
      </c>
      <c r="F488" s="35">
        <f>IFERROR(MATCH(D488,Catalogo!$C$4:$C$1299,0),0)</f>
        <v>0</v>
      </c>
      <c r="H488" s="35" t="e">
        <f>IF(F488&gt;0,F488,MATCH(D488,Catalogo!$D$4:$D$1299,0))</f>
        <v>#N/A</v>
      </c>
      <c r="J488" s="35" t="e">
        <f>INDEX(Catalogo!$C$4:$C$1499,H488)</f>
        <v>#N/A</v>
      </c>
    </row>
    <row r="489" spans="4:10" x14ac:dyDescent="0.25">
      <c r="D489" s="78">
        <v>209040513</v>
      </c>
      <c r="F489" s="35">
        <f>IFERROR(MATCH(D489,Catalogo!$C$4:$C$1299,0),0)</f>
        <v>0</v>
      </c>
      <c r="H489" s="35" t="e">
        <f>IF(F489&gt;0,F489,MATCH(D489,Catalogo!$D$4:$D$1299,0))</f>
        <v>#N/A</v>
      </c>
      <c r="J489" s="35" t="e">
        <f>INDEX(Catalogo!$C$4:$C$1499,H489)</f>
        <v>#N/A</v>
      </c>
    </row>
    <row r="490" spans="4:10" x14ac:dyDescent="0.25">
      <c r="D490" s="78">
        <v>120230943</v>
      </c>
      <c r="F490" s="35">
        <f>IFERROR(MATCH(D490,Catalogo!$C$4:$C$1299,0),0)</f>
        <v>0</v>
      </c>
      <c r="H490" s="35" t="e">
        <f>IF(F490&gt;0,F490,MATCH(D490,Catalogo!$D$4:$D$1299,0))</f>
        <v>#N/A</v>
      </c>
      <c r="J490" s="35" t="e">
        <f>INDEX(Catalogo!$C$4:$C$1499,H490)</f>
        <v>#N/A</v>
      </c>
    </row>
    <row r="491" spans="4:10" x14ac:dyDescent="0.25">
      <c r="D491" s="78">
        <v>402770141</v>
      </c>
      <c r="F491" s="35">
        <f>IFERROR(MATCH(D491,Catalogo!$C$4:$C$1299,0),0)</f>
        <v>0</v>
      </c>
      <c r="H491" s="35" t="e">
        <f>IF(F491&gt;0,F491,MATCH(D491,Catalogo!$D$4:$D$1299,0))</f>
        <v>#N/A</v>
      </c>
      <c r="J491" s="35" t="e">
        <f>INDEX(Catalogo!$C$4:$C$1499,H491)</f>
        <v>#N/A</v>
      </c>
    </row>
    <row r="492" spans="4:10" x14ac:dyDescent="0.25">
      <c r="D492" s="78">
        <v>209020597</v>
      </c>
      <c r="F492" s="35">
        <f>IFERROR(MATCH(D492,Catalogo!$C$4:$C$1299,0),0)</f>
        <v>0</v>
      </c>
      <c r="H492" s="35" t="e">
        <f>IF(F492&gt;0,F492,MATCH(D492,Catalogo!$D$4:$D$1299,0))</f>
        <v>#N/A</v>
      </c>
      <c r="J492" s="35" t="e">
        <f>INDEX(Catalogo!$C$4:$C$1499,H492)</f>
        <v>#N/A</v>
      </c>
    </row>
    <row r="493" spans="4:10" x14ac:dyDescent="0.25">
      <c r="D493" s="78">
        <v>120230764</v>
      </c>
      <c r="F493" s="35">
        <f>IFERROR(MATCH(D493,Catalogo!$C$4:$C$1299,0),0)</f>
        <v>0</v>
      </c>
      <c r="H493" s="35" t="e">
        <f>IF(F493&gt;0,F493,MATCH(D493,Catalogo!$D$4:$D$1299,0))</f>
        <v>#N/A</v>
      </c>
      <c r="J493" s="35" t="e">
        <f>INDEX(Catalogo!$C$4:$C$1499,H493)</f>
        <v>#N/A</v>
      </c>
    </row>
    <row r="494" spans="4:10" x14ac:dyDescent="0.25">
      <c r="D494" s="78">
        <v>120280458</v>
      </c>
      <c r="F494" s="35">
        <f>IFERROR(MATCH(D494,Catalogo!$C$4:$C$1299,0),0)</f>
        <v>0</v>
      </c>
      <c r="H494" s="35" t="e">
        <f>IF(F494&gt;0,F494,MATCH(D494,Catalogo!$D$4:$D$1299,0))</f>
        <v>#N/A</v>
      </c>
      <c r="J494" s="35" t="e">
        <f>INDEX(Catalogo!$C$4:$C$1499,H494)</f>
        <v>#N/A</v>
      </c>
    </row>
    <row r="495" spans="4:10" x14ac:dyDescent="0.25">
      <c r="D495" s="83">
        <v>605130413</v>
      </c>
      <c r="F495" s="35">
        <f>IFERROR(MATCH(D495,Catalogo!$C$4:$C$1299,0),0)</f>
        <v>0</v>
      </c>
      <c r="H495" s="35" t="e">
        <f>IF(F495&gt;0,F495,MATCH(D495,Catalogo!$D$4:$D$1299,0))</f>
        <v>#N/A</v>
      </c>
      <c r="J495" s="35" t="e">
        <f>INDEX(Catalogo!$C$4:$C$1499,H495)</f>
        <v>#N/A</v>
      </c>
    </row>
    <row r="496" spans="4:10" x14ac:dyDescent="0.25">
      <c r="D496" s="82">
        <v>120140654</v>
      </c>
      <c r="F496" s="35">
        <f>IFERROR(MATCH(D496,Catalogo!$C$4:$C$1299,0),0)</f>
        <v>0</v>
      </c>
      <c r="H496" s="35" t="e">
        <f>IF(F496&gt;0,F496,MATCH(D496,Catalogo!$D$4:$D$1299,0))</f>
        <v>#N/A</v>
      </c>
      <c r="J496" s="35" t="e">
        <f>INDEX(Catalogo!$C$4:$C$1499,H496)</f>
        <v>#N/A</v>
      </c>
    </row>
    <row r="497" spans="4:10" x14ac:dyDescent="0.25">
      <c r="D497" s="88">
        <v>209020539</v>
      </c>
      <c r="F497" s="35">
        <f>IFERROR(MATCH(D497,Catalogo!$C$4:$C$1299,0),0)</f>
        <v>0</v>
      </c>
      <c r="H497" s="35" t="e">
        <f>IF(F497&gt;0,F497,MATCH(D497,Catalogo!$D$4:$D$1299,0))</f>
        <v>#N/A</v>
      </c>
      <c r="J497" s="35" t="e">
        <f>INDEX(Catalogo!$C$4:$C$1499,H497)</f>
        <v>#N/A</v>
      </c>
    </row>
    <row r="498" spans="4:10" x14ac:dyDescent="0.25">
      <c r="D498" s="88">
        <v>209060789</v>
      </c>
      <c r="F498" s="35">
        <f>IFERROR(MATCH(D498,Catalogo!$C$4:$C$1299,0),0)</f>
        <v>0</v>
      </c>
      <c r="H498" s="35" t="e">
        <f>IF(F498&gt;0,F498,MATCH(D498,Catalogo!$D$4:$D$1299,0))</f>
        <v>#N/A</v>
      </c>
      <c r="J498" s="35" t="e">
        <f>INDEX(Catalogo!$C$4:$C$1499,H498)</f>
        <v>#N/A</v>
      </c>
    </row>
    <row r="499" spans="4:10" x14ac:dyDescent="0.25">
      <c r="D499" s="81">
        <v>208860813</v>
      </c>
      <c r="F499" s="35">
        <f>IFERROR(MATCH(D499,Catalogo!$C$4:$C$1299,0),0)</f>
        <v>0</v>
      </c>
      <c r="H499" s="35" t="e">
        <f>IF(F499&gt;0,F499,MATCH(D499,Catalogo!$D$4:$D$1299,0))</f>
        <v>#N/A</v>
      </c>
      <c r="J499" s="35" t="e">
        <f>INDEX(Catalogo!$C$4:$C$1499,H499)</f>
        <v>#N/A</v>
      </c>
    </row>
    <row r="500" spans="4:10" x14ac:dyDescent="0.25">
      <c r="D500" s="78">
        <v>209110753</v>
      </c>
      <c r="F500" s="35">
        <f>IFERROR(MATCH(D500,Catalogo!$C$4:$C$1299,0),0)</f>
        <v>0</v>
      </c>
      <c r="H500" s="35" t="e">
        <f>IF(F500&gt;0,F500,MATCH(D500,Catalogo!$D$4:$D$1299,0))</f>
        <v>#N/A</v>
      </c>
      <c r="J500" s="35" t="e">
        <f>INDEX(Catalogo!$C$4:$C$1499,H500)</f>
        <v>#N/A</v>
      </c>
    </row>
    <row r="501" spans="4:10" x14ac:dyDescent="0.25">
      <c r="D501" s="78">
        <v>209070738</v>
      </c>
      <c r="F501" s="35">
        <f>IFERROR(MATCH(D501,Catalogo!$C$4:$C$1299,0),0)</f>
        <v>0</v>
      </c>
      <c r="H501" s="35" t="e">
        <f>IF(F501&gt;0,F501,MATCH(D501,Catalogo!$D$4:$D$1299,0))</f>
        <v>#N/A</v>
      </c>
      <c r="J501" s="35" t="e">
        <f>INDEX(Catalogo!$C$4:$C$1499,H501)</f>
        <v>#N/A</v>
      </c>
    </row>
    <row r="502" spans="4:10" x14ac:dyDescent="0.25">
      <c r="D502" s="88">
        <v>208940445</v>
      </c>
      <c r="F502" s="35">
        <f>IFERROR(MATCH(D502,Catalogo!$C$4:$C$1299,0),0)</f>
        <v>0</v>
      </c>
      <c r="H502" s="35" t="e">
        <f>IF(F502&gt;0,F502,MATCH(D502,Catalogo!$D$4:$D$1299,0))</f>
        <v>#N/A</v>
      </c>
      <c r="J502" s="35" t="e">
        <f>INDEX(Catalogo!$C$4:$C$1499,H502)</f>
        <v>#N/A</v>
      </c>
    </row>
    <row r="503" spans="4:10" x14ac:dyDescent="0.25">
      <c r="D503" s="78">
        <v>119930550</v>
      </c>
      <c r="F503" s="35">
        <f>IFERROR(MATCH(D503,Catalogo!$C$4:$C$1299,0),0)</f>
        <v>0</v>
      </c>
      <c r="H503" s="35" t="e">
        <f>IF(F503&gt;0,F503,MATCH(D503,Catalogo!$D$4:$D$1299,0))</f>
        <v>#N/A</v>
      </c>
      <c r="J503" s="35" t="e">
        <f>INDEX(Catalogo!$C$4:$C$1499,H503)</f>
        <v>#N/A</v>
      </c>
    </row>
    <row r="504" spans="4:10" x14ac:dyDescent="0.25">
      <c r="D504" s="88">
        <v>402780125</v>
      </c>
      <c r="F504" s="35">
        <f>IFERROR(MATCH(D504,Catalogo!$C$4:$C$1299,0),0)</f>
        <v>0</v>
      </c>
      <c r="H504" s="35" t="e">
        <f>IF(F504&gt;0,F504,MATCH(D504,Catalogo!$D$4:$D$1299,0))</f>
        <v>#N/A</v>
      </c>
      <c r="J504" s="35" t="e">
        <f>INDEX(Catalogo!$C$4:$C$1499,H504)</f>
        <v>#N/A</v>
      </c>
    </row>
    <row r="505" spans="4:10" x14ac:dyDescent="0.25">
      <c r="D505" s="78">
        <v>120200025</v>
      </c>
      <c r="F505" s="35">
        <f>IFERROR(MATCH(D505,Catalogo!$C$4:$C$1299,0),0)</f>
        <v>0</v>
      </c>
      <c r="H505" s="35" t="e">
        <f>IF(F505&gt;0,F505,MATCH(D505,Catalogo!$D$4:$D$1299,0))</f>
        <v>#N/A</v>
      </c>
      <c r="J505" s="35" t="e">
        <f>INDEX(Catalogo!$C$4:$C$1499,H505)</f>
        <v>#N/A</v>
      </c>
    </row>
    <row r="506" spans="4:10" x14ac:dyDescent="0.25">
      <c r="D506" s="78">
        <v>209080285</v>
      </c>
      <c r="F506" s="35">
        <f>IFERROR(MATCH(D506,Catalogo!$C$4:$C$1299,0),0)</f>
        <v>0</v>
      </c>
      <c r="H506" s="35" t="e">
        <f>IF(F506&gt;0,F506,MATCH(D506,Catalogo!$D$4:$D$1299,0))</f>
        <v>#N/A</v>
      </c>
      <c r="J506" s="35" t="e">
        <f>INDEX(Catalogo!$C$4:$C$1499,H506)</f>
        <v>#N/A</v>
      </c>
    </row>
    <row r="507" spans="4:10" x14ac:dyDescent="0.25">
      <c r="D507" s="78">
        <v>209060909</v>
      </c>
      <c r="F507" s="35">
        <f>IFERROR(MATCH(D507,Catalogo!$C$4:$C$1299,0),0)</f>
        <v>0</v>
      </c>
      <c r="H507" s="35" t="e">
        <f>IF(F507&gt;0,F507,MATCH(D507,Catalogo!$D$4:$D$1299,0))</f>
        <v>#N/A</v>
      </c>
      <c r="J507" s="35" t="e">
        <f>INDEX(Catalogo!$C$4:$C$1499,H507)</f>
        <v>#N/A</v>
      </c>
    </row>
    <row r="508" spans="4:10" x14ac:dyDescent="0.25">
      <c r="D508" s="89">
        <v>402790626</v>
      </c>
      <c r="F508" s="35">
        <f>IFERROR(MATCH(D508,Catalogo!$C$4:$C$1299,0),0)</f>
        <v>0</v>
      </c>
      <c r="H508" s="35" t="e">
        <f>IF(F508&gt;0,F508,MATCH(D508,Catalogo!$D$4:$D$1299,0))</f>
        <v>#N/A</v>
      </c>
      <c r="J508" s="35" t="e">
        <f>INDEX(Catalogo!$C$4:$C$1499,H508)</f>
        <v>#N/A</v>
      </c>
    </row>
    <row r="509" spans="4:10" x14ac:dyDescent="0.25">
      <c r="D509" s="78">
        <v>120380567</v>
      </c>
      <c r="F509" s="35">
        <f>IFERROR(MATCH(D509,Catalogo!$C$4:$C$1299,0),0)</f>
        <v>0</v>
      </c>
      <c r="H509" s="35" t="e">
        <f>IF(F509&gt;0,F509,MATCH(D509,Catalogo!$D$4:$D$1299,0))</f>
        <v>#N/A</v>
      </c>
      <c r="J509" s="35" t="e">
        <f>INDEX(Catalogo!$C$4:$C$1499,H509)</f>
        <v>#N/A</v>
      </c>
    </row>
    <row r="510" spans="4:10" x14ac:dyDescent="0.25">
      <c r="D510" s="78">
        <v>209070189</v>
      </c>
      <c r="F510" s="35">
        <f>IFERROR(MATCH(D510,Catalogo!$C$4:$C$1299,0),0)</f>
        <v>0</v>
      </c>
      <c r="H510" s="35" t="e">
        <f>IF(F510&gt;0,F510,MATCH(D510,Catalogo!$D$4:$D$1299,0))</f>
        <v>#N/A</v>
      </c>
      <c r="J510" s="35" t="e">
        <f>INDEX(Catalogo!$C$4:$C$1499,H510)</f>
        <v>#N/A</v>
      </c>
    </row>
    <row r="511" spans="4:10" x14ac:dyDescent="0.25">
      <c r="D511" s="91" t="s">
        <v>2344</v>
      </c>
      <c r="F511" s="35">
        <f>IFERROR(MATCH(D511,Catalogo!$C$4:$C$1299,0),0)</f>
        <v>0</v>
      </c>
      <c r="H511" s="35" t="e">
        <f>IF(F511&gt;0,F511,MATCH(D511,Catalogo!$D$4:$D$1299,0))</f>
        <v>#N/A</v>
      </c>
      <c r="J511" s="35" t="e">
        <f>INDEX(Catalogo!$C$4:$C$1499,H511)</f>
        <v>#N/A</v>
      </c>
    </row>
    <row r="512" spans="4:10" x14ac:dyDescent="0.25">
      <c r="D512" s="78">
        <v>209070040</v>
      </c>
      <c r="F512" s="35">
        <f>IFERROR(MATCH(D512,Catalogo!$C$4:$C$1299,0),0)</f>
        <v>0</v>
      </c>
      <c r="H512" s="35" t="e">
        <f>IF(F512&gt;0,F512,MATCH(D512,Catalogo!$D$4:$D$1299,0))</f>
        <v>#N/A</v>
      </c>
      <c r="J512" s="35" t="e">
        <f>INDEX(Catalogo!$C$4:$C$1499,H512)</f>
        <v>#N/A</v>
      </c>
    </row>
    <row r="513" spans="4:10" x14ac:dyDescent="0.25">
      <c r="D513" s="78">
        <v>209000358</v>
      </c>
      <c r="F513" s="35">
        <f>IFERROR(MATCH(D513,Catalogo!$C$4:$C$1299,0),0)</f>
        <v>0</v>
      </c>
      <c r="H513" s="35" t="e">
        <f>IF(F513&gt;0,F513,MATCH(D513,Catalogo!$D$4:$D$1299,0))</f>
        <v>#N/A</v>
      </c>
      <c r="J513" s="35" t="e">
        <f>INDEX(Catalogo!$C$4:$C$1499,H513)</f>
        <v>#N/A</v>
      </c>
    </row>
    <row r="514" spans="4:10" x14ac:dyDescent="0.25">
      <c r="D514" s="78">
        <v>402780461</v>
      </c>
      <c r="F514" s="35">
        <f>IFERROR(MATCH(D514,Catalogo!$C$4:$C$1299,0),0)</f>
        <v>0</v>
      </c>
      <c r="H514" s="35" t="e">
        <f>IF(F514&gt;0,F514,MATCH(D514,Catalogo!$D$4:$D$1299,0))</f>
        <v>#N/A</v>
      </c>
      <c r="J514" s="35" t="e">
        <f>INDEX(Catalogo!$C$4:$C$1499,H514)</f>
        <v>#N/A</v>
      </c>
    </row>
    <row r="515" spans="4:10" x14ac:dyDescent="0.25">
      <c r="D515" s="78">
        <v>402790521</v>
      </c>
      <c r="F515" s="35">
        <f>IFERROR(MATCH(D515,Catalogo!$C$4:$C$1299,0),0)</f>
        <v>0</v>
      </c>
      <c r="H515" s="35" t="e">
        <f>IF(F515&gt;0,F515,MATCH(D515,Catalogo!$D$4:$D$1299,0))</f>
        <v>#N/A</v>
      </c>
      <c r="J515" s="35" t="e">
        <f>INDEX(Catalogo!$C$4:$C$1499,H515)</f>
        <v>#N/A</v>
      </c>
    </row>
    <row r="516" spans="4:10" x14ac:dyDescent="0.25">
      <c r="D516" s="78">
        <v>120210101</v>
      </c>
      <c r="F516" s="35">
        <f>IFERROR(MATCH(D516,Catalogo!$C$4:$C$1299,0),0)</f>
        <v>0</v>
      </c>
      <c r="H516" s="35" t="e">
        <f>IF(F516&gt;0,F516,MATCH(D516,Catalogo!$D$4:$D$1299,0))</f>
        <v>#N/A</v>
      </c>
      <c r="J516" s="35" t="e">
        <f>INDEX(Catalogo!$C$4:$C$1499,H516)</f>
        <v>#N/A</v>
      </c>
    </row>
    <row r="517" spans="4:10" x14ac:dyDescent="0.25">
      <c r="D517" s="78">
        <v>208990112</v>
      </c>
      <c r="F517" s="35">
        <f>IFERROR(MATCH(D517,Catalogo!$C$4:$C$1299,0),0)</f>
        <v>0</v>
      </c>
      <c r="H517" s="35" t="e">
        <f>IF(F517&gt;0,F517,MATCH(D517,Catalogo!$D$4:$D$1299,0))</f>
        <v>#N/A</v>
      </c>
      <c r="J517" s="35" t="e">
        <f>INDEX(Catalogo!$C$4:$C$1499,H517)</f>
        <v>#N/A</v>
      </c>
    </row>
    <row r="518" spans="4:10" x14ac:dyDescent="0.25">
      <c r="D518" s="78">
        <v>209100278</v>
      </c>
      <c r="F518" s="35">
        <f>IFERROR(MATCH(D518,Catalogo!$C$4:$C$1299,0),0)</f>
        <v>0</v>
      </c>
      <c r="H518" s="35" t="e">
        <f>IF(F518&gt;0,F518,MATCH(D518,Catalogo!$D$4:$D$1299,0))</f>
        <v>#N/A</v>
      </c>
      <c r="J518" s="35" t="e">
        <f>INDEX(Catalogo!$C$4:$C$1499,H518)</f>
        <v>#N/A</v>
      </c>
    </row>
    <row r="519" spans="4:10" x14ac:dyDescent="0.25">
      <c r="D519" s="78">
        <v>402810258</v>
      </c>
      <c r="F519" s="35">
        <f>IFERROR(MATCH(D519,Catalogo!$C$4:$C$1299,0),0)</f>
        <v>0</v>
      </c>
      <c r="H519" s="35" t="e">
        <f>IF(F519&gt;0,F519,MATCH(D519,Catalogo!$D$4:$D$1299,0))</f>
        <v>#N/A</v>
      </c>
      <c r="J519" s="35" t="e">
        <f>INDEX(Catalogo!$C$4:$C$1499,H519)</f>
        <v>#N/A</v>
      </c>
    </row>
    <row r="520" spans="4:10" x14ac:dyDescent="0.25">
      <c r="D520" s="78">
        <v>209050727</v>
      </c>
      <c r="F520" s="35">
        <f>IFERROR(MATCH(D520,Catalogo!$C$4:$C$1299,0),0)</f>
        <v>0</v>
      </c>
      <c r="H520" s="35" t="e">
        <f>IF(F520&gt;0,F520,MATCH(D520,Catalogo!$D$4:$D$1299,0))</f>
        <v>#N/A</v>
      </c>
      <c r="J520" s="35" t="e">
        <f>INDEX(Catalogo!$C$4:$C$1499,H520)</f>
        <v>#N/A</v>
      </c>
    </row>
    <row r="521" spans="4:10" x14ac:dyDescent="0.25">
      <c r="D521" s="78">
        <v>208980732</v>
      </c>
      <c r="F521" s="35">
        <f>IFERROR(MATCH(D521,Catalogo!$C$4:$C$1299,0),0)</f>
        <v>0</v>
      </c>
      <c r="H521" s="35" t="e">
        <f>IF(F521&gt;0,F521,MATCH(D521,Catalogo!$D$4:$D$1299,0))</f>
        <v>#N/A</v>
      </c>
      <c r="J521" s="35" t="e">
        <f>INDEX(Catalogo!$C$4:$C$1499,H521)</f>
        <v>#N/A</v>
      </c>
    </row>
    <row r="522" spans="4:10" x14ac:dyDescent="0.25">
      <c r="D522" s="87" t="s">
        <v>868</v>
      </c>
      <c r="F522" s="35">
        <f>IFERROR(MATCH(D522,Catalogo!$C$4:$C$1299,0),0)</f>
        <v>0</v>
      </c>
      <c r="H522" s="35" t="e">
        <f>IF(F522&gt;0,F522,MATCH(D522,Catalogo!$D$4:$D$1299,0))</f>
        <v>#N/A</v>
      </c>
      <c r="J522" s="35" t="e">
        <f>INDEX(Catalogo!$C$4:$C$1499,H522)</f>
        <v>#N/A</v>
      </c>
    </row>
    <row r="523" spans="4:10" x14ac:dyDescent="0.25">
      <c r="D523" s="78">
        <v>402740664</v>
      </c>
      <c r="F523" s="35">
        <f>IFERROR(MATCH(D523,Catalogo!$C$4:$C$1299,0),0)</f>
        <v>0</v>
      </c>
      <c r="H523" s="35" t="e">
        <f>IF(F523&gt;0,F523,MATCH(D523,Catalogo!$D$4:$D$1299,0))</f>
        <v>#N/A</v>
      </c>
      <c r="J523" s="35" t="e">
        <f>INDEX(Catalogo!$C$4:$C$1499,H523)</f>
        <v>#N/A</v>
      </c>
    </row>
    <row r="524" spans="4:10" x14ac:dyDescent="0.25">
      <c r="D524" s="78">
        <v>208960697</v>
      </c>
      <c r="F524" s="35">
        <f>IFERROR(MATCH(D524,Catalogo!$C$4:$C$1299,0),0)</f>
        <v>0</v>
      </c>
      <c r="H524" s="35" t="e">
        <f>IF(F524&gt;0,F524,MATCH(D524,Catalogo!$D$4:$D$1299,0))</f>
        <v>#N/A</v>
      </c>
      <c r="J524" s="35" t="e">
        <f>INDEX(Catalogo!$C$4:$C$1499,H524)</f>
        <v>#N/A</v>
      </c>
    </row>
    <row r="525" spans="4:10" x14ac:dyDescent="0.25">
      <c r="D525" s="78">
        <v>208960323</v>
      </c>
      <c r="F525" s="35">
        <f>IFERROR(MATCH(D525,Catalogo!$C$4:$C$1299,0),0)</f>
        <v>0</v>
      </c>
      <c r="H525" s="35" t="e">
        <f>IF(F525&gt;0,F525,MATCH(D525,Catalogo!$D$4:$D$1299,0))</f>
        <v>#N/A</v>
      </c>
      <c r="J525" s="35" t="e">
        <f>INDEX(Catalogo!$C$4:$C$1499,H525)</f>
        <v>#N/A</v>
      </c>
    </row>
    <row r="526" spans="4:10" x14ac:dyDescent="0.25">
      <c r="D526" s="83">
        <v>119930616</v>
      </c>
      <c r="F526" s="35">
        <f>IFERROR(MATCH(D526,Catalogo!$C$4:$C$1299,0),0)</f>
        <v>0</v>
      </c>
      <c r="H526" s="35" t="e">
        <f>IF(F526&gt;0,F526,MATCH(D526,Catalogo!$D$4:$D$1299,0))</f>
        <v>#N/A</v>
      </c>
      <c r="J526" s="35" t="e">
        <f>INDEX(Catalogo!$C$4:$C$1499,H526)</f>
        <v>#N/A</v>
      </c>
    </row>
    <row r="527" spans="4:10" x14ac:dyDescent="0.25">
      <c r="D527" s="83">
        <v>208960357</v>
      </c>
      <c r="F527" s="35">
        <f>IFERROR(MATCH(D527,Catalogo!$C$4:$C$1299,0),0)</f>
        <v>0</v>
      </c>
      <c r="H527" s="35" t="e">
        <f>IF(F527&gt;0,F527,MATCH(D527,Catalogo!$D$4:$D$1299,0))</f>
        <v>#N/A</v>
      </c>
      <c r="J527" s="35" t="e">
        <f>INDEX(Catalogo!$C$4:$C$1499,H527)</f>
        <v>#N/A</v>
      </c>
    </row>
    <row r="528" spans="4:10" x14ac:dyDescent="0.25">
      <c r="D528" s="83">
        <v>208970795</v>
      </c>
      <c r="F528" s="35">
        <f>IFERROR(MATCH(D528,Catalogo!$C$4:$C$1299,0),0)</f>
        <v>0</v>
      </c>
      <c r="H528" s="35" t="e">
        <f>IF(F528&gt;0,F528,MATCH(D528,Catalogo!$D$4:$D$1299,0))</f>
        <v>#N/A</v>
      </c>
      <c r="J528" s="35" t="e">
        <f>INDEX(Catalogo!$C$4:$C$1499,H528)</f>
        <v>#N/A</v>
      </c>
    </row>
    <row r="529" spans="4:10" x14ac:dyDescent="0.25">
      <c r="D529" s="83">
        <v>402720113</v>
      </c>
      <c r="F529" s="35">
        <f>IFERROR(MATCH(D529,Catalogo!$C$4:$C$1299,0),0)</f>
        <v>0</v>
      </c>
      <c r="H529" s="35" t="e">
        <f>IF(F529&gt;0,F529,MATCH(D529,Catalogo!$D$4:$D$1299,0))</f>
        <v>#N/A</v>
      </c>
      <c r="J529" s="35" t="e">
        <f>INDEX(Catalogo!$C$4:$C$1499,H529)</f>
        <v>#N/A</v>
      </c>
    </row>
    <row r="530" spans="4:10" x14ac:dyDescent="0.25">
      <c r="D530" s="83">
        <v>119690919</v>
      </c>
      <c r="F530" s="35">
        <f>IFERROR(MATCH(D530,Catalogo!$C$4:$C$1299,0),0)</f>
        <v>0</v>
      </c>
      <c r="H530" s="35" t="e">
        <f>IF(F530&gt;0,F530,MATCH(D530,Catalogo!$D$4:$D$1299,0))</f>
        <v>#N/A</v>
      </c>
      <c r="J530" s="35" t="e">
        <f>INDEX(Catalogo!$C$4:$C$1499,H530)</f>
        <v>#N/A</v>
      </c>
    </row>
    <row r="531" spans="4:10" x14ac:dyDescent="0.25">
      <c r="D531" s="78">
        <v>208930298</v>
      </c>
      <c r="F531" s="35">
        <f>IFERROR(MATCH(D531,Catalogo!$C$4:$C$1299,0),0)</f>
        <v>0</v>
      </c>
      <c r="H531" s="35" t="e">
        <f>IF(F531&gt;0,F531,MATCH(D531,Catalogo!$D$4:$D$1299,0))</f>
        <v>#N/A</v>
      </c>
      <c r="J531" s="35" t="e">
        <f>INDEX(Catalogo!$C$4:$C$1499,H531)</f>
        <v>#N/A</v>
      </c>
    </row>
    <row r="532" spans="4:10" x14ac:dyDescent="0.25">
      <c r="D532" s="83">
        <v>208920813</v>
      </c>
      <c r="F532" s="35">
        <f>IFERROR(MATCH(D532,Catalogo!$C$4:$C$1299,0),0)</f>
        <v>0</v>
      </c>
      <c r="H532" s="35" t="e">
        <f>IF(F532&gt;0,F532,MATCH(D532,Catalogo!$D$4:$D$1299,0))</f>
        <v>#N/A</v>
      </c>
      <c r="J532" s="35" t="e">
        <f>INDEX(Catalogo!$C$4:$C$1499,H532)</f>
        <v>#N/A</v>
      </c>
    </row>
    <row r="533" spans="4:10" x14ac:dyDescent="0.25">
      <c r="D533" s="81">
        <v>208890557</v>
      </c>
      <c r="F533" s="35">
        <f>IFERROR(MATCH(D533,Catalogo!$C$4:$C$1299,0),0)</f>
        <v>0</v>
      </c>
      <c r="H533" s="35" t="e">
        <f>IF(F533&gt;0,F533,MATCH(D533,Catalogo!$D$4:$D$1299,0))</f>
        <v>#N/A</v>
      </c>
      <c r="J533" s="35" t="e">
        <f>INDEX(Catalogo!$C$4:$C$1499,H533)</f>
        <v>#N/A</v>
      </c>
    </row>
    <row r="534" spans="4:10" x14ac:dyDescent="0.25">
      <c r="D534" s="81">
        <v>703320993</v>
      </c>
      <c r="F534" s="35">
        <f>IFERROR(MATCH(D534,Catalogo!$C$4:$C$1299,0),0)</f>
        <v>0</v>
      </c>
      <c r="H534" s="35" t="e">
        <f>IF(F534&gt;0,F534,MATCH(D534,Catalogo!$D$4:$D$1299,0))</f>
        <v>#N/A</v>
      </c>
      <c r="J534" s="35" t="e">
        <f>INDEX(Catalogo!$C$4:$C$1499,H534)</f>
        <v>#N/A</v>
      </c>
    </row>
    <row r="535" spans="4:10" x14ac:dyDescent="0.25">
      <c r="D535" s="83">
        <v>402740633</v>
      </c>
      <c r="F535" s="35">
        <f>IFERROR(MATCH(D535,Catalogo!$C$4:$C$1299,0),0)</f>
        <v>0</v>
      </c>
      <c r="H535" s="35" t="e">
        <f>IF(F535&gt;0,F535,MATCH(D535,Catalogo!$D$4:$D$1299,0))</f>
        <v>#N/A</v>
      </c>
      <c r="J535" s="35" t="e">
        <f>INDEX(Catalogo!$C$4:$C$1499,H535)</f>
        <v>#N/A</v>
      </c>
    </row>
    <row r="536" spans="4:10" x14ac:dyDescent="0.25">
      <c r="D536" s="83">
        <v>119830244</v>
      </c>
      <c r="F536" s="35">
        <f>IFERROR(MATCH(D536,Catalogo!$C$4:$C$1299,0),0)</f>
        <v>0</v>
      </c>
      <c r="H536" s="35" t="e">
        <f>IF(F536&gt;0,F536,MATCH(D536,Catalogo!$D$4:$D$1299,0))</f>
        <v>#N/A</v>
      </c>
      <c r="J536" s="35" t="e">
        <f>INDEX(Catalogo!$C$4:$C$1499,H536)</f>
        <v>#N/A</v>
      </c>
    </row>
    <row r="537" spans="4:10" x14ac:dyDescent="0.25">
      <c r="D537" s="78">
        <v>119570296</v>
      </c>
      <c r="F537" s="35">
        <f>IFERROR(MATCH(D537,Catalogo!$C$4:$C$1299,0),0)</f>
        <v>0</v>
      </c>
      <c r="H537" s="35" t="e">
        <f>IF(F537&gt;0,F537,MATCH(D537,Catalogo!$D$4:$D$1299,0))</f>
        <v>#N/A</v>
      </c>
      <c r="J537" s="35" t="e">
        <f>INDEX(Catalogo!$C$4:$C$1499,H537)</f>
        <v>#N/A</v>
      </c>
    </row>
    <row r="538" spans="4:10" x14ac:dyDescent="0.25">
      <c r="D538" s="83">
        <v>402740566</v>
      </c>
      <c r="F538" s="35">
        <f>IFERROR(MATCH(D538,Catalogo!$C$4:$C$1299,0),0)</f>
        <v>0</v>
      </c>
      <c r="H538" s="35" t="e">
        <f>IF(F538&gt;0,F538,MATCH(D538,Catalogo!$D$4:$D$1299,0))</f>
        <v>#N/A</v>
      </c>
      <c r="J538" s="35" t="e">
        <f>INDEX(Catalogo!$C$4:$C$1499,H538)</f>
        <v>#N/A</v>
      </c>
    </row>
    <row r="539" spans="4:10" x14ac:dyDescent="0.25">
      <c r="D539" s="83">
        <v>402720807</v>
      </c>
      <c r="F539" s="35">
        <f>IFERROR(MATCH(D539,Catalogo!$C$4:$C$1299,0),0)</f>
        <v>0</v>
      </c>
      <c r="H539" s="35" t="e">
        <f>IF(F539&gt;0,F539,MATCH(D539,Catalogo!$D$4:$D$1299,0))</f>
        <v>#N/A</v>
      </c>
      <c r="J539" s="35" t="e">
        <f>INDEX(Catalogo!$C$4:$C$1499,H539)</f>
        <v>#N/A</v>
      </c>
    </row>
    <row r="540" spans="4:10" x14ac:dyDescent="0.25">
      <c r="D540" s="78">
        <v>208740017</v>
      </c>
      <c r="F540" s="35">
        <f>IFERROR(MATCH(D540,Catalogo!$C$4:$C$1299,0),0)</f>
        <v>0</v>
      </c>
      <c r="H540" s="35" t="e">
        <f>IF(F540&gt;0,F540,MATCH(D540,Catalogo!$D$4:$D$1299,0))</f>
        <v>#N/A</v>
      </c>
      <c r="J540" s="35" t="e">
        <f>INDEX(Catalogo!$C$4:$C$1499,H540)</f>
        <v>#N/A</v>
      </c>
    </row>
    <row r="541" spans="4:10" x14ac:dyDescent="0.25">
      <c r="D541" s="83">
        <v>402770478</v>
      </c>
      <c r="F541" s="35">
        <f>IFERROR(MATCH(D541,Catalogo!$C$4:$C$1299,0),0)</f>
        <v>0</v>
      </c>
      <c r="H541" s="35" t="e">
        <f>IF(F541&gt;0,F541,MATCH(D541,Catalogo!$D$4:$D$1299,0))</f>
        <v>#N/A</v>
      </c>
      <c r="J541" s="35" t="e">
        <f>INDEX(Catalogo!$C$4:$C$1499,H541)</f>
        <v>#N/A</v>
      </c>
    </row>
    <row r="542" spans="4:10" x14ac:dyDescent="0.25">
      <c r="D542" s="83">
        <v>402730846</v>
      </c>
      <c r="F542" s="35">
        <f>IFERROR(MATCH(D542,Catalogo!$C$4:$C$1299,0),0)</f>
        <v>0</v>
      </c>
      <c r="H542" s="35" t="e">
        <f>IF(F542&gt;0,F542,MATCH(D542,Catalogo!$D$4:$D$1299,0))</f>
        <v>#N/A</v>
      </c>
      <c r="J542" s="35" t="e">
        <f>INDEX(Catalogo!$C$4:$C$1499,H542)</f>
        <v>#N/A</v>
      </c>
    </row>
    <row r="543" spans="4:10" x14ac:dyDescent="0.25">
      <c r="D543" s="83">
        <v>208880536</v>
      </c>
      <c r="F543" s="35">
        <f>IFERROR(MATCH(D543,Catalogo!$C$4:$C$1299,0),0)</f>
        <v>0</v>
      </c>
      <c r="H543" s="35" t="e">
        <f>IF(F543&gt;0,F543,MATCH(D543,Catalogo!$D$4:$D$1299,0))</f>
        <v>#N/A</v>
      </c>
      <c r="J543" s="35" t="e">
        <f>INDEX(Catalogo!$C$4:$C$1499,H543)</f>
        <v>#N/A</v>
      </c>
    </row>
    <row r="544" spans="4:10" x14ac:dyDescent="0.25">
      <c r="D544" s="83">
        <v>119800443</v>
      </c>
      <c r="F544" s="35">
        <f>IFERROR(MATCH(D544,Catalogo!$C$4:$C$1299,0),0)</f>
        <v>0</v>
      </c>
      <c r="H544" s="35" t="e">
        <f>IF(F544&gt;0,F544,MATCH(D544,Catalogo!$D$4:$D$1299,0))</f>
        <v>#N/A</v>
      </c>
      <c r="J544" s="35" t="e">
        <f>INDEX(Catalogo!$C$4:$C$1499,H544)</f>
        <v>#N/A</v>
      </c>
    </row>
    <row r="545" spans="4:10" x14ac:dyDescent="0.25">
      <c r="D545" s="83">
        <v>208850855</v>
      </c>
      <c r="F545" s="35">
        <f>IFERROR(MATCH(D545,Catalogo!$C$4:$C$1299,0),0)</f>
        <v>0</v>
      </c>
      <c r="H545" s="35" t="e">
        <f>IF(F545&gt;0,F545,MATCH(D545,Catalogo!$D$4:$D$1299,0))</f>
        <v>#N/A</v>
      </c>
      <c r="J545" s="35" t="e">
        <f>INDEX(Catalogo!$C$4:$C$1499,H545)</f>
        <v>#N/A</v>
      </c>
    </row>
    <row r="546" spans="4:10" x14ac:dyDescent="0.25">
      <c r="D546" s="81">
        <v>402690458</v>
      </c>
      <c r="F546" s="35">
        <f>IFERROR(MATCH(D546,Catalogo!$C$4:$C$1299,0),0)</f>
        <v>0</v>
      </c>
      <c r="H546" s="35" t="e">
        <f>IF(F546&gt;0,F546,MATCH(D546,Catalogo!$D$4:$D$1299,0))</f>
        <v>#N/A</v>
      </c>
      <c r="J546" s="35" t="e">
        <f>INDEX(Catalogo!$C$4:$C$1499,H546)</f>
        <v>#N/A</v>
      </c>
    </row>
    <row r="547" spans="4:10" x14ac:dyDescent="0.25">
      <c r="D547" s="81">
        <v>120050018</v>
      </c>
      <c r="F547" s="35">
        <f>IFERROR(MATCH(D547,Catalogo!$C$4:$C$1299,0),0)</f>
        <v>0</v>
      </c>
      <c r="H547" s="35" t="e">
        <f>IF(F547&gt;0,F547,MATCH(D547,Catalogo!$D$4:$D$1299,0))</f>
        <v>#N/A</v>
      </c>
      <c r="J547" s="35" t="e">
        <f>INDEX(Catalogo!$C$4:$C$1499,H547)</f>
        <v>#N/A</v>
      </c>
    </row>
    <row r="548" spans="4:10" x14ac:dyDescent="0.25">
      <c r="D548" s="83">
        <v>402760847</v>
      </c>
      <c r="F548" s="35">
        <f>IFERROR(MATCH(D548,Catalogo!$C$4:$C$1299,0),0)</f>
        <v>0</v>
      </c>
      <c r="H548" s="35" t="e">
        <f>IF(F548&gt;0,F548,MATCH(D548,Catalogo!$D$4:$D$1299,0))</f>
        <v>#N/A</v>
      </c>
      <c r="J548" s="35" t="e">
        <f>INDEX(Catalogo!$C$4:$C$1499,H548)</f>
        <v>#N/A</v>
      </c>
    </row>
    <row r="549" spans="4:10" x14ac:dyDescent="0.25">
      <c r="D549" s="81">
        <v>208850388</v>
      </c>
      <c r="F549" s="35">
        <f>IFERROR(MATCH(D549,Catalogo!$C$4:$C$1299,0),0)</f>
        <v>0</v>
      </c>
      <c r="H549" s="35" t="e">
        <f>IF(F549&gt;0,F549,MATCH(D549,Catalogo!$D$4:$D$1299,0))</f>
        <v>#N/A</v>
      </c>
      <c r="J549" s="35" t="e">
        <f>INDEX(Catalogo!$C$4:$C$1499,H549)</f>
        <v>#N/A</v>
      </c>
    </row>
    <row r="550" spans="4:10" x14ac:dyDescent="0.25">
      <c r="D550" s="80">
        <v>208860962</v>
      </c>
      <c r="F550" s="35">
        <f>IFERROR(MATCH(D550,Catalogo!$C$4:$C$1299,0),0)</f>
        <v>0</v>
      </c>
      <c r="H550" s="35" t="e">
        <f>IF(F550&gt;0,F550,MATCH(D550,Catalogo!$D$4:$D$1299,0))</f>
        <v>#N/A</v>
      </c>
      <c r="J550" s="35" t="e">
        <f>INDEX(Catalogo!$C$4:$C$1499,H550)</f>
        <v>#N/A</v>
      </c>
    </row>
    <row r="551" spans="4:10" x14ac:dyDescent="0.25">
      <c r="D551" s="83">
        <v>208920817</v>
      </c>
      <c r="F551" s="35">
        <f>IFERROR(MATCH(D551,Catalogo!$C$4:$C$1299,0),0)</f>
        <v>0</v>
      </c>
      <c r="H551" s="35" t="e">
        <f>IF(F551&gt;0,F551,MATCH(D551,Catalogo!$D$4:$D$1299,0))</f>
        <v>#N/A</v>
      </c>
      <c r="J551" s="35" t="e">
        <f>INDEX(Catalogo!$C$4:$C$1499,H551)</f>
        <v>#N/A</v>
      </c>
    </row>
    <row r="552" spans="4:10" x14ac:dyDescent="0.25">
      <c r="D552" s="75">
        <v>119500543</v>
      </c>
      <c r="F552" s="35">
        <f>IFERROR(MATCH(D552,Catalogo!$C$4:$C$1299,0),0)</f>
        <v>0</v>
      </c>
      <c r="H552" s="35" t="e">
        <f>IF(F552&gt;0,F552,MATCH(D552,Catalogo!$D$4:$D$1299,0))</f>
        <v>#N/A</v>
      </c>
      <c r="J552" s="35" t="e">
        <f>INDEX(Catalogo!$C$4:$C$1499,H552)</f>
        <v>#N/A</v>
      </c>
    </row>
    <row r="553" spans="4:10" x14ac:dyDescent="0.25">
      <c r="D553" s="84">
        <v>208920934</v>
      </c>
      <c r="F553" s="35">
        <f>IFERROR(MATCH(D553,Catalogo!$C$4:$C$1299,0),0)</f>
        <v>0</v>
      </c>
      <c r="H553" s="35" t="e">
        <f>IF(F553&gt;0,F553,MATCH(D553,Catalogo!$D$4:$D$1299,0))</f>
        <v>#N/A</v>
      </c>
      <c r="J553" s="35" t="e">
        <f>INDEX(Catalogo!$C$4:$C$1499,H553)</f>
        <v>#N/A</v>
      </c>
    </row>
    <row r="554" spans="4:10" x14ac:dyDescent="0.25">
      <c r="D554" s="85">
        <v>208850410</v>
      </c>
      <c r="F554" s="35">
        <f>IFERROR(MATCH(D554,Catalogo!$C$4:$C$1299,0),0)</f>
        <v>0</v>
      </c>
      <c r="H554" s="35" t="e">
        <f>IF(F554&gt;0,F554,MATCH(D554,Catalogo!$D$4:$D$1299,0))</f>
        <v>#N/A</v>
      </c>
      <c r="J554" s="35" t="e">
        <f>INDEX(Catalogo!$C$4:$C$1499,H554)</f>
        <v>#N/A</v>
      </c>
    </row>
    <row r="555" spans="4:10" x14ac:dyDescent="0.25">
      <c r="D555" s="83">
        <v>402750704</v>
      </c>
      <c r="F555" s="35">
        <f>IFERROR(MATCH(D555,Catalogo!$C$4:$C$1299,0),0)</f>
        <v>0</v>
      </c>
      <c r="H555" s="35" t="e">
        <f>IF(F555&gt;0,F555,MATCH(D555,Catalogo!$D$4:$D$1299,0))</f>
        <v>#N/A</v>
      </c>
      <c r="J555" s="35" t="e">
        <f>INDEX(Catalogo!$C$4:$C$1499,H555)</f>
        <v>#N/A</v>
      </c>
    </row>
    <row r="556" spans="4:10" x14ac:dyDescent="0.25">
      <c r="D556" s="83">
        <v>901320388</v>
      </c>
      <c r="F556" s="35">
        <f>IFERROR(MATCH(D556,Catalogo!$C$4:$C$1299,0),0)</f>
        <v>0</v>
      </c>
      <c r="H556" s="35" t="e">
        <f>IF(F556&gt;0,F556,MATCH(D556,Catalogo!$D$4:$D$1299,0))</f>
        <v>#N/A</v>
      </c>
      <c r="J556" s="35" t="e">
        <f>INDEX(Catalogo!$C$4:$C$1499,H556)</f>
        <v>#N/A</v>
      </c>
    </row>
    <row r="557" spans="4:10" x14ac:dyDescent="0.25">
      <c r="D557" s="83">
        <v>119670097</v>
      </c>
      <c r="F557" s="35">
        <f>IFERROR(MATCH(D557,Catalogo!$C$4:$C$1299,0),0)</f>
        <v>0</v>
      </c>
      <c r="H557" s="35" t="e">
        <f>IF(F557&gt;0,F557,MATCH(D557,Catalogo!$D$4:$D$1299,0))</f>
        <v>#N/A</v>
      </c>
      <c r="J557" s="35" t="e">
        <f>INDEX(Catalogo!$C$4:$C$1499,H557)</f>
        <v>#N/A</v>
      </c>
    </row>
    <row r="558" spans="4:10" x14ac:dyDescent="0.25">
      <c r="D558" s="83">
        <v>208880041</v>
      </c>
      <c r="F558" s="35">
        <f>IFERROR(MATCH(D558,Catalogo!$C$4:$C$1299,0),0)</f>
        <v>0</v>
      </c>
      <c r="H558" s="35" t="e">
        <f>IF(F558&gt;0,F558,MATCH(D558,Catalogo!$D$4:$D$1299,0))</f>
        <v>#N/A</v>
      </c>
      <c r="J558" s="35" t="e">
        <f>INDEX(Catalogo!$C$4:$C$1499,H558)</f>
        <v>#N/A</v>
      </c>
    </row>
    <row r="559" spans="4:10" x14ac:dyDescent="0.25">
      <c r="D559" s="83">
        <v>119650413</v>
      </c>
      <c r="F559" s="35">
        <f>IFERROR(MATCH(D559,Catalogo!$C$4:$C$1299,0),0)</f>
        <v>0</v>
      </c>
      <c r="H559" s="35" t="e">
        <f>IF(F559&gt;0,F559,MATCH(D559,Catalogo!$D$4:$D$1299,0))</f>
        <v>#N/A</v>
      </c>
      <c r="J559" s="35" t="e">
        <f>INDEX(Catalogo!$C$4:$C$1499,H559)</f>
        <v>#N/A</v>
      </c>
    </row>
    <row r="560" spans="4:10" x14ac:dyDescent="0.25">
      <c r="D560" s="83">
        <v>208790354</v>
      </c>
      <c r="F560" s="35">
        <f>IFERROR(MATCH(D560,Catalogo!$C$4:$C$1299,0),0)</f>
        <v>0</v>
      </c>
      <c r="H560" s="35" t="e">
        <f>IF(F560&gt;0,F560,MATCH(D560,Catalogo!$D$4:$D$1299,0))</f>
        <v>#N/A</v>
      </c>
      <c r="J560" s="35" t="e">
        <f>INDEX(Catalogo!$C$4:$C$1499,H560)</f>
        <v>#N/A</v>
      </c>
    </row>
    <row r="561" spans="4:10" x14ac:dyDescent="0.25">
      <c r="D561" s="83">
        <v>208860257</v>
      </c>
      <c r="F561" s="35">
        <f>IFERROR(MATCH(D561,Catalogo!$C$4:$C$1299,0),0)</f>
        <v>0</v>
      </c>
      <c r="H561" s="35" t="e">
        <f>IF(F561&gt;0,F561,MATCH(D561,Catalogo!$D$4:$D$1299,0))</f>
        <v>#N/A</v>
      </c>
      <c r="J561" s="35" t="e">
        <f>INDEX(Catalogo!$C$4:$C$1499,H561)</f>
        <v>#N/A</v>
      </c>
    </row>
    <row r="562" spans="4:10" x14ac:dyDescent="0.25">
      <c r="D562" s="83">
        <v>305660322</v>
      </c>
      <c r="F562" s="35">
        <f>IFERROR(MATCH(D562,Catalogo!$C$4:$C$1299,0),0)</f>
        <v>0</v>
      </c>
      <c r="H562" s="35" t="e">
        <f>IF(F562&gt;0,F562,MATCH(D562,Catalogo!$D$4:$D$1299,0))</f>
        <v>#N/A</v>
      </c>
      <c r="J562" s="35" t="e">
        <f>INDEX(Catalogo!$C$4:$C$1499,H562)</f>
        <v>#N/A</v>
      </c>
    </row>
    <row r="563" spans="4:10" x14ac:dyDescent="0.25">
      <c r="D563" s="83">
        <v>208950408</v>
      </c>
      <c r="F563" s="35">
        <f>IFERROR(MATCH(D563,Catalogo!$C$4:$C$1299,0),0)</f>
        <v>0</v>
      </c>
      <c r="H563" s="35" t="e">
        <f>IF(F563&gt;0,F563,MATCH(D563,Catalogo!$D$4:$D$1299,0))</f>
        <v>#N/A</v>
      </c>
      <c r="J563" s="35" t="e">
        <f>INDEX(Catalogo!$C$4:$C$1499,H563)</f>
        <v>#N/A</v>
      </c>
    </row>
    <row r="564" spans="4:10" x14ac:dyDescent="0.25">
      <c r="D564" s="83">
        <v>208860822</v>
      </c>
      <c r="F564" s="35">
        <f>IFERROR(MATCH(D564,Catalogo!$C$4:$C$1299,0),0)</f>
        <v>0</v>
      </c>
      <c r="H564" s="35" t="e">
        <f>IF(F564&gt;0,F564,MATCH(D564,Catalogo!$D$4:$D$1299,0))</f>
        <v>#N/A</v>
      </c>
      <c r="J564" s="35" t="e">
        <f>INDEX(Catalogo!$C$4:$C$1499,H564)</f>
        <v>#N/A</v>
      </c>
    </row>
    <row r="565" spans="4:10" x14ac:dyDescent="0.25">
      <c r="D565" s="83">
        <v>208960466</v>
      </c>
      <c r="F565" s="35">
        <f>IFERROR(MATCH(D565,Catalogo!$C$4:$C$1299,0),0)</f>
        <v>0</v>
      </c>
      <c r="H565" s="35" t="e">
        <f>IF(F565&gt;0,F565,MATCH(D565,Catalogo!$D$4:$D$1299,0))</f>
        <v>#N/A</v>
      </c>
      <c r="J565" s="35" t="e">
        <f>INDEX(Catalogo!$C$4:$C$1499,H565)</f>
        <v>#N/A</v>
      </c>
    </row>
    <row r="566" spans="4:10" x14ac:dyDescent="0.25">
      <c r="D566" s="83">
        <v>208880462</v>
      </c>
      <c r="F566" s="35">
        <f>IFERROR(MATCH(D566,Catalogo!$C$4:$C$1299,0),0)</f>
        <v>0</v>
      </c>
      <c r="H566" s="35" t="e">
        <f>IF(F566&gt;0,F566,MATCH(D566,Catalogo!$D$4:$D$1299,0))</f>
        <v>#N/A</v>
      </c>
      <c r="J566" s="35" t="e">
        <f>INDEX(Catalogo!$C$4:$C$1499,H566)</f>
        <v>#N/A</v>
      </c>
    </row>
    <row r="567" spans="4:10" x14ac:dyDescent="0.25">
      <c r="D567" s="83">
        <v>208850726</v>
      </c>
      <c r="F567" s="35">
        <f>IFERROR(MATCH(D567,Catalogo!$C$4:$C$1299,0),0)</f>
        <v>0</v>
      </c>
      <c r="H567" s="35" t="e">
        <f>IF(F567&gt;0,F567,MATCH(D567,Catalogo!$D$4:$D$1299,0))</f>
        <v>#N/A</v>
      </c>
      <c r="J567" s="35" t="e">
        <f>INDEX(Catalogo!$C$4:$C$1499,H567)</f>
        <v>#N/A</v>
      </c>
    </row>
    <row r="568" spans="4:10" x14ac:dyDescent="0.25">
      <c r="D568" s="83">
        <v>119910491</v>
      </c>
      <c r="F568" s="35">
        <f>IFERROR(MATCH(D568,Catalogo!$C$4:$C$1299,0),0)</f>
        <v>0</v>
      </c>
      <c r="H568" s="35" t="e">
        <f>IF(F568&gt;0,F568,MATCH(D568,Catalogo!$D$4:$D$1299,0))</f>
        <v>#N/A</v>
      </c>
      <c r="J568" s="35" t="e">
        <f>INDEX(Catalogo!$C$4:$C$1499,H568)</f>
        <v>#N/A</v>
      </c>
    </row>
    <row r="569" spans="4:10" x14ac:dyDescent="0.25">
      <c r="D569" s="83">
        <v>208890048</v>
      </c>
      <c r="F569" s="35">
        <f>IFERROR(MATCH(D569,Catalogo!$C$4:$C$1299,0),0)</f>
        <v>0</v>
      </c>
      <c r="H569" s="35" t="e">
        <f>IF(F569&gt;0,F569,MATCH(D569,Catalogo!$D$4:$D$1299,0))</f>
        <v>#N/A</v>
      </c>
      <c r="J569" s="35" t="e">
        <f>INDEX(Catalogo!$C$4:$C$1499,H569)</f>
        <v>#N/A</v>
      </c>
    </row>
    <row r="570" spans="4:10" x14ac:dyDescent="0.25">
      <c r="D570" s="83">
        <v>120040870</v>
      </c>
      <c r="F570" s="35">
        <f>IFERROR(MATCH(D570,Catalogo!$C$4:$C$1299,0),0)</f>
        <v>0</v>
      </c>
      <c r="H570" s="35" t="e">
        <f>IF(F570&gt;0,F570,MATCH(D570,Catalogo!$D$4:$D$1299,0))</f>
        <v>#N/A</v>
      </c>
      <c r="J570" s="35" t="e">
        <f>INDEX(Catalogo!$C$4:$C$1499,H570)</f>
        <v>#N/A</v>
      </c>
    </row>
    <row r="571" spans="4:10" x14ac:dyDescent="0.25">
      <c r="D571" s="75">
        <v>208900352</v>
      </c>
      <c r="F571" s="35">
        <f>IFERROR(MATCH(D571,Catalogo!$C$4:$C$1299,0),0)</f>
        <v>0</v>
      </c>
      <c r="H571" s="35" t="e">
        <f>IF(F571&gt;0,F571,MATCH(D571,Catalogo!$D$4:$D$1299,0))</f>
        <v>#N/A</v>
      </c>
      <c r="J571" s="35" t="e">
        <f>INDEX(Catalogo!$C$4:$C$1499,H571)</f>
        <v>#N/A</v>
      </c>
    </row>
    <row r="572" spans="4:10" x14ac:dyDescent="0.25">
      <c r="D572" s="75">
        <v>208810385</v>
      </c>
      <c r="F572" s="35">
        <f>IFERROR(MATCH(D572,Catalogo!$C$4:$C$1299,0),0)</f>
        <v>0</v>
      </c>
      <c r="H572" s="35" t="e">
        <f>IF(F572&gt;0,F572,MATCH(D572,Catalogo!$D$4:$D$1299,0))</f>
        <v>#N/A</v>
      </c>
      <c r="J572" s="35" t="e">
        <f>INDEX(Catalogo!$C$4:$C$1499,H572)</f>
        <v>#N/A</v>
      </c>
    </row>
    <row r="573" spans="4:10" x14ac:dyDescent="0.25">
      <c r="D573" s="78">
        <v>402760796</v>
      </c>
      <c r="F573" s="35">
        <f>IFERROR(MATCH(D573,Catalogo!$C$4:$C$1299,0),0)</f>
        <v>0</v>
      </c>
      <c r="H573" s="35" t="e">
        <f>IF(F573&gt;0,F573,MATCH(D573,Catalogo!$D$4:$D$1299,0))</f>
        <v>#N/A</v>
      </c>
      <c r="J573" s="35" t="e">
        <f>INDEX(Catalogo!$C$4:$C$1499,H573)</f>
        <v>#N/A</v>
      </c>
    </row>
    <row r="574" spans="4:10" x14ac:dyDescent="0.25">
      <c r="D574" s="78">
        <v>605070456</v>
      </c>
      <c r="F574" s="35">
        <f>IFERROR(MATCH(D574,Catalogo!$C$4:$C$1299,0),0)</f>
        <v>0</v>
      </c>
      <c r="H574" s="35" t="e">
        <f>IF(F574&gt;0,F574,MATCH(D574,Catalogo!$D$4:$D$1299,0))</f>
        <v>#N/A</v>
      </c>
      <c r="J574" s="35" t="e">
        <f>INDEX(Catalogo!$C$4:$C$1499,H574)</f>
        <v>#N/A</v>
      </c>
    </row>
    <row r="575" spans="4:10" x14ac:dyDescent="0.25">
      <c r="D575" s="78">
        <v>208920118</v>
      </c>
      <c r="F575" s="35">
        <f>IFERROR(MATCH(D575,Catalogo!$C$4:$C$1299,0),0)</f>
        <v>0</v>
      </c>
      <c r="H575" s="35" t="e">
        <f>IF(F575&gt;0,F575,MATCH(D575,Catalogo!$D$4:$D$1299,0))</f>
        <v>#N/A</v>
      </c>
      <c r="J575" s="35" t="e">
        <f>INDEX(Catalogo!$C$4:$C$1499,H575)</f>
        <v>#N/A</v>
      </c>
    </row>
    <row r="576" spans="4:10" x14ac:dyDescent="0.25">
      <c r="D576" s="78">
        <v>208840268</v>
      </c>
      <c r="F576" s="35">
        <f>IFERROR(MATCH(D576,Catalogo!$C$4:$C$1299,0),0)</f>
        <v>0</v>
      </c>
      <c r="H576" s="35" t="e">
        <f>IF(F576&gt;0,F576,MATCH(D576,Catalogo!$D$4:$D$1299,0))</f>
        <v>#N/A</v>
      </c>
      <c r="J576" s="35" t="e">
        <f>INDEX(Catalogo!$C$4:$C$1499,H576)</f>
        <v>#N/A</v>
      </c>
    </row>
    <row r="577" spans="4:10" x14ac:dyDescent="0.25">
      <c r="D577" s="78">
        <v>402750899</v>
      </c>
      <c r="F577" s="35">
        <f>IFERROR(MATCH(D577,Catalogo!$C$4:$C$1299,0),0)</f>
        <v>0</v>
      </c>
      <c r="H577" s="35" t="e">
        <f>IF(F577&gt;0,F577,MATCH(D577,Catalogo!$D$4:$D$1299,0))</f>
        <v>#N/A</v>
      </c>
      <c r="J577" s="35" t="e">
        <f>INDEX(Catalogo!$C$4:$C$1499,H577)</f>
        <v>#N/A</v>
      </c>
    </row>
    <row r="578" spans="4:10" x14ac:dyDescent="0.25">
      <c r="D578" s="78">
        <v>208910222</v>
      </c>
      <c r="F578" s="35">
        <f>IFERROR(MATCH(D578,Catalogo!$C$4:$C$1299,0),0)</f>
        <v>0</v>
      </c>
      <c r="H578" s="35" t="e">
        <f>IF(F578&gt;0,F578,MATCH(D578,Catalogo!$D$4:$D$1299,0))</f>
        <v>#N/A</v>
      </c>
      <c r="J578" s="35" t="e">
        <f>INDEX(Catalogo!$C$4:$C$1499,H578)</f>
        <v>#N/A</v>
      </c>
    </row>
    <row r="579" spans="4:10" x14ac:dyDescent="0.25">
      <c r="D579" s="83">
        <v>119840186</v>
      </c>
      <c r="F579" s="35">
        <f>IFERROR(MATCH(D579,Catalogo!$C$4:$C$1299,0),0)</f>
        <v>0</v>
      </c>
      <c r="H579" s="35" t="e">
        <f>IF(F579&gt;0,F579,MATCH(D579,Catalogo!$D$4:$D$1299,0))</f>
        <v>#N/A</v>
      </c>
      <c r="J579" s="35" t="e">
        <f>INDEX(Catalogo!$C$4:$C$1499,H579)</f>
        <v>#N/A</v>
      </c>
    </row>
    <row r="580" spans="4:10" x14ac:dyDescent="0.25">
      <c r="D580" s="83">
        <v>208940312</v>
      </c>
      <c r="F580" s="35">
        <f>IFERROR(MATCH(D580,Catalogo!$C$4:$C$1299,0),0)</f>
        <v>0</v>
      </c>
      <c r="H580" s="35" t="e">
        <f>IF(F580&gt;0,F580,MATCH(D580,Catalogo!$D$4:$D$1299,0))</f>
        <v>#N/A</v>
      </c>
      <c r="J580" s="35" t="e">
        <f>INDEX(Catalogo!$C$4:$C$1499,H580)</f>
        <v>#N/A</v>
      </c>
    </row>
    <row r="581" spans="4:10" x14ac:dyDescent="0.25">
      <c r="D581" s="83">
        <v>208750806</v>
      </c>
      <c r="F581" s="35">
        <f>IFERROR(MATCH(D581,Catalogo!$C$4:$C$1299,0),0)</f>
        <v>0</v>
      </c>
      <c r="H581" s="35" t="e">
        <f>IF(F581&gt;0,F581,MATCH(D581,Catalogo!$D$4:$D$1299,0))</f>
        <v>#N/A</v>
      </c>
      <c r="J581" s="35" t="e">
        <f>INDEX(Catalogo!$C$4:$C$1499,H581)</f>
        <v>#N/A</v>
      </c>
    </row>
    <row r="582" spans="4:10" x14ac:dyDescent="0.25">
      <c r="D582" s="75">
        <v>402760803</v>
      </c>
      <c r="F582" s="35">
        <f>IFERROR(MATCH(D582,Catalogo!$C$4:$C$1299,0),0)</f>
        <v>0</v>
      </c>
      <c r="H582" s="35" t="e">
        <f>IF(F582&gt;0,F582,MATCH(D582,Catalogo!$D$4:$D$1299,0))</f>
        <v>#N/A</v>
      </c>
      <c r="J582" s="35" t="e">
        <f>INDEX(Catalogo!$C$4:$C$1499,H582)</f>
        <v>#N/A</v>
      </c>
    </row>
    <row r="583" spans="4:10" x14ac:dyDescent="0.25">
      <c r="D583" s="78">
        <v>402740442</v>
      </c>
      <c r="F583" s="35">
        <f>IFERROR(MATCH(D583,Catalogo!$C$4:$C$1299,0),0)</f>
        <v>0</v>
      </c>
      <c r="H583" s="35" t="e">
        <f>IF(F583&gt;0,F583,MATCH(D583,Catalogo!$D$4:$D$1299,0))</f>
        <v>#N/A</v>
      </c>
      <c r="J583" s="35" t="e">
        <f>INDEX(Catalogo!$C$4:$C$1499,H583)</f>
        <v>#N/A</v>
      </c>
    </row>
    <row r="584" spans="4:10" x14ac:dyDescent="0.25">
      <c r="D584" s="78">
        <v>120000081</v>
      </c>
      <c r="F584" s="35">
        <f>IFERROR(MATCH(D584,Catalogo!$C$4:$C$1299,0),0)</f>
        <v>0</v>
      </c>
      <c r="H584" s="35" t="e">
        <f>IF(F584&gt;0,F584,MATCH(D584,Catalogo!$D$4:$D$1299,0))</f>
        <v>#N/A</v>
      </c>
      <c r="J584" s="35" t="e">
        <f>INDEX(Catalogo!$C$4:$C$1499,H584)</f>
        <v>#N/A</v>
      </c>
    </row>
    <row r="585" spans="4:10" x14ac:dyDescent="0.25">
      <c r="D585" s="83">
        <v>208940809</v>
      </c>
      <c r="F585" s="35">
        <f>IFERROR(MATCH(D585,Catalogo!$C$4:$C$1299,0),0)</f>
        <v>0</v>
      </c>
      <c r="H585" s="35" t="e">
        <f>IF(F585&gt;0,F585,MATCH(D585,Catalogo!$D$4:$D$1299,0))</f>
        <v>#N/A</v>
      </c>
      <c r="J585" s="35" t="e">
        <f>INDEX(Catalogo!$C$4:$C$1499,H585)</f>
        <v>#N/A</v>
      </c>
    </row>
    <row r="586" spans="4:10" x14ac:dyDescent="0.25">
      <c r="D586" s="83">
        <v>120060390</v>
      </c>
      <c r="F586" s="35">
        <f>IFERROR(MATCH(D586,Catalogo!$C$4:$C$1299,0),0)</f>
        <v>0</v>
      </c>
      <c r="H586" s="35" t="e">
        <f>IF(F586&gt;0,F586,MATCH(D586,Catalogo!$D$4:$D$1299,0))</f>
        <v>#N/A</v>
      </c>
      <c r="J586" s="35" t="e">
        <f>INDEX(Catalogo!$C$4:$C$1499,H586)</f>
        <v>#N/A</v>
      </c>
    </row>
    <row r="587" spans="4:10" x14ac:dyDescent="0.25">
      <c r="D587" s="83">
        <v>208910334</v>
      </c>
      <c r="F587" s="35">
        <f>IFERROR(MATCH(D587,Catalogo!$C$4:$C$1299,0),0)</f>
        <v>0</v>
      </c>
      <c r="H587" s="35" t="e">
        <f>IF(F587&gt;0,F587,MATCH(D587,Catalogo!$D$4:$D$1299,0))</f>
        <v>#N/A</v>
      </c>
      <c r="J587" s="35" t="e">
        <f>INDEX(Catalogo!$C$4:$C$1499,H587)</f>
        <v>#N/A</v>
      </c>
    </row>
    <row r="588" spans="4:10" x14ac:dyDescent="0.25">
      <c r="D588" s="83">
        <v>120080999</v>
      </c>
      <c r="F588" s="35">
        <f>IFERROR(MATCH(D588,Catalogo!$C$4:$C$1299,0),0)</f>
        <v>0</v>
      </c>
      <c r="H588" s="35" t="e">
        <f>IF(F588&gt;0,F588,MATCH(D588,Catalogo!$D$4:$D$1299,0))</f>
        <v>#N/A</v>
      </c>
      <c r="J588" s="35" t="e">
        <f>INDEX(Catalogo!$C$4:$C$1499,H588)</f>
        <v>#N/A</v>
      </c>
    </row>
    <row r="589" spans="4:10" x14ac:dyDescent="0.25">
      <c r="D589" s="83">
        <v>402740121</v>
      </c>
      <c r="F589" s="35">
        <f>IFERROR(MATCH(D589,Catalogo!$C$4:$C$1299,0),0)</f>
        <v>0</v>
      </c>
      <c r="H589" s="35" t="e">
        <f>IF(F589&gt;0,F589,MATCH(D589,Catalogo!$D$4:$D$1299,0))</f>
        <v>#N/A</v>
      </c>
      <c r="J589" s="35" t="e">
        <f>INDEX(Catalogo!$C$4:$C$1499,H589)</f>
        <v>#N/A</v>
      </c>
    </row>
    <row r="590" spans="4:10" x14ac:dyDescent="0.25">
      <c r="D590" s="83">
        <v>208880598</v>
      </c>
      <c r="F590" s="35">
        <f>IFERROR(MATCH(D590,Catalogo!$C$4:$C$1299,0),0)</f>
        <v>0</v>
      </c>
      <c r="H590" s="35" t="e">
        <f>IF(F590&gt;0,F590,MATCH(D590,Catalogo!$D$4:$D$1299,0))</f>
        <v>#N/A</v>
      </c>
      <c r="J590" s="35" t="e">
        <f>INDEX(Catalogo!$C$4:$C$1499,H590)</f>
        <v>#N/A</v>
      </c>
    </row>
    <row r="591" spans="4:10" x14ac:dyDescent="0.25">
      <c r="D591" s="83">
        <v>402760999</v>
      </c>
      <c r="F591" s="35">
        <f>IFERROR(MATCH(D591,Catalogo!$C$4:$C$1299,0),0)</f>
        <v>0</v>
      </c>
      <c r="H591" s="35" t="e">
        <f>IF(F591&gt;0,F591,MATCH(D591,Catalogo!$D$4:$D$1299,0))</f>
        <v>#N/A</v>
      </c>
      <c r="J591" s="35" t="e">
        <f>INDEX(Catalogo!$C$4:$C$1499,H591)</f>
        <v>#N/A</v>
      </c>
    </row>
    <row r="592" spans="4:10" x14ac:dyDescent="0.25">
      <c r="D592" s="90" t="s">
        <v>1032</v>
      </c>
      <c r="F592" s="35">
        <f>IFERROR(MATCH(D592,Catalogo!$C$4:$C$1299,0),0)</f>
        <v>0</v>
      </c>
      <c r="H592" s="35" t="e">
        <f>IF(F592&gt;0,F592,MATCH(D592,Catalogo!$D$4:$D$1299,0))</f>
        <v>#N/A</v>
      </c>
      <c r="J592" s="35" t="e">
        <f>INDEX(Catalogo!$C$4:$C$1499,H592)</f>
        <v>#N/A</v>
      </c>
    </row>
    <row r="593" spans="4:10" x14ac:dyDescent="0.25">
      <c r="D593" s="83">
        <v>504730674</v>
      </c>
      <c r="F593" s="35">
        <f>IFERROR(MATCH(D593,Catalogo!$C$4:$C$1299,0),0)</f>
        <v>0</v>
      </c>
      <c r="H593" s="35" t="e">
        <f>IF(F593&gt;0,F593,MATCH(D593,Catalogo!$D$4:$D$1299,0))</f>
        <v>#N/A</v>
      </c>
      <c r="J593" s="35" t="e">
        <f>INDEX(Catalogo!$C$4:$C$1499,H593)</f>
        <v>#N/A</v>
      </c>
    </row>
    <row r="594" spans="4:10" x14ac:dyDescent="0.25">
      <c r="D594" s="83">
        <v>208960024</v>
      </c>
      <c r="F594" s="35">
        <f>IFERROR(MATCH(D594,Catalogo!$C$4:$C$1299,0),0)</f>
        <v>0</v>
      </c>
      <c r="H594" s="35" t="e">
        <f>IF(F594&gt;0,F594,MATCH(D594,Catalogo!$D$4:$D$1299,0))</f>
        <v>#N/A</v>
      </c>
      <c r="J594" s="35" t="e">
        <f>INDEX(Catalogo!$C$4:$C$1499,H594)</f>
        <v>#N/A</v>
      </c>
    </row>
    <row r="595" spans="4:10" x14ac:dyDescent="0.25">
      <c r="D595" s="83">
        <v>208860688</v>
      </c>
      <c r="F595" s="35">
        <f>IFERROR(MATCH(D595,Catalogo!$C$4:$C$1299,0),0)</f>
        <v>0</v>
      </c>
      <c r="H595" s="35" t="e">
        <f>IF(F595&gt;0,F595,MATCH(D595,Catalogo!$D$4:$D$1299,0))</f>
        <v>#N/A</v>
      </c>
      <c r="J595" s="35" t="e">
        <f>INDEX(Catalogo!$C$4:$C$1499,H595)</f>
        <v>#N/A</v>
      </c>
    </row>
    <row r="596" spans="4:10" x14ac:dyDescent="0.25">
      <c r="D596" s="83">
        <v>402740758</v>
      </c>
      <c r="F596" s="35">
        <f>IFERROR(MATCH(D596,Catalogo!$C$4:$C$1299,0),0)</f>
        <v>0</v>
      </c>
      <c r="H596" s="35" t="e">
        <f>IF(F596&gt;0,F596,MATCH(D596,Catalogo!$D$4:$D$1299,0))</f>
        <v>#N/A</v>
      </c>
      <c r="J596" s="35" t="e">
        <f>INDEX(Catalogo!$C$4:$C$1499,H596)</f>
        <v>#N/A</v>
      </c>
    </row>
    <row r="597" spans="4:10" x14ac:dyDescent="0.25">
      <c r="D597" s="83">
        <v>208850100</v>
      </c>
      <c r="F597" s="35">
        <f>IFERROR(MATCH(D597,Catalogo!$C$4:$C$1299,0),0)</f>
        <v>0</v>
      </c>
      <c r="H597" s="35" t="e">
        <f>IF(F597&gt;0,F597,MATCH(D597,Catalogo!$D$4:$D$1299,0))</f>
        <v>#N/A</v>
      </c>
      <c r="J597" s="35" t="e">
        <f>INDEX(Catalogo!$C$4:$C$1499,H597)</f>
        <v>#N/A</v>
      </c>
    </row>
    <row r="598" spans="4:10" x14ac:dyDescent="0.25">
      <c r="D598" s="83">
        <v>703320110</v>
      </c>
      <c r="F598" s="35">
        <f>IFERROR(MATCH(D598,Catalogo!$C$4:$C$1299,0),0)</f>
        <v>0</v>
      </c>
      <c r="H598" s="35" t="e">
        <f>IF(F598&gt;0,F598,MATCH(D598,Catalogo!$D$4:$D$1299,0))</f>
        <v>#N/A</v>
      </c>
      <c r="J598" s="35" t="e">
        <f>INDEX(Catalogo!$C$4:$C$1499,H598)</f>
        <v>#N/A</v>
      </c>
    </row>
    <row r="599" spans="4:10" x14ac:dyDescent="0.25">
      <c r="D599" s="83">
        <v>605030771</v>
      </c>
      <c r="F599" s="35">
        <f>IFERROR(MATCH(D599,Catalogo!$C$4:$C$1299,0),0)</f>
        <v>0</v>
      </c>
      <c r="H599" s="35" t="e">
        <f>IF(F599&gt;0,F599,MATCH(D599,Catalogo!$D$4:$D$1299,0))</f>
        <v>#N/A</v>
      </c>
      <c r="J599" s="35" t="e">
        <f>INDEX(Catalogo!$C$4:$C$1499,H599)</f>
        <v>#N/A</v>
      </c>
    </row>
    <row r="600" spans="4:10" x14ac:dyDescent="0.25">
      <c r="D600" s="83">
        <v>305750281</v>
      </c>
      <c r="F600" s="35">
        <f>IFERROR(MATCH(D600,Catalogo!$C$4:$C$1299,0),0)</f>
        <v>0</v>
      </c>
      <c r="H600" s="35" t="e">
        <f>IF(F600&gt;0,F600,MATCH(D600,Catalogo!$D$4:$D$1299,0))</f>
        <v>#N/A</v>
      </c>
      <c r="J600" s="35" t="e">
        <f>INDEX(Catalogo!$C$4:$C$1499,H600)</f>
        <v>#N/A</v>
      </c>
    </row>
    <row r="601" spans="4:10" x14ac:dyDescent="0.25">
      <c r="D601" s="83">
        <v>402760672</v>
      </c>
      <c r="F601" s="35">
        <f>IFERROR(MATCH(D601,Catalogo!$C$4:$C$1299,0),0)</f>
        <v>0</v>
      </c>
      <c r="H601" s="35" t="e">
        <f>IF(F601&gt;0,F601,MATCH(D601,Catalogo!$D$4:$D$1299,0))</f>
        <v>#N/A</v>
      </c>
      <c r="J601" s="35" t="e">
        <f>INDEX(Catalogo!$C$4:$C$1499,H601)</f>
        <v>#N/A</v>
      </c>
    </row>
    <row r="602" spans="4:10" x14ac:dyDescent="0.25">
      <c r="D602" s="83">
        <v>208940194</v>
      </c>
      <c r="F602" s="35">
        <f>IFERROR(MATCH(D602,Catalogo!$C$4:$C$1299,0),0)</f>
        <v>0</v>
      </c>
      <c r="H602" s="35" t="e">
        <f>IF(F602&gt;0,F602,MATCH(D602,Catalogo!$D$4:$D$1299,0))</f>
        <v>#N/A</v>
      </c>
      <c r="J602" s="35" t="e">
        <f>INDEX(Catalogo!$C$4:$C$1499,H602)</f>
        <v>#N/A</v>
      </c>
    </row>
    <row r="603" spans="4:10" x14ac:dyDescent="0.25">
      <c r="D603" s="83">
        <v>208890940</v>
      </c>
      <c r="F603" s="35">
        <f>IFERROR(MATCH(D603,Catalogo!$C$4:$C$1299,0),0)</f>
        <v>0</v>
      </c>
      <c r="H603" s="35" t="e">
        <f>IF(F603&gt;0,F603,MATCH(D603,Catalogo!$D$4:$D$1299,0))</f>
        <v>#N/A</v>
      </c>
      <c r="J603" s="35" t="e">
        <f>INDEX(Catalogo!$C$4:$C$1499,H603)</f>
        <v>#N/A</v>
      </c>
    </row>
    <row r="604" spans="4:10" x14ac:dyDescent="0.25">
      <c r="D604" s="83">
        <v>119960039</v>
      </c>
      <c r="F604" s="35">
        <f>IFERROR(MATCH(D604,Catalogo!$C$4:$C$1299,0),0)</f>
        <v>0</v>
      </c>
      <c r="H604" s="35" t="e">
        <f>IF(F604&gt;0,F604,MATCH(D604,Catalogo!$D$4:$D$1299,0))</f>
        <v>#N/A</v>
      </c>
      <c r="J604" s="35" t="e">
        <f>INDEX(Catalogo!$C$4:$C$1499,H604)</f>
        <v>#N/A</v>
      </c>
    </row>
    <row r="605" spans="4:10" x14ac:dyDescent="0.25">
      <c r="D605" s="83">
        <v>208900891</v>
      </c>
      <c r="F605" s="35">
        <f>IFERROR(MATCH(D605,Catalogo!$C$4:$C$1299,0),0)</f>
        <v>0</v>
      </c>
      <c r="H605" s="35" t="e">
        <f>IF(F605&gt;0,F605,MATCH(D605,Catalogo!$D$4:$D$1299,0))</f>
        <v>#N/A</v>
      </c>
      <c r="J605" s="35" t="e">
        <f>INDEX(Catalogo!$C$4:$C$1499,H605)</f>
        <v>#N/A</v>
      </c>
    </row>
    <row r="606" spans="4:10" x14ac:dyDescent="0.25">
      <c r="D606" s="83">
        <v>208510608</v>
      </c>
      <c r="F606" s="35">
        <f>IFERROR(MATCH(D606,Catalogo!$C$4:$C$1299,0),0)</f>
        <v>0</v>
      </c>
      <c r="H606" s="35" t="e">
        <f>IF(F606&gt;0,F606,MATCH(D606,Catalogo!$D$4:$D$1299,0))</f>
        <v>#N/A</v>
      </c>
      <c r="J606" s="35" t="e">
        <f>INDEX(Catalogo!$C$4:$C$1499,H606)</f>
        <v>#N/A</v>
      </c>
    </row>
    <row r="607" spans="4:10" x14ac:dyDescent="0.25">
      <c r="D607" s="75">
        <v>120030808</v>
      </c>
      <c r="F607" s="35">
        <f>IFERROR(MATCH(D607,Catalogo!$C$4:$C$1299,0),0)</f>
        <v>0</v>
      </c>
      <c r="H607" s="35" t="e">
        <f>IF(F607&gt;0,F607,MATCH(D607,Catalogo!$D$4:$D$1299,0))</f>
        <v>#N/A</v>
      </c>
      <c r="J607" s="35" t="e">
        <f>INDEX(Catalogo!$C$4:$C$1499,H607)</f>
        <v>#N/A</v>
      </c>
    </row>
    <row r="608" spans="4:10" x14ac:dyDescent="0.25">
      <c r="D608" s="82">
        <v>120080304</v>
      </c>
      <c r="F608" s="35">
        <f>IFERROR(MATCH(D608,Catalogo!$C$4:$C$1299,0),0)</f>
        <v>0</v>
      </c>
      <c r="H608" s="35" t="e">
        <f>IF(F608&gt;0,F608,MATCH(D608,Catalogo!$D$4:$D$1299,0))</f>
        <v>#N/A</v>
      </c>
      <c r="J608" s="35" t="e">
        <f>INDEX(Catalogo!$C$4:$C$1499,H608)</f>
        <v>#N/A</v>
      </c>
    </row>
  </sheetData>
  <conditionalFormatting sqref="D9">
    <cfRule type="expression" dxfId="30" priority="21">
      <formula>#REF!=1</formula>
    </cfRule>
  </conditionalFormatting>
  <conditionalFormatting sqref="D10:D18">
    <cfRule type="expression" dxfId="29" priority="20">
      <formula>$G10=1</formula>
    </cfRule>
  </conditionalFormatting>
  <conditionalFormatting sqref="D20:D27">
    <cfRule type="expression" dxfId="28" priority="19">
      <formula>$G20=1</formula>
    </cfRule>
  </conditionalFormatting>
  <conditionalFormatting sqref="D84">
    <cfRule type="expression" dxfId="27" priority="18">
      <formula>$G84=1</formula>
    </cfRule>
  </conditionalFormatting>
  <conditionalFormatting sqref="D385:D386">
    <cfRule type="expression" dxfId="26" priority="5">
      <formula>$G385=1</formula>
    </cfRule>
  </conditionalFormatting>
  <conditionalFormatting sqref="D450:D453">
    <cfRule type="expression" dxfId="25" priority="16">
      <formula>$H450=1</formula>
    </cfRule>
  </conditionalFormatting>
  <conditionalFormatting sqref="D451:D452">
    <cfRule type="expression" dxfId="24" priority="15">
      <formula>$H452=1</formula>
    </cfRule>
  </conditionalFormatting>
  <conditionalFormatting sqref="D453">
    <cfRule type="expression" dxfId="23" priority="17">
      <formula>#REF!=1</formula>
    </cfRule>
  </conditionalFormatting>
  <conditionalFormatting sqref="D517">
    <cfRule type="expression" dxfId="22" priority="2">
      <formula>$G517=1</formula>
    </cfRule>
  </conditionalFormatting>
  <conditionalFormatting sqref="D533:D537">
    <cfRule type="expression" dxfId="21" priority="1">
      <formula>$G533=1</formula>
    </cfRule>
  </conditionalFormatting>
  <conditionalFormatting sqref="D549">
    <cfRule type="expression" dxfId="20" priority="13">
      <formula>$F549=1</formula>
    </cfRule>
  </conditionalFormatting>
  <conditionalFormatting sqref="D597:D598">
    <cfRule type="expression" dxfId="19" priority="6">
      <formula>#REF!=1</formula>
    </cfRule>
  </conditionalFormatting>
  <conditionalFormatting sqref="D546 D550:D551 D567:D568">
    <cfRule type="expression" dxfId="18" priority="12">
      <formula>$F547=1</formula>
    </cfRule>
  </conditionalFormatting>
  <conditionalFormatting sqref="D547:D551">
    <cfRule type="expression" dxfId="17" priority="14">
      <formula>#REF!=1</formula>
    </cfRule>
  </conditionalFormatting>
  <conditionalFormatting sqref="D560 D567:D569">
    <cfRule type="expression" dxfId="16" priority="11">
      <formula>#REF!=1</formula>
    </cfRule>
  </conditionalFormatting>
  <conditionalFormatting sqref="D562:D566">
    <cfRule type="expression" dxfId="15" priority="10">
      <formula>$F565=1</formula>
    </cfRule>
  </conditionalFormatting>
  <conditionalFormatting sqref="D563:D565">
    <cfRule type="expression" dxfId="14" priority="9">
      <formula>$F563=1</formula>
    </cfRule>
  </conditionalFormatting>
  <conditionalFormatting sqref="D561:D564">
    <cfRule type="expression" dxfId="13" priority="8">
      <formula>$F562=1</formula>
    </cfRule>
  </conditionalFormatting>
  <conditionalFormatting sqref="D588:D594">
    <cfRule type="expression" dxfId="12" priority="57">
      <formula>#REF!=1</formula>
    </cfRule>
  </conditionalFormatting>
  <conditionalFormatting sqref="D469">
    <cfRule type="expression" dxfId="11" priority="58">
      <formula>#REF!=1</formula>
    </cfRule>
    <cfRule type="expression" dxfId="10" priority="59">
      <formula>#REF!=1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463AE-4BDC-47F7-B2FB-AF515A5C146D}">
  <sheetPr codeName="Hoja7"/>
  <dimension ref="C4:J1197"/>
  <sheetViews>
    <sheetView topLeftCell="A1143" workbookViewId="0">
      <selection activeCell="C4" sqref="C4:J1197"/>
    </sheetView>
  </sheetViews>
  <sheetFormatPr baseColWidth="10" defaultRowHeight="15" x14ac:dyDescent="0.25"/>
  <cols>
    <col min="6" max="6" width="34" bestFit="1" customWidth="1"/>
  </cols>
  <sheetData>
    <row r="4" spans="3:10" x14ac:dyDescent="0.25">
      <c r="C4">
        <v>1</v>
      </c>
      <c r="D4">
        <v>209390450</v>
      </c>
      <c r="E4" t="s">
        <v>2372</v>
      </c>
      <c r="F4" t="s">
        <v>2373</v>
      </c>
      <c r="G4" t="s">
        <v>2243</v>
      </c>
      <c r="H4">
        <v>7</v>
      </c>
      <c r="I4">
        <v>1</v>
      </c>
      <c r="J4" t="s">
        <v>1</v>
      </c>
    </row>
    <row r="5" spans="3:10" x14ac:dyDescent="0.25">
      <c r="C5">
        <v>2</v>
      </c>
      <c r="D5">
        <v>209640122</v>
      </c>
      <c r="E5" t="s">
        <v>2374</v>
      </c>
      <c r="F5" t="s">
        <v>2375</v>
      </c>
      <c r="G5" t="s">
        <v>2243</v>
      </c>
      <c r="H5">
        <v>7</v>
      </c>
      <c r="I5">
        <v>1</v>
      </c>
      <c r="J5" t="s">
        <v>1</v>
      </c>
    </row>
    <row r="6" spans="3:10" x14ac:dyDescent="0.25">
      <c r="C6">
        <v>3</v>
      </c>
      <c r="D6">
        <v>209610010</v>
      </c>
      <c r="E6" t="s">
        <v>2376</v>
      </c>
      <c r="F6" t="s">
        <v>2377</v>
      </c>
      <c r="G6" t="s">
        <v>2243</v>
      </c>
      <c r="H6">
        <v>7</v>
      </c>
      <c r="I6">
        <v>1</v>
      </c>
      <c r="J6" t="s">
        <v>1</v>
      </c>
    </row>
    <row r="7" spans="3:10" x14ac:dyDescent="0.25">
      <c r="C7">
        <v>4</v>
      </c>
      <c r="D7">
        <v>209550492</v>
      </c>
      <c r="E7" t="s">
        <v>2378</v>
      </c>
      <c r="F7" t="s">
        <v>2379</v>
      </c>
      <c r="G7" t="s">
        <v>2243</v>
      </c>
      <c r="H7">
        <v>7</v>
      </c>
      <c r="I7">
        <v>1</v>
      </c>
      <c r="J7" t="s">
        <v>1</v>
      </c>
    </row>
    <row r="8" spans="3:10" x14ac:dyDescent="0.25">
      <c r="C8">
        <v>5</v>
      </c>
      <c r="D8">
        <v>209550279</v>
      </c>
      <c r="E8" t="s">
        <v>2380</v>
      </c>
      <c r="F8" t="s">
        <v>2381</v>
      </c>
      <c r="G8" t="s">
        <v>2243</v>
      </c>
      <c r="H8">
        <v>7</v>
      </c>
      <c r="I8">
        <v>1</v>
      </c>
      <c r="J8" t="s">
        <v>1</v>
      </c>
    </row>
    <row r="9" spans="3:10" x14ac:dyDescent="0.25">
      <c r="C9">
        <v>6</v>
      </c>
      <c r="D9">
        <v>703530923</v>
      </c>
      <c r="E9" t="s">
        <v>2382</v>
      </c>
      <c r="F9" t="s">
        <v>2383</v>
      </c>
      <c r="G9" t="s">
        <v>2243</v>
      </c>
      <c r="H9">
        <v>7</v>
      </c>
      <c r="I9">
        <v>1</v>
      </c>
      <c r="J9" t="s">
        <v>1</v>
      </c>
    </row>
    <row r="10" spans="3:10" x14ac:dyDescent="0.25">
      <c r="C10">
        <v>7</v>
      </c>
      <c r="D10">
        <v>209600349</v>
      </c>
      <c r="E10" t="s">
        <v>2384</v>
      </c>
      <c r="F10" t="s">
        <v>2385</v>
      </c>
      <c r="G10" t="s">
        <v>2243</v>
      </c>
      <c r="H10">
        <v>7</v>
      </c>
      <c r="I10">
        <v>1</v>
      </c>
      <c r="J10" t="s">
        <v>1</v>
      </c>
    </row>
    <row r="11" spans="3:10" x14ac:dyDescent="0.25">
      <c r="C11">
        <v>8</v>
      </c>
      <c r="D11">
        <v>209570968</v>
      </c>
      <c r="E11" t="s">
        <v>2386</v>
      </c>
      <c r="F11" t="s">
        <v>2387</v>
      </c>
      <c r="G11" t="s">
        <v>2243</v>
      </c>
      <c r="H11">
        <v>7</v>
      </c>
      <c r="I11">
        <v>1</v>
      </c>
      <c r="J11" t="s">
        <v>1</v>
      </c>
    </row>
    <row r="12" spans="3:10" x14ac:dyDescent="0.25">
      <c r="C12">
        <v>9</v>
      </c>
      <c r="D12">
        <v>209560246</v>
      </c>
      <c r="E12" t="s">
        <v>2388</v>
      </c>
      <c r="F12" t="s">
        <v>2389</v>
      </c>
      <c r="G12" t="s">
        <v>2243</v>
      </c>
      <c r="H12">
        <v>7</v>
      </c>
      <c r="I12">
        <v>1</v>
      </c>
      <c r="J12" t="s">
        <v>1</v>
      </c>
    </row>
    <row r="13" spans="3:10" x14ac:dyDescent="0.25">
      <c r="C13">
        <v>10</v>
      </c>
      <c r="D13">
        <v>209580707</v>
      </c>
      <c r="E13" t="s">
        <v>2390</v>
      </c>
      <c r="F13" t="s">
        <v>2391</v>
      </c>
      <c r="G13" t="s">
        <v>2243</v>
      </c>
      <c r="H13">
        <v>7</v>
      </c>
      <c r="I13">
        <v>1</v>
      </c>
      <c r="J13" t="s">
        <v>1</v>
      </c>
    </row>
    <row r="14" spans="3:10" x14ac:dyDescent="0.25">
      <c r="C14">
        <v>11</v>
      </c>
      <c r="D14">
        <v>403000904</v>
      </c>
      <c r="E14" t="s">
        <v>2392</v>
      </c>
      <c r="F14" t="s">
        <v>2393</v>
      </c>
      <c r="G14" t="s">
        <v>2243</v>
      </c>
      <c r="H14">
        <v>7</v>
      </c>
      <c r="I14">
        <v>1</v>
      </c>
      <c r="J14" t="s">
        <v>1</v>
      </c>
    </row>
    <row r="15" spans="3:10" x14ac:dyDescent="0.25">
      <c r="C15">
        <v>12</v>
      </c>
      <c r="D15" t="s">
        <v>2168</v>
      </c>
      <c r="E15" t="s">
        <v>2168</v>
      </c>
      <c r="F15" t="s">
        <v>2394</v>
      </c>
      <c r="G15" t="s">
        <v>2243</v>
      </c>
      <c r="H15">
        <v>7</v>
      </c>
      <c r="I15">
        <v>1</v>
      </c>
      <c r="J15" t="s">
        <v>1</v>
      </c>
    </row>
    <row r="16" spans="3:10" x14ac:dyDescent="0.25">
      <c r="C16">
        <v>13</v>
      </c>
      <c r="D16">
        <v>121460453</v>
      </c>
      <c r="E16" t="s">
        <v>2395</v>
      </c>
      <c r="F16" t="s">
        <v>2396</v>
      </c>
      <c r="G16" t="s">
        <v>2243</v>
      </c>
      <c r="H16">
        <v>7</v>
      </c>
      <c r="I16">
        <v>1</v>
      </c>
      <c r="J16" t="s">
        <v>1</v>
      </c>
    </row>
    <row r="17" spans="3:10" x14ac:dyDescent="0.25">
      <c r="C17">
        <v>14</v>
      </c>
      <c r="D17">
        <v>209640362</v>
      </c>
      <c r="E17" t="s">
        <v>2397</v>
      </c>
      <c r="F17" t="s">
        <v>2398</v>
      </c>
      <c r="G17" t="s">
        <v>2243</v>
      </c>
      <c r="H17">
        <v>7</v>
      </c>
      <c r="I17">
        <v>1</v>
      </c>
      <c r="J17" t="s">
        <v>1</v>
      </c>
    </row>
    <row r="18" spans="3:10" x14ac:dyDescent="0.25">
      <c r="C18">
        <v>15</v>
      </c>
      <c r="D18">
        <v>209120657</v>
      </c>
      <c r="E18" t="s">
        <v>1428</v>
      </c>
      <c r="F18" t="s">
        <v>2399</v>
      </c>
      <c r="G18" t="s">
        <v>2243</v>
      </c>
      <c r="H18">
        <v>7</v>
      </c>
      <c r="I18">
        <v>1</v>
      </c>
      <c r="J18" t="s">
        <v>1</v>
      </c>
    </row>
    <row r="19" spans="3:10" x14ac:dyDescent="0.25">
      <c r="C19">
        <v>16</v>
      </c>
      <c r="D19">
        <v>209660786</v>
      </c>
      <c r="E19" t="s">
        <v>2400</v>
      </c>
      <c r="F19" t="s">
        <v>2401</v>
      </c>
      <c r="G19" t="s">
        <v>2243</v>
      </c>
      <c r="H19">
        <v>7</v>
      </c>
      <c r="I19">
        <v>1</v>
      </c>
      <c r="J19" t="s">
        <v>1</v>
      </c>
    </row>
    <row r="20" spans="3:10" x14ac:dyDescent="0.25">
      <c r="C20">
        <v>17</v>
      </c>
      <c r="D20">
        <v>209610433</v>
      </c>
      <c r="E20" t="s">
        <v>2402</v>
      </c>
      <c r="F20" t="s">
        <v>2403</v>
      </c>
      <c r="G20" t="s">
        <v>2243</v>
      </c>
      <c r="H20">
        <v>7</v>
      </c>
      <c r="I20">
        <v>1</v>
      </c>
      <c r="J20" t="s">
        <v>1</v>
      </c>
    </row>
    <row r="21" spans="3:10" x14ac:dyDescent="0.25">
      <c r="C21">
        <v>18</v>
      </c>
      <c r="D21">
        <v>209610434</v>
      </c>
      <c r="E21" t="s">
        <v>2404</v>
      </c>
      <c r="F21" t="s">
        <v>2405</v>
      </c>
      <c r="G21" t="s">
        <v>2243</v>
      </c>
      <c r="H21">
        <v>7</v>
      </c>
      <c r="I21">
        <v>1</v>
      </c>
      <c r="J21" t="s">
        <v>1</v>
      </c>
    </row>
    <row r="22" spans="3:10" x14ac:dyDescent="0.25">
      <c r="C22">
        <v>19</v>
      </c>
      <c r="D22">
        <v>504930868</v>
      </c>
      <c r="E22" t="s">
        <v>2406</v>
      </c>
      <c r="F22" t="s">
        <v>2407</v>
      </c>
      <c r="G22" t="s">
        <v>2243</v>
      </c>
      <c r="H22">
        <v>7</v>
      </c>
      <c r="I22">
        <v>1</v>
      </c>
      <c r="J22" t="s">
        <v>0</v>
      </c>
    </row>
    <row r="23" spans="3:10" x14ac:dyDescent="0.25">
      <c r="C23">
        <v>20</v>
      </c>
      <c r="D23">
        <v>403000450</v>
      </c>
      <c r="E23" t="s">
        <v>2408</v>
      </c>
      <c r="F23" t="s">
        <v>2409</v>
      </c>
      <c r="G23" t="s">
        <v>2243</v>
      </c>
      <c r="H23">
        <v>7</v>
      </c>
      <c r="I23">
        <v>1</v>
      </c>
      <c r="J23" t="s">
        <v>0</v>
      </c>
    </row>
    <row r="24" spans="3:10" x14ac:dyDescent="0.25">
      <c r="C24">
        <v>21</v>
      </c>
      <c r="D24">
        <v>209560133</v>
      </c>
      <c r="E24" t="s">
        <v>2410</v>
      </c>
      <c r="F24" t="s">
        <v>2411</v>
      </c>
      <c r="G24" t="s">
        <v>2243</v>
      </c>
      <c r="H24">
        <v>7</v>
      </c>
      <c r="I24">
        <v>1</v>
      </c>
      <c r="J24" t="s">
        <v>0</v>
      </c>
    </row>
    <row r="25" spans="3:10" x14ac:dyDescent="0.25">
      <c r="C25">
        <v>22</v>
      </c>
      <c r="D25">
        <v>402970815</v>
      </c>
      <c r="E25" t="s">
        <v>2412</v>
      </c>
      <c r="F25" t="s">
        <v>2413</v>
      </c>
      <c r="G25" t="s">
        <v>2243</v>
      </c>
      <c r="H25">
        <v>7</v>
      </c>
      <c r="I25">
        <v>1</v>
      </c>
      <c r="J25" t="s">
        <v>0</v>
      </c>
    </row>
    <row r="26" spans="3:10" x14ac:dyDescent="0.25">
      <c r="C26">
        <v>23</v>
      </c>
      <c r="D26">
        <v>121490467</v>
      </c>
      <c r="E26" t="s">
        <v>2414</v>
      </c>
      <c r="F26" t="s">
        <v>2415</v>
      </c>
      <c r="G26" t="s">
        <v>2243</v>
      </c>
      <c r="H26">
        <v>7</v>
      </c>
      <c r="I26">
        <v>1</v>
      </c>
      <c r="J26" t="s">
        <v>0</v>
      </c>
    </row>
    <row r="27" spans="3:10" x14ac:dyDescent="0.25">
      <c r="C27">
        <v>24</v>
      </c>
      <c r="D27">
        <v>209640358</v>
      </c>
      <c r="E27" t="s">
        <v>2416</v>
      </c>
      <c r="F27" t="s">
        <v>2417</v>
      </c>
      <c r="G27" t="s">
        <v>2243</v>
      </c>
      <c r="H27">
        <v>7</v>
      </c>
      <c r="I27">
        <v>1</v>
      </c>
      <c r="J27" t="s">
        <v>0</v>
      </c>
    </row>
    <row r="28" spans="3:10" x14ac:dyDescent="0.25">
      <c r="C28">
        <v>25</v>
      </c>
      <c r="D28">
        <v>209650493</v>
      </c>
      <c r="E28" t="s">
        <v>2418</v>
      </c>
      <c r="F28" t="s">
        <v>2419</v>
      </c>
      <c r="G28" t="s">
        <v>2243</v>
      </c>
      <c r="H28">
        <v>7</v>
      </c>
      <c r="I28">
        <v>1</v>
      </c>
      <c r="J28" t="s">
        <v>0</v>
      </c>
    </row>
    <row r="29" spans="3:10" x14ac:dyDescent="0.25">
      <c r="C29">
        <v>26</v>
      </c>
      <c r="D29">
        <v>209580344</v>
      </c>
      <c r="E29" t="s">
        <v>2420</v>
      </c>
      <c r="F29" t="s">
        <v>2421</v>
      </c>
      <c r="G29" t="s">
        <v>2243</v>
      </c>
      <c r="H29">
        <v>7</v>
      </c>
      <c r="I29">
        <v>1</v>
      </c>
      <c r="J29" t="s">
        <v>0</v>
      </c>
    </row>
    <row r="30" spans="3:10" x14ac:dyDescent="0.25">
      <c r="C30">
        <v>27</v>
      </c>
      <c r="D30">
        <v>121080989</v>
      </c>
      <c r="E30" t="s">
        <v>1389</v>
      </c>
      <c r="F30" t="s">
        <v>2422</v>
      </c>
      <c r="G30" t="s">
        <v>2243</v>
      </c>
      <c r="H30">
        <v>7</v>
      </c>
      <c r="I30">
        <v>1</v>
      </c>
      <c r="J30" t="s">
        <v>0</v>
      </c>
    </row>
    <row r="31" spans="3:10" x14ac:dyDescent="0.25">
      <c r="C31">
        <v>28</v>
      </c>
      <c r="D31">
        <v>209520139</v>
      </c>
      <c r="E31" t="s">
        <v>2423</v>
      </c>
      <c r="F31" t="s">
        <v>2424</v>
      </c>
      <c r="G31" t="s">
        <v>2243</v>
      </c>
      <c r="H31">
        <v>7</v>
      </c>
      <c r="I31">
        <v>1</v>
      </c>
      <c r="J31" t="s">
        <v>0</v>
      </c>
    </row>
    <row r="32" spans="3:10" x14ac:dyDescent="0.25">
      <c r="C32">
        <v>29</v>
      </c>
      <c r="D32">
        <v>209500026</v>
      </c>
      <c r="E32" t="s">
        <v>2425</v>
      </c>
      <c r="F32" t="s">
        <v>2426</v>
      </c>
      <c r="G32" t="s">
        <v>2243</v>
      </c>
      <c r="H32">
        <v>7</v>
      </c>
      <c r="I32">
        <v>1</v>
      </c>
      <c r="J32" t="s">
        <v>0</v>
      </c>
    </row>
    <row r="33" spans="3:10" x14ac:dyDescent="0.25">
      <c r="C33">
        <v>30</v>
      </c>
      <c r="D33">
        <v>209550707</v>
      </c>
      <c r="E33" t="s">
        <v>2427</v>
      </c>
      <c r="F33" t="s">
        <v>2428</v>
      </c>
      <c r="G33" t="s">
        <v>2243</v>
      </c>
      <c r="H33">
        <v>7</v>
      </c>
      <c r="I33">
        <v>1</v>
      </c>
      <c r="J33" t="s">
        <v>0</v>
      </c>
    </row>
    <row r="34" spans="3:10" x14ac:dyDescent="0.25">
      <c r="C34">
        <v>31</v>
      </c>
      <c r="D34">
        <v>402960774</v>
      </c>
      <c r="E34" t="s">
        <v>2429</v>
      </c>
      <c r="F34" t="s">
        <v>2430</v>
      </c>
      <c r="G34" t="s">
        <v>2243</v>
      </c>
      <c r="H34">
        <v>7</v>
      </c>
      <c r="I34">
        <v>1</v>
      </c>
      <c r="J34" t="s">
        <v>0</v>
      </c>
    </row>
    <row r="35" spans="3:10" x14ac:dyDescent="0.25">
      <c r="C35">
        <v>32</v>
      </c>
      <c r="D35">
        <v>403000437</v>
      </c>
      <c r="E35" t="s">
        <v>2431</v>
      </c>
      <c r="F35" t="s">
        <v>2432</v>
      </c>
      <c r="G35" t="s">
        <v>2243</v>
      </c>
      <c r="H35">
        <v>7</v>
      </c>
      <c r="I35">
        <v>1</v>
      </c>
      <c r="J35" t="s">
        <v>0</v>
      </c>
    </row>
    <row r="36" spans="3:10" x14ac:dyDescent="0.25">
      <c r="C36">
        <v>33</v>
      </c>
      <c r="D36">
        <v>209620397</v>
      </c>
      <c r="E36" t="s">
        <v>2433</v>
      </c>
      <c r="F36" t="s">
        <v>2434</v>
      </c>
      <c r="G36" t="s">
        <v>2243</v>
      </c>
      <c r="H36">
        <v>7</v>
      </c>
      <c r="I36">
        <v>1</v>
      </c>
      <c r="J36" t="s">
        <v>0</v>
      </c>
    </row>
    <row r="37" spans="3:10" x14ac:dyDescent="0.25">
      <c r="C37">
        <v>34</v>
      </c>
      <c r="D37">
        <v>605400847</v>
      </c>
      <c r="E37" t="s">
        <v>2435</v>
      </c>
      <c r="F37" t="s">
        <v>2436</v>
      </c>
      <c r="G37" t="s">
        <v>2243</v>
      </c>
      <c r="H37">
        <v>7</v>
      </c>
      <c r="I37">
        <v>1</v>
      </c>
      <c r="J37" t="s">
        <v>0</v>
      </c>
    </row>
    <row r="38" spans="3:10" x14ac:dyDescent="0.25">
      <c r="C38">
        <v>35</v>
      </c>
      <c r="D38">
        <v>402970123</v>
      </c>
      <c r="E38" t="s">
        <v>2437</v>
      </c>
      <c r="F38" t="s">
        <v>2438</v>
      </c>
      <c r="G38" t="s">
        <v>2243</v>
      </c>
      <c r="H38">
        <v>7</v>
      </c>
      <c r="I38">
        <v>1</v>
      </c>
      <c r="J38" t="s">
        <v>0</v>
      </c>
    </row>
    <row r="39" spans="3:10" x14ac:dyDescent="0.25">
      <c r="C39">
        <v>36</v>
      </c>
      <c r="D39">
        <v>402990954</v>
      </c>
      <c r="E39" t="s">
        <v>1087</v>
      </c>
      <c r="F39" t="s">
        <v>2439</v>
      </c>
      <c r="G39" t="s">
        <v>2243</v>
      </c>
      <c r="H39">
        <v>7</v>
      </c>
      <c r="I39">
        <v>2</v>
      </c>
      <c r="J39" t="s">
        <v>1</v>
      </c>
    </row>
    <row r="40" spans="3:10" x14ac:dyDescent="0.25">
      <c r="C40">
        <v>37</v>
      </c>
      <c r="D40">
        <v>402920634</v>
      </c>
      <c r="E40" t="s">
        <v>1235</v>
      </c>
      <c r="F40" t="s">
        <v>2440</v>
      </c>
      <c r="G40" t="s">
        <v>2243</v>
      </c>
      <c r="H40">
        <v>7</v>
      </c>
      <c r="I40">
        <v>2</v>
      </c>
      <c r="J40" t="s">
        <v>1</v>
      </c>
    </row>
    <row r="41" spans="3:10" x14ac:dyDescent="0.25">
      <c r="C41">
        <v>38</v>
      </c>
      <c r="D41">
        <v>402990595</v>
      </c>
      <c r="E41" t="s">
        <v>1088</v>
      </c>
      <c r="F41" t="s">
        <v>2441</v>
      </c>
      <c r="G41" t="s">
        <v>2243</v>
      </c>
      <c r="H41">
        <v>7</v>
      </c>
      <c r="I41">
        <v>2</v>
      </c>
      <c r="J41" t="s">
        <v>1</v>
      </c>
    </row>
    <row r="42" spans="3:10" x14ac:dyDescent="0.25">
      <c r="C42">
        <v>39</v>
      </c>
      <c r="D42">
        <v>209590596</v>
      </c>
      <c r="E42" t="s">
        <v>1089</v>
      </c>
      <c r="F42" t="s">
        <v>2442</v>
      </c>
      <c r="G42" t="s">
        <v>2243</v>
      </c>
      <c r="H42">
        <v>7</v>
      </c>
      <c r="I42">
        <v>2</v>
      </c>
      <c r="J42" t="s">
        <v>1</v>
      </c>
    </row>
    <row r="43" spans="3:10" x14ac:dyDescent="0.25">
      <c r="C43">
        <v>40</v>
      </c>
      <c r="D43">
        <v>402970029</v>
      </c>
      <c r="E43" t="s">
        <v>1090</v>
      </c>
      <c r="F43" t="s">
        <v>2443</v>
      </c>
      <c r="G43" t="s">
        <v>2243</v>
      </c>
      <c r="H43">
        <v>7</v>
      </c>
      <c r="I43">
        <v>2</v>
      </c>
      <c r="J43" t="s">
        <v>1</v>
      </c>
    </row>
    <row r="44" spans="3:10" x14ac:dyDescent="0.25">
      <c r="C44">
        <v>41</v>
      </c>
      <c r="D44">
        <v>121410096</v>
      </c>
      <c r="E44" t="s">
        <v>1091</v>
      </c>
      <c r="F44" t="s">
        <v>2444</v>
      </c>
      <c r="G44" t="s">
        <v>2243</v>
      </c>
      <c r="H44">
        <v>7</v>
      </c>
      <c r="I44">
        <v>2</v>
      </c>
      <c r="J44" t="s">
        <v>1</v>
      </c>
    </row>
    <row r="45" spans="3:10" x14ac:dyDescent="0.25">
      <c r="C45">
        <v>42</v>
      </c>
      <c r="D45">
        <v>402950257</v>
      </c>
      <c r="E45" t="s">
        <v>1092</v>
      </c>
      <c r="F45" t="s">
        <v>2445</v>
      </c>
      <c r="G45" t="s">
        <v>2243</v>
      </c>
      <c r="H45">
        <v>7</v>
      </c>
      <c r="I45">
        <v>2</v>
      </c>
      <c r="J45" t="s">
        <v>1</v>
      </c>
    </row>
    <row r="46" spans="3:10" x14ac:dyDescent="0.25">
      <c r="C46">
        <v>43</v>
      </c>
      <c r="D46">
        <v>403000704</v>
      </c>
      <c r="E46" t="s">
        <v>1093</v>
      </c>
      <c r="F46" t="s">
        <v>2446</v>
      </c>
      <c r="G46" t="s">
        <v>2243</v>
      </c>
      <c r="H46">
        <v>7</v>
      </c>
      <c r="I46">
        <v>2</v>
      </c>
      <c r="J46" t="s">
        <v>1</v>
      </c>
    </row>
    <row r="47" spans="3:10" x14ac:dyDescent="0.25">
      <c r="C47">
        <v>44</v>
      </c>
      <c r="D47">
        <v>403000200</v>
      </c>
      <c r="E47" t="s">
        <v>1094</v>
      </c>
      <c r="F47" t="s">
        <v>2447</v>
      </c>
      <c r="G47" t="s">
        <v>2243</v>
      </c>
      <c r="H47">
        <v>7</v>
      </c>
      <c r="I47">
        <v>2</v>
      </c>
      <c r="J47" t="s">
        <v>1</v>
      </c>
    </row>
    <row r="48" spans="3:10" x14ac:dyDescent="0.25">
      <c r="C48">
        <v>45</v>
      </c>
      <c r="D48">
        <v>209570166</v>
      </c>
      <c r="E48" t="s">
        <v>1095</v>
      </c>
      <c r="F48" t="s">
        <v>2448</v>
      </c>
      <c r="G48" t="s">
        <v>2243</v>
      </c>
      <c r="H48">
        <v>7</v>
      </c>
      <c r="I48">
        <v>2</v>
      </c>
      <c r="J48" t="s">
        <v>1</v>
      </c>
    </row>
    <row r="49" spans="3:10" x14ac:dyDescent="0.25">
      <c r="C49">
        <v>46</v>
      </c>
      <c r="D49">
        <v>209660792</v>
      </c>
      <c r="E49" t="s">
        <v>1096</v>
      </c>
      <c r="F49" t="s">
        <v>2449</v>
      </c>
      <c r="G49" t="s">
        <v>2243</v>
      </c>
      <c r="H49">
        <v>7</v>
      </c>
      <c r="I49">
        <v>2</v>
      </c>
      <c r="J49" t="s">
        <v>1</v>
      </c>
    </row>
    <row r="50" spans="3:10" x14ac:dyDescent="0.25">
      <c r="C50">
        <v>47</v>
      </c>
      <c r="D50">
        <v>209650815</v>
      </c>
      <c r="E50" t="s">
        <v>1097</v>
      </c>
      <c r="F50" t="s">
        <v>2450</v>
      </c>
      <c r="G50" t="s">
        <v>2243</v>
      </c>
      <c r="H50">
        <v>7</v>
      </c>
      <c r="I50">
        <v>2</v>
      </c>
      <c r="J50" t="s">
        <v>1</v>
      </c>
    </row>
    <row r="51" spans="3:10" x14ac:dyDescent="0.25">
      <c r="C51">
        <v>48</v>
      </c>
      <c r="D51">
        <v>901400050</v>
      </c>
      <c r="E51" t="s">
        <v>1098</v>
      </c>
      <c r="F51" t="s">
        <v>2451</v>
      </c>
      <c r="G51" t="s">
        <v>2243</v>
      </c>
      <c r="H51">
        <v>7</v>
      </c>
      <c r="I51">
        <v>2</v>
      </c>
      <c r="J51" t="s">
        <v>1</v>
      </c>
    </row>
    <row r="52" spans="3:10" x14ac:dyDescent="0.25">
      <c r="C52">
        <v>49</v>
      </c>
      <c r="D52">
        <v>209530986</v>
      </c>
      <c r="E52" t="s">
        <v>1099</v>
      </c>
      <c r="F52" t="s">
        <v>2452</v>
      </c>
      <c r="G52" t="s">
        <v>2243</v>
      </c>
      <c r="H52">
        <v>7</v>
      </c>
      <c r="I52">
        <v>2</v>
      </c>
      <c r="J52" t="s">
        <v>1</v>
      </c>
    </row>
    <row r="53" spans="3:10" x14ac:dyDescent="0.25">
      <c r="C53">
        <v>50</v>
      </c>
      <c r="D53">
        <v>209510677</v>
      </c>
      <c r="E53" t="s">
        <v>1100</v>
      </c>
      <c r="F53" t="s">
        <v>2453</v>
      </c>
      <c r="G53" t="s">
        <v>2243</v>
      </c>
      <c r="H53">
        <v>7</v>
      </c>
      <c r="I53">
        <v>2</v>
      </c>
      <c r="J53" t="s">
        <v>1</v>
      </c>
    </row>
    <row r="54" spans="3:10" x14ac:dyDescent="0.25">
      <c r="C54">
        <v>51</v>
      </c>
      <c r="D54">
        <v>209530049</v>
      </c>
      <c r="E54" t="s">
        <v>1101</v>
      </c>
      <c r="F54" t="s">
        <v>2454</v>
      </c>
      <c r="G54" t="s">
        <v>2243</v>
      </c>
      <c r="H54">
        <v>7</v>
      </c>
      <c r="I54">
        <v>2</v>
      </c>
      <c r="J54" t="s">
        <v>1</v>
      </c>
    </row>
    <row r="55" spans="3:10" x14ac:dyDescent="0.25">
      <c r="C55">
        <v>52</v>
      </c>
      <c r="D55">
        <v>402990948</v>
      </c>
      <c r="E55" t="s">
        <v>1102</v>
      </c>
      <c r="F55" t="s">
        <v>2455</v>
      </c>
      <c r="G55" t="s">
        <v>2243</v>
      </c>
      <c r="H55">
        <v>7</v>
      </c>
      <c r="I55">
        <v>2</v>
      </c>
      <c r="J55" t="s">
        <v>1</v>
      </c>
    </row>
    <row r="56" spans="3:10" x14ac:dyDescent="0.25">
      <c r="C56">
        <v>53</v>
      </c>
      <c r="D56">
        <v>209680042</v>
      </c>
      <c r="E56" t="s">
        <v>1103</v>
      </c>
      <c r="F56" t="s">
        <v>2456</v>
      </c>
      <c r="G56" t="s">
        <v>2243</v>
      </c>
      <c r="H56">
        <v>7</v>
      </c>
      <c r="I56">
        <v>2</v>
      </c>
      <c r="J56" t="s">
        <v>0</v>
      </c>
    </row>
    <row r="57" spans="3:10" x14ac:dyDescent="0.25">
      <c r="C57">
        <v>54</v>
      </c>
      <c r="D57">
        <v>209520143</v>
      </c>
      <c r="E57" t="s">
        <v>1104</v>
      </c>
      <c r="F57" t="s">
        <v>2457</v>
      </c>
      <c r="G57" t="s">
        <v>2243</v>
      </c>
      <c r="H57">
        <v>7</v>
      </c>
      <c r="I57">
        <v>2</v>
      </c>
      <c r="J57" t="s">
        <v>0</v>
      </c>
    </row>
    <row r="58" spans="3:10" x14ac:dyDescent="0.25">
      <c r="C58">
        <v>55</v>
      </c>
      <c r="D58">
        <v>209520836</v>
      </c>
      <c r="E58" t="s">
        <v>1310</v>
      </c>
      <c r="F58" t="s">
        <v>2458</v>
      </c>
      <c r="G58" t="s">
        <v>2243</v>
      </c>
      <c r="H58">
        <v>7</v>
      </c>
      <c r="I58">
        <v>2</v>
      </c>
      <c r="J58" t="s">
        <v>0</v>
      </c>
    </row>
    <row r="59" spans="3:10" x14ac:dyDescent="0.25">
      <c r="C59">
        <v>56</v>
      </c>
      <c r="D59">
        <v>209540248</v>
      </c>
      <c r="E59" t="s">
        <v>1105</v>
      </c>
      <c r="F59" t="s">
        <v>2459</v>
      </c>
      <c r="G59" t="s">
        <v>2243</v>
      </c>
      <c r="H59">
        <v>7</v>
      </c>
      <c r="I59">
        <v>2</v>
      </c>
      <c r="J59" t="s">
        <v>0</v>
      </c>
    </row>
    <row r="60" spans="3:10" x14ac:dyDescent="0.25">
      <c r="C60">
        <v>57</v>
      </c>
      <c r="D60">
        <v>209660301</v>
      </c>
      <c r="E60" t="s">
        <v>1106</v>
      </c>
      <c r="F60" t="s">
        <v>2460</v>
      </c>
      <c r="G60" t="s">
        <v>2243</v>
      </c>
      <c r="H60">
        <v>7</v>
      </c>
      <c r="I60">
        <v>2</v>
      </c>
      <c r="J60" t="s">
        <v>0</v>
      </c>
    </row>
    <row r="61" spans="3:10" x14ac:dyDescent="0.25">
      <c r="C61">
        <v>58</v>
      </c>
      <c r="D61">
        <v>209650915</v>
      </c>
      <c r="E61" t="s">
        <v>1107</v>
      </c>
      <c r="F61" t="s">
        <v>2461</v>
      </c>
      <c r="G61" t="s">
        <v>2243</v>
      </c>
      <c r="H61">
        <v>7</v>
      </c>
      <c r="I61">
        <v>2</v>
      </c>
      <c r="J61" t="s">
        <v>0</v>
      </c>
    </row>
    <row r="62" spans="3:10" x14ac:dyDescent="0.25">
      <c r="C62">
        <v>59</v>
      </c>
      <c r="D62">
        <v>209560233</v>
      </c>
      <c r="E62" t="s">
        <v>1108</v>
      </c>
      <c r="F62" t="s">
        <v>2462</v>
      </c>
      <c r="G62" t="s">
        <v>2243</v>
      </c>
      <c r="H62">
        <v>7</v>
      </c>
      <c r="I62">
        <v>2</v>
      </c>
      <c r="J62" t="s">
        <v>0</v>
      </c>
    </row>
    <row r="63" spans="3:10" x14ac:dyDescent="0.25">
      <c r="C63">
        <v>60</v>
      </c>
      <c r="D63">
        <v>209660867</v>
      </c>
      <c r="E63" t="s">
        <v>1109</v>
      </c>
      <c r="F63" t="s">
        <v>2463</v>
      </c>
      <c r="G63" t="s">
        <v>2243</v>
      </c>
      <c r="H63">
        <v>7</v>
      </c>
      <c r="I63">
        <v>2</v>
      </c>
      <c r="J63" t="s">
        <v>0</v>
      </c>
    </row>
    <row r="64" spans="3:10" x14ac:dyDescent="0.25">
      <c r="C64">
        <v>61</v>
      </c>
      <c r="D64" t="s">
        <v>67</v>
      </c>
      <c r="E64" t="s">
        <v>67</v>
      </c>
      <c r="F64" t="s">
        <v>2464</v>
      </c>
      <c r="G64" t="s">
        <v>2243</v>
      </c>
      <c r="H64">
        <v>7</v>
      </c>
      <c r="I64">
        <v>2</v>
      </c>
      <c r="J64" t="s">
        <v>0</v>
      </c>
    </row>
    <row r="65" spans="3:10" x14ac:dyDescent="0.25">
      <c r="C65">
        <v>62</v>
      </c>
      <c r="D65">
        <v>403000458</v>
      </c>
      <c r="E65" t="s">
        <v>1110</v>
      </c>
      <c r="F65" t="s">
        <v>2465</v>
      </c>
      <c r="G65" t="s">
        <v>2243</v>
      </c>
      <c r="H65">
        <v>7</v>
      </c>
      <c r="I65">
        <v>2</v>
      </c>
      <c r="J65" t="s">
        <v>0</v>
      </c>
    </row>
    <row r="66" spans="3:10" x14ac:dyDescent="0.25">
      <c r="C66">
        <v>63</v>
      </c>
      <c r="D66">
        <v>209620896</v>
      </c>
      <c r="E66" t="s">
        <v>1111</v>
      </c>
      <c r="F66" t="s">
        <v>2466</v>
      </c>
      <c r="G66" t="s">
        <v>2243</v>
      </c>
      <c r="H66">
        <v>7</v>
      </c>
      <c r="I66">
        <v>2</v>
      </c>
      <c r="J66" t="s">
        <v>0</v>
      </c>
    </row>
    <row r="67" spans="3:10" x14ac:dyDescent="0.25">
      <c r="C67">
        <v>64</v>
      </c>
      <c r="D67">
        <v>209550671</v>
      </c>
      <c r="E67" t="s">
        <v>1112</v>
      </c>
      <c r="F67" t="s">
        <v>2467</v>
      </c>
      <c r="G67" t="s">
        <v>2243</v>
      </c>
      <c r="H67">
        <v>7</v>
      </c>
      <c r="I67">
        <v>2</v>
      </c>
      <c r="J67" t="s">
        <v>0</v>
      </c>
    </row>
    <row r="68" spans="3:10" x14ac:dyDescent="0.25">
      <c r="C68">
        <v>65</v>
      </c>
      <c r="D68">
        <v>402960490</v>
      </c>
      <c r="E68" t="s">
        <v>2468</v>
      </c>
      <c r="F68" t="s">
        <v>2469</v>
      </c>
      <c r="G68" t="s">
        <v>2243</v>
      </c>
      <c r="H68">
        <v>7</v>
      </c>
      <c r="I68">
        <v>2</v>
      </c>
      <c r="J68" t="s">
        <v>0</v>
      </c>
    </row>
    <row r="69" spans="3:10" x14ac:dyDescent="0.25">
      <c r="C69">
        <v>66</v>
      </c>
      <c r="D69">
        <v>209590089</v>
      </c>
      <c r="E69" t="s">
        <v>1113</v>
      </c>
      <c r="F69" t="s">
        <v>2470</v>
      </c>
      <c r="G69" t="s">
        <v>2243</v>
      </c>
      <c r="H69">
        <v>7</v>
      </c>
      <c r="I69">
        <v>2</v>
      </c>
      <c r="J69" t="s">
        <v>0</v>
      </c>
    </row>
    <row r="70" spans="3:10" x14ac:dyDescent="0.25">
      <c r="C70">
        <v>67</v>
      </c>
      <c r="D70">
        <v>402960937</v>
      </c>
      <c r="E70" t="s">
        <v>1114</v>
      </c>
      <c r="F70" t="s">
        <v>2471</v>
      </c>
      <c r="G70" t="s">
        <v>2243</v>
      </c>
      <c r="H70">
        <v>7</v>
      </c>
      <c r="I70">
        <v>2</v>
      </c>
      <c r="J70" t="s">
        <v>0</v>
      </c>
    </row>
    <row r="71" spans="3:10" x14ac:dyDescent="0.25">
      <c r="C71">
        <v>68</v>
      </c>
      <c r="D71">
        <v>209640253</v>
      </c>
      <c r="E71" t="s">
        <v>1115</v>
      </c>
      <c r="F71" t="s">
        <v>2472</v>
      </c>
      <c r="G71" t="s">
        <v>2243</v>
      </c>
      <c r="H71">
        <v>7</v>
      </c>
      <c r="I71">
        <v>2</v>
      </c>
      <c r="J71" t="s">
        <v>0</v>
      </c>
    </row>
    <row r="72" spans="3:10" x14ac:dyDescent="0.25">
      <c r="C72">
        <v>69</v>
      </c>
      <c r="D72">
        <v>209620502</v>
      </c>
      <c r="E72" t="s">
        <v>1116</v>
      </c>
      <c r="F72" t="s">
        <v>2473</v>
      </c>
      <c r="G72" t="s">
        <v>2243</v>
      </c>
      <c r="H72">
        <v>7</v>
      </c>
      <c r="I72">
        <v>2</v>
      </c>
      <c r="J72" t="s">
        <v>0</v>
      </c>
    </row>
    <row r="73" spans="3:10" x14ac:dyDescent="0.25">
      <c r="C73">
        <v>70</v>
      </c>
      <c r="D73">
        <v>209530952</v>
      </c>
      <c r="E73" t="s">
        <v>1117</v>
      </c>
      <c r="F73" t="s">
        <v>2474</v>
      </c>
      <c r="G73" t="s">
        <v>2243</v>
      </c>
      <c r="H73">
        <v>7</v>
      </c>
      <c r="I73">
        <v>3</v>
      </c>
      <c r="J73" t="s">
        <v>1</v>
      </c>
    </row>
    <row r="74" spans="3:10" x14ac:dyDescent="0.25">
      <c r="C74">
        <v>71</v>
      </c>
      <c r="D74">
        <v>402990291</v>
      </c>
      <c r="E74" t="s">
        <v>1118</v>
      </c>
      <c r="F74" t="s">
        <v>2475</v>
      </c>
      <c r="G74" t="s">
        <v>2243</v>
      </c>
      <c r="H74">
        <v>7</v>
      </c>
      <c r="I74">
        <v>3</v>
      </c>
      <c r="J74" t="s">
        <v>1</v>
      </c>
    </row>
    <row r="75" spans="3:10" x14ac:dyDescent="0.25">
      <c r="C75">
        <v>72</v>
      </c>
      <c r="D75">
        <v>209520676</v>
      </c>
      <c r="E75" t="s">
        <v>1119</v>
      </c>
      <c r="F75" t="s">
        <v>2476</v>
      </c>
      <c r="G75" t="s">
        <v>2243</v>
      </c>
      <c r="H75">
        <v>7</v>
      </c>
      <c r="I75">
        <v>3</v>
      </c>
      <c r="J75" t="s">
        <v>1</v>
      </c>
    </row>
    <row r="76" spans="3:10" x14ac:dyDescent="0.25">
      <c r="C76">
        <v>73</v>
      </c>
      <c r="D76">
        <v>402970432</v>
      </c>
      <c r="E76" t="s">
        <v>1120</v>
      </c>
      <c r="F76" t="s">
        <v>2477</v>
      </c>
      <c r="G76" t="s">
        <v>2243</v>
      </c>
      <c r="H76">
        <v>7</v>
      </c>
      <c r="I76">
        <v>3</v>
      </c>
      <c r="J76" t="s">
        <v>1</v>
      </c>
    </row>
    <row r="77" spans="3:10" x14ac:dyDescent="0.25">
      <c r="C77">
        <v>74</v>
      </c>
      <c r="D77">
        <v>121470586</v>
      </c>
      <c r="E77" t="s">
        <v>1121</v>
      </c>
      <c r="F77" t="s">
        <v>2478</v>
      </c>
      <c r="G77" t="s">
        <v>2243</v>
      </c>
      <c r="H77">
        <v>7</v>
      </c>
      <c r="I77">
        <v>3</v>
      </c>
      <c r="J77" t="s">
        <v>1</v>
      </c>
    </row>
    <row r="78" spans="3:10" x14ac:dyDescent="0.25">
      <c r="C78">
        <v>75</v>
      </c>
      <c r="D78">
        <v>209630272</v>
      </c>
      <c r="E78" t="s">
        <v>1122</v>
      </c>
      <c r="F78" t="s">
        <v>2479</v>
      </c>
      <c r="G78" t="s">
        <v>2243</v>
      </c>
      <c r="H78">
        <v>7</v>
      </c>
      <c r="I78">
        <v>3</v>
      </c>
      <c r="J78" t="s">
        <v>1</v>
      </c>
    </row>
    <row r="79" spans="3:10" x14ac:dyDescent="0.25">
      <c r="C79">
        <v>76</v>
      </c>
      <c r="D79">
        <v>403000693</v>
      </c>
      <c r="E79" t="s">
        <v>1123</v>
      </c>
      <c r="F79" t="s">
        <v>2480</v>
      </c>
      <c r="G79" t="s">
        <v>2243</v>
      </c>
      <c r="H79">
        <v>7</v>
      </c>
      <c r="I79">
        <v>3</v>
      </c>
      <c r="J79" t="s">
        <v>1</v>
      </c>
    </row>
    <row r="80" spans="3:10" x14ac:dyDescent="0.25">
      <c r="C80">
        <v>77</v>
      </c>
      <c r="D80">
        <v>402990426</v>
      </c>
      <c r="E80" t="s">
        <v>1124</v>
      </c>
      <c r="F80" t="s">
        <v>2481</v>
      </c>
      <c r="G80" t="s">
        <v>2243</v>
      </c>
      <c r="H80">
        <v>7</v>
      </c>
      <c r="I80">
        <v>3</v>
      </c>
      <c r="J80" t="s">
        <v>1</v>
      </c>
    </row>
    <row r="81" spans="3:10" x14ac:dyDescent="0.25">
      <c r="C81">
        <v>78</v>
      </c>
      <c r="D81">
        <v>120810395</v>
      </c>
      <c r="E81" t="s">
        <v>1298</v>
      </c>
      <c r="F81" t="s">
        <v>2482</v>
      </c>
      <c r="G81" t="s">
        <v>2243</v>
      </c>
      <c r="H81">
        <v>7</v>
      </c>
      <c r="I81">
        <v>3</v>
      </c>
      <c r="J81" t="s">
        <v>1</v>
      </c>
    </row>
    <row r="82" spans="3:10" x14ac:dyDescent="0.25">
      <c r="C82">
        <v>79</v>
      </c>
      <c r="D82">
        <v>402980061</v>
      </c>
      <c r="E82" t="s">
        <v>1125</v>
      </c>
      <c r="F82" t="s">
        <v>2483</v>
      </c>
      <c r="G82" t="s">
        <v>2243</v>
      </c>
      <c r="H82">
        <v>7</v>
      </c>
      <c r="I82">
        <v>3</v>
      </c>
      <c r="J82" t="s">
        <v>1</v>
      </c>
    </row>
    <row r="83" spans="3:10" x14ac:dyDescent="0.25">
      <c r="C83">
        <v>80</v>
      </c>
      <c r="D83">
        <v>403000004</v>
      </c>
      <c r="E83" t="s">
        <v>160</v>
      </c>
      <c r="F83" t="s">
        <v>2484</v>
      </c>
      <c r="G83" t="s">
        <v>2243</v>
      </c>
      <c r="H83">
        <v>7</v>
      </c>
      <c r="I83">
        <v>3</v>
      </c>
      <c r="J83" t="s">
        <v>1</v>
      </c>
    </row>
    <row r="84" spans="3:10" x14ac:dyDescent="0.25">
      <c r="C84">
        <v>81</v>
      </c>
      <c r="D84">
        <v>209570794</v>
      </c>
      <c r="E84" t="s">
        <v>1126</v>
      </c>
      <c r="F84" t="s">
        <v>2485</v>
      </c>
      <c r="G84" t="s">
        <v>2243</v>
      </c>
      <c r="H84">
        <v>7</v>
      </c>
      <c r="I84">
        <v>3</v>
      </c>
      <c r="J84" t="s">
        <v>1</v>
      </c>
    </row>
    <row r="85" spans="3:10" x14ac:dyDescent="0.25">
      <c r="C85">
        <v>82</v>
      </c>
      <c r="D85">
        <v>209610064</v>
      </c>
      <c r="E85" t="s">
        <v>1127</v>
      </c>
      <c r="F85" t="s">
        <v>2486</v>
      </c>
      <c r="G85" t="s">
        <v>2243</v>
      </c>
      <c r="H85">
        <v>7</v>
      </c>
      <c r="I85">
        <v>3</v>
      </c>
      <c r="J85" t="s">
        <v>1</v>
      </c>
    </row>
    <row r="86" spans="3:10" x14ac:dyDescent="0.25">
      <c r="C86">
        <v>83</v>
      </c>
      <c r="D86">
        <v>209510281</v>
      </c>
      <c r="E86" t="s">
        <v>1128</v>
      </c>
      <c r="F86" t="s">
        <v>2487</v>
      </c>
      <c r="G86" t="s">
        <v>2243</v>
      </c>
      <c r="H86">
        <v>7</v>
      </c>
      <c r="I86">
        <v>3</v>
      </c>
      <c r="J86" t="s">
        <v>1</v>
      </c>
    </row>
    <row r="87" spans="3:10" x14ac:dyDescent="0.25">
      <c r="C87">
        <v>84</v>
      </c>
      <c r="D87">
        <v>402970503</v>
      </c>
      <c r="E87" t="s">
        <v>1129</v>
      </c>
      <c r="F87" t="s">
        <v>2488</v>
      </c>
      <c r="G87" t="s">
        <v>2243</v>
      </c>
      <c r="H87">
        <v>7</v>
      </c>
      <c r="I87">
        <v>3</v>
      </c>
      <c r="J87" t="s">
        <v>1</v>
      </c>
    </row>
    <row r="88" spans="3:10" x14ac:dyDescent="0.25">
      <c r="C88">
        <v>85</v>
      </c>
      <c r="D88">
        <v>209670282</v>
      </c>
      <c r="E88" t="s">
        <v>1130</v>
      </c>
      <c r="F88" t="s">
        <v>2489</v>
      </c>
      <c r="G88" t="s">
        <v>2243</v>
      </c>
      <c r="H88">
        <v>7</v>
      </c>
      <c r="I88">
        <v>3</v>
      </c>
      <c r="J88" t="s">
        <v>1</v>
      </c>
    </row>
    <row r="89" spans="3:10" x14ac:dyDescent="0.25">
      <c r="C89">
        <v>86</v>
      </c>
      <c r="D89">
        <v>402880117</v>
      </c>
      <c r="E89" t="s">
        <v>1260</v>
      </c>
      <c r="F89" t="s">
        <v>2490</v>
      </c>
      <c r="G89" t="s">
        <v>2243</v>
      </c>
      <c r="H89">
        <v>7</v>
      </c>
      <c r="I89">
        <v>3</v>
      </c>
      <c r="J89" t="s">
        <v>1</v>
      </c>
    </row>
    <row r="90" spans="3:10" x14ac:dyDescent="0.25">
      <c r="C90">
        <v>87</v>
      </c>
      <c r="D90">
        <v>121140209</v>
      </c>
      <c r="E90" t="s">
        <v>1131</v>
      </c>
      <c r="F90" t="s">
        <v>2491</v>
      </c>
      <c r="G90" t="s">
        <v>2243</v>
      </c>
      <c r="H90">
        <v>7</v>
      </c>
      <c r="I90">
        <v>3</v>
      </c>
      <c r="J90" t="s">
        <v>0</v>
      </c>
    </row>
    <row r="91" spans="3:10" x14ac:dyDescent="0.25">
      <c r="C91">
        <v>88</v>
      </c>
      <c r="D91">
        <v>209580215</v>
      </c>
      <c r="E91" t="s">
        <v>1132</v>
      </c>
      <c r="F91" t="s">
        <v>2492</v>
      </c>
      <c r="G91" t="s">
        <v>2243</v>
      </c>
      <c r="H91">
        <v>7</v>
      </c>
      <c r="I91">
        <v>3</v>
      </c>
      <c r="J91" t="s">
        <v>0</v>
      </c>
    </row>
    <row r="92" spans="3:10" x14ac:dyDescent="0.25">
      <c r="C92">
        <v>89</v>
      </c>
      <c r="D92">
        <v>209490595</v>
      </c>
      <c r="E92" t="s">
        <v>1133</v>
      </c>
      <c r="F92" t="s">
        <v>2493</v>
      </c>
      <c r="G92" t="s">
        <v>2243</v>
      </c>
      <c r="H92">
        <v>7</v>
      </c>
      <c r="I92">
        <v>3</v>
      </c>
      <c r="J92" t="s">
        <v>0</v>
      </c>
    </row>
    <row r="93" spans="3:10" x14ac:dyDescent="0.25">
      <c r="C93">
        <v>90</v>
      </c>
      <c r="D93">
        <v>209630955</v>
      </c>
      <c r="E93" t="s">
        <v>1134</v>
      </c>
      <c r="F93" t="s">
        <v>2494</v>
      </c>
      <c r="G93" t="s">
        <v>2243</v>
      </c>
      <c r="H93">
        <v>7</v>
      </c>
      <c r="I93">
        <v>3</v>
      </c>
      <c r="J93" t="s">
        <v>0</v>
      </c>
    </row>
    <row r="94" spans="3:10" x14ac:dyDescent="0.25">
      <c r="C94">
        <v>91</v>
      </c>
      <c r="D94" t="s">
        <v>89</v>
      </c>
      <c r="E94" t="s">
        <v>89</v>
      </c>
      <c r="F94" t="s">
        <v>2495</v>
      </c>
      <c r="G94" t="s">
        <v>2243</v>
      </c>
      <c r="H94">
        <v>7</v>
      </c>
      <c r="I94">
        <v>3</v>
      </c>
      <c r="J94" t="s">
        <v>0</v>
      </c>
    </row>
    <row r="95" spans="3:10" x14ac:dyDescent="0.25">
      <c r="C95">
        <v>92</v>
      </c>
      <c r="D95">
        <v>209680098</v>
      </c>
      <c r="E95" t="s">
        <v>1135</v>
      </c>
      <c r="F95" t="s">
        <v>2496</v>
      </c>
      <c r="G95" t="s">
        <v>2243</v>
      </c>
      <c r="H95">
        <v>7</v>
      </c>
      <c r="I95">
        <v>3</v>
      </c>
      <c r="J95" t="s">
        <v>0</v>
      </c>
    </row>
    <row r="96" spans="3:10" x14ac:dyDescent="0.25">
      <c r="C96">
        <v>93</v>
      </c>
      <c r="D96">
        <v>209630732</v>
      </c>
      <c r="E96" t="s">
        <v>1136</v>
      </c>
      <c r="F96" t="s">
        <v>2497</v>
      </c>
      <c r="G96" t="s">
        <v>2243</v>
      </c>
      <c r="H96">
        <v>7</v>
      </c>
      <c r="I96">
        <v>3</v>
      </c>
      <c r="J96" t="s">
        <v>0</v>
      </c>
    </row>
    <row r="97" spans="3:10" x14ac:dyDescent="0.25">
      <c r="C97">
        <v>94</v>
      </c>
      <c r="D97">
        <v>209550143</v>
      </c>
      <c r="E97" t="s">
        <v>1137</v>
      </c>
      <c r="F97" t="s">
        <v>2498</v>
      </c>
      <c r="G97" t="s">
        <v>2243</v>
      </c>
      <c r="H97">
        <v>7</v>
      </c>
      <c r="I97">
        <v>3</v>
      </c>
      <c r="J97" t="s">
        <v>0</v>
      </c>
    </row>
    <row r="98" spans="3:10" x14ac:dyDescent="0.25">
      <c r="C98">
        <v>95</v>
      </c>
      <c r="D98">
        <v>121410844</v>
      </c>
      <c r="E98" t="s">
        <v>1138</v>
      </c>
      <c r="F98" t="s">
        <v>2499</v>
      </c>
      <c r="G98" t="s">
        <v>2243</v>
      </c>
      <c r="H98">
        <v>7</v>
      </c>
      <c r="I98">
        <v>3</v>
      </c>
      <c r="J98" t="s">
        <v>0</v>
      </c>
    </row>
    <row r="99" spans="3:10" x14ac:dyDescent="0.25">
      <c r="C99">
        <v>96</v>
      </c>
      <c r="D99">
        <v>209550525</v>
      </c>
      <c r="E99" t="s">
        <v>1139</v>
      </c>
      <c r="F99" t="s">
        <v>2500</v>
      </c>
      <c r="G99" t="s">
        <v>2243</v>
      </c>
      <c r="H99">
        <v>7</v>
      </c>
      <c r="I99">
        <v>3</v>
      </c>
      <c r="J99" t="s">
        <v>0</v>
      </c>
    </row>
    <row r="100" spans="3:10" x14ac:dyDescent="0.25">
      <c r="C100">
        <v>97</v>
      </c>
      <c r="D100">
        <v>209570237</v>
      </c>
      <c r="E100" t="s">
        <v>1140</v>
      </c>
      <c r="F100" t="s">
        <v>2501</v>
      </c>
      <c r="G100" t="s">
        <v>2243</v>
      </c>
      <c r="H100">
        <v>7</v>
      </c>
      <c r="I100">
        <v>3</v>
      </c>
      <c r="J100" t="s">
        <v>0</v>
      </c>
    </row>
    <row r="101" spans="3:10" x14ac:dyDescent="0.25">
      <c r="C101">
        <v>98</v>
      </c>
      <c r="D101">
        <v>209510023</v>
      </c>
      <c r="E101" t="s">
        <v>1141</v>
      </c>
      <c r="F101" t="s">
        <v>2502</v>
      </c>
      <c r="G101" t="s">
        <v>2243</v>
      </c>
      <c r="H101">
        <v>7</v>
      </c>
      <c r="I101">
        <v>3</v>
      </c>
      <c r="J101" t="s">
        <v>0</v>
      </c>
    </row>
    <row r="102" spans="3:10" x14ac:dyDescent="0.25">
      <c r="C102">
        <v>99</v>
      </c>
      <c r="D102">
        <v>209440597</v>
      </c>
      <c r="E102" t="s">
        <v>1247</v>
      </c>
      <c r="F102" t="s">
        <v>2503</v>
      </c>
      <c r="G102" t="s">
        <v>2243</v>
      </c>
      <c r="H102">
        <v>7</v>
      </c>
      <c r="I102">
        <v>3</v>
      </c>
      <c r="J102" t="s">
        <v>0</v>
      </c>
    </row>
    <row r="103" spans="3:10" x14ac:dyDescent="0.25">
      <c r="C103">
        <v>100</v>
      </c>
      <c r="D103">
        <v>505100810</v>
      </c>
      <c r="E103" t="s">
        <v>1142</v>
      </c>
      <c r="F103" t="s">
        <v>2504</v>
      </c>
      <c r="G103" t="s">
        <v>2243</v>
      </c>
      <c r="H103">
        <v>7</v>
      </c>
      <c r="I103">
        <v>3</v>
      </c>
      <c r="J103" t="s">
        <v>0</v>
      </c>
    </row>
    <row r="104" spans="3:10" x14ac:dyDescent="0.25">
      <c r="C104">
        <v>101</v>
      </c>
      <c r="D104">
        <v>402910687</v>
      </c>
      <c r="E104" t="s">
        <v>1367</v>
      </c>
      <c r="F104" t="s">
        <v>2505</v>
      </c>
      <c r="G104" t="s">
        <v>2243</v>
      </c>
      <c r="H104">
        <v>7</v>
      </c>
      <c r="I104">
        <v>3</v>
      </c>
      <c r="J104" t="s">
        <v>0</v>
      </c>
    </row>
    <row r="105" spans="3:10" x14ac:dyDescent="0.25">
      <c r="C105">
        <v>102</v>
      </c>
      <c r="D105">
        <v>209580600</v>
      </c>
      <c r="E105" t="s">
        <v>1143</v>
      </c>
      <c r="F105" t="s">
        <v>2506</v>
      </c>
      <c r="G105" t="s">
        <v>2243</v>
      </c>
      <c r="H105">
        <v>7</v>
      </c>
      <c r="I105">
        <v>3</v>
      </c>
      <c r="J105" t="s">
        <v>0</v>
      </c>
    </row>
    <row r="106" spans="3:10" x14ac:dyDescent="0.25">
      <c r="C106">
        <v>103</v>
      </c>
      <c r="D106">
        <v>402980692</v>
      </c>
      <c r="E106" t="s">
        <v>1144</v>
      </c>
      <c r="F106" t="s">
        <v>2507</v>
      </c>
      <c r="G106" t="s">
        <v>2243</v>
      </c>
      <c r="H106">
        <v>7</v>
      </c>
      <c r="I106">
        <v>3</v>
      </c>
      <c r="J106" t="s">
        <v>0</v>
      </c>
    </row>
    <row r="107" spans="3:10" x14ac:dyDescent="0.25">
      <c r="C107">
        <v>104</v>
      </c>
      <c r="D107">
        <v>209560667</v>
      </c>
      <c r="E107" t="s">
        <v>1145</v>
      </c>
      <c r="F107" t="s">
        <v>2508</v>
      </c>
      <c r="G107" t="s">
        <v>2243</v>
      </c>
      <c r="H107">
        <v>7</v>
      </c>
      <c r="I107">
        <v>4</v>
      </c>
      <c r="J107" t="s">
        <v>1</v>
      </c>
    </row>
    <row r="108" spans="3:10" x14ac:dyDescent="0.25">
      <c r="C108">
        <v>105</v>
      </c>
      <c r="D108">
        <v>209470783</v>
      </c>
      <c r="E108" t="s">
        <v>1414</v>
      </c>
      <c r="F108" t="s">
        <v>2509</v>
      </c>
      <c r="G108" t="s">
        <v>2243</v>
      </c>
      <c r="H108">
        <v>7</v>
      </c>
      <c r="I108">
        <v>4</v>
      </c>
      <c r="J108" t="s">
        <v>1</v>
      </c>
    </row>
    <row r="109" spans="3:10" x14ac:dyDescent="0.25">
      <c r="C109">
        <v>106</v>
      </c>
      <c r="D109">
        <v>121420761</v>
      </c>
      <c r="E109" t="s">
        <v>1146</v>
      </c>
      <c r="F109" t="s">
        <v>2510</v>
      </c>
      <c r="G109" t="s">
        <v>2243</v>
      </c>
      <c r="H109">
        <v>7</v>
      </c>
      <c r="I109">
        <v>4</v>
      </c>
      <c r="J109" t="s">
        <v>1</v>
      </c>
    </row>
    <row r="110" spans="3:10" x14ac:dyDescent="0.25">
      <c r="C110">
        <v>107</v>
      </c>
      <c r="D110">
        <v>209510300</v>
      </c>
      <c r="E110" t="s">
        <v>1147</v>
      </c>
      <c r="F110" t="s">
        <v>2511</v>
      </c>
      <c r="G110" t="s">
        <v>2243</v>
      </c>
      <c r="H110">
        <v>7</v>
      </c>
      <c r="I110">
        <v>4</v>
      </c>
      <c r="J110" t="s">
        <v>1</v>
      </c>
    </row>
    <row r="111" spans="3:10" x14ac:dyDescent="0.25">
      <c r="C111">
        <v>108</v>
      </c>
      <c r="D111">
        <v>209600712</v>
      </c>
      <c r="E111" t="s">
        <v>1148</v>
      </c>
      <c r="F111" t="s">
        <v>2512</v>
      </c>
      <c r="G111" t="s">
        <v>2243</v>
      </c>
      <c r="H111">
        <v>7</v>
      </c>
      <c r="I111">
        <v>4</v>
      </c>
      <c r="J111" t="s">
        <v>1</v>
      </c>
    </row>
    <row r="112" spans="3:10" x14ac:dyDescent="0.25">
      <c r="C112">
        <v>109</v>
      </c>
      <c r="D112">
        <v>209520604</v>
      </c>
      <c r="E112" t="s">
        <v>1149</v>
      </c>
      <c r="F112" t="s">
        <v>2513</v>
      </c>
      <c r="G112" t="s">
        <v>2243</v>
      </c>
      <c r="H112">
        <v>7</v>
      </c>
      <c r="I112">
        <v>4</v>
      </c>
      <c r="J112" t="s">
        <v>1</v>
      </c>
    </row>
    <row r="113" spans="3:10" x14ac:dyDescent="0.25">
      <c r="C113">
        <v>110</v>
      </c>
      <c r="D113">
        <v>209580263</v>
      </c>
      <c r="E113" t="s">
        <v>1150</v>
      </c>
      <c r="F113" t="s">
        <v>2514</v>
      </c>
      <c r="G113" t="s">
        <v>2243</v>
      </c>
      <c r="H113">
        <v>7</v>
      </c>
      <c r="I113">
        <v>4</v>
      </c>
      <c r="J113" t="s">
        <v>1</v>
      </c>
    </row>
    <row r="114" spans="3:10" x14ac:dyDescent="0.25">
      <c r="C114">
        <v>111</v>
      </c>
      <c r="D114">
        <v>209630597</v>
      </c>
      <c r="E114" t="s">
        <v>1151</v>
      </c>
      <c r="F114" t="s">
        <v>2515</v>
      </c>
      <c r="G114" t="s">
        <v>2243</v>
      </c>
      <c r="H114">
        <v>7</v>
      </c>
      <c r="I114">
        <v>4</v>
      </c>
      <c r="J114" t="s">
        <v>1</v>
      </c>
    </row>
    <row r="115" spans="3:10" x14ac:dyDescent="0.25">
      <c r="C115">
        <v>112</v>
      </c>
      <c r="D115">
        <v>209400869</v>
      </c>
      <c r="E115" t="s">
        <v>1403</v>
      </c>
      <c r="F115" t="s">
        <v>2516</v>
      </c>
      <c r="G115" t="s">
        <v>2243</v>
      </c>
      <c r="H115">
        <v>7</v>
      </c>
      <c r="I115">
        <v>4</v>
      </c>
      <c r="J115" t="s">
        <v>1</v>
      </c>
    </row>
    <row r="116" spans="3:10" x14ac:dyDescent="0.25">
      <c r="C116">
        <v>113</v>
      </c>
      <c r="D116">
        <v>402980534</v>
      </c>
      <c r="E116" t="s">
        <v>1152</v>
      </c>
      <c r="F116" t="s">
        <v>2517</v>
      </c>
      <c r="G116" t="s">
        <v>2243</v>
      </c>
      <c r="H116">
        <v>7</v>
      </c>
      <c r="I116">
        <v>4</v>
      </c>
      <c r="J116" t="s">
        <v>1</v>
      </c>
    </row>
    <row r="117" spans="3:10" x14ac:dyDescent="0.25">
      <c r="C117">
        <v>114</v>
      </c>
      <c r="D117">
        <v>402960926</v>
      </c>
      <c r="E117" t="s">
        <v>2518</v>
      </c>
      <c r="F117" t="s">
        <v>2519</v>
      </c>
      <c r="G117" t="s">
        <v>2243</v>
      </c>
      <c r="H117">
        <v>7</v>
      </c>
      <c r="I117">
        <v>4</v>
      </c>
      <c r="J117" t="s">
        <v>1</v>
      </c>
    </row>
    <row r="118" spans="3:10" x14ac:dyDescent="0.25">
      <c r="C118">
        <v>115</v>
      </c>
      <c r="D118">
        <v>209650330</v>
      </c>
      <c r="E118" t="s">
        <v>1153</v>
      </c>
      <c r="F118" t="s">
        <v>2520</v>
      </c>
      <c r="G118" t="s">
        <v>2243</v>
      </c>
      <c r="H118">
        <v>7</v>
      </c>
      <c r="I118">
        <v>4</v>
      </c>
      <c r="J118" t="s">
        <v>1</v>
      </c>
    </row>
    <row r="119" spans="3:10" x14ac:dyDescent="0.25">
      <c r="C119">
        <v>116</v>
      </c>
      <c r="D119">
        <v>209600185</v>
      </c>
      <c r="E119" t="s">
        <v>1154</v>
      </c>
      <c r="F119" t="s">
        <v>2521</v>
      </c>
      <c r="G119" t="s">
        <v>2243</v>
      </c>
      <c r="H119">
        <v>7</v>
      </c>
      <c r="I119">
        <v>4</v>
      </c>
      <c r="J119" t="s">
        <v>1</v>
      </c>
    </row>
    <row r="120" spans="3:10" x14ac:dyDescent="0.25">
      <c r="C120">
        <v>117</v>
      </c>
      <c r="D120">
        <v>121380510</v>
      </c>
      <c r="E120" t="s">
        <v>1155</v>
      </c>
      <c r="F120" t="s">
        <v>2522</v>
      </c>
      <c r="G120" t="s">
        <v>2243</v>
      </c>
      <c r="H120">
        <v>7</v>
      </c>
      <c r="I120">
        <v>4</v>
      </c>
      <c r="J120" t="s">
        <v>1</v>
      </c>
    </row>
    <row r="121" spans="3:10" x14ac:dyDescent="0.25">
      <c r="C121">
        <v>118</v>
      </c>
      <c r="D121">
        <v>209610405</v>
      </c>
      <c r="E121" t="s">
        <v>1156</v>
      </c>
      <c r="F121" t="s">
        <v>2523</v>
      </c>
      <c r="G121" t="s">
        <v>2243</v>
      </c>
      <c r="H121">
        <v>7</v>
      </c>
      <c r="I121">
        <v>4</v>
      </c>
      <c r="J121" t="s">
        <v>1</v>
      </c>
    </row>
    <row r="122" spans="3:10" x14ac:dyDescent="0.25">
      <c r="C122">
        <v>119</v>
      </c>
      <c r="D122">
        <v>402960319</v>
      </c>
      <c r="E122" t="s">
        <v>1157</v>
      </c>
      <c r="F122" t="s">
        <v>2524</v>
      </c>
      <c r="G122" t="s">
        <v>2243</v>
      </c>
      <c r="H122">
        <v>7</v>
      </c>
      <c r="I122">
        <v>4</v>
      </c>
      <c r="J122" t="s">
        <v>1</v>
      </c>
    </row>
    <row r="123" spans="3:10" x14ac:dyDescent="0.25">
      <c r="C123">
        <v>120</v>
      </c>
      <c r="D123">
        <v>209640073</v>
      </c>
      <c r="E123" t="s">
        <v>1158</v>
      </c>
      <c r="F123" t="s">
        <v>2525</v>
      </c>
      <c r="G123" t="s">
        <v>2243</v>
      </c>
      <c r="H123">
        <v>7</v>
      </c>
      <c r="I123">
        <v>4</v>
      </c>
      <c r="J123" t="s">
        <v>1</v>
      </c>
    </row>
    <row r="124" spans="3:10" x14ac:dyDescent="0.25">
      <c r="C124">
        <v>121</v>
      </c>
      <c r="D124">
        <v>121550882</v>
      </c>
      <c r="E124" t="s">
        <v>1159</v>
      </c>
      <c r="F124" t="s">
        <v>2526</v>
      </c>
      <c r="G124" t="s">
        <v>2243</v>
      </c>
      <c r="H124">
        <v>7</v>
      </c>
      <c r="I124">
        <v>4</v>
      </c>
      <c r="J124" t="s">
        <v>0</v>
      </c>
    </row>
    <row r="125" spans="3:10" x14ac:dyDescent="0.25">
      <c r="C125">
        <v>122</v>
      </c>
      <c r="D125">
        <v>209670456</v>
      </c>
      <c r="E125" t="s">
        <v>1160</v>
      </c>
      <c r="F125" t="s">
        <v>2527</v>
      </c>
      <c r="G125" t="s">
        <v>2243</v>
      </c>
      <c r="H125">
        <v>7</v>
      </c>
      <c r="I125">
        <v>4</v>
      </c>
      <c r="J125" t="s">
        <v>0</v>
      </c>
    </row>
    <row r="126" spans="3:10" x14ac:dyDescent="0.25">
      <c r="C126">
        <v>123</v>
      </c>
      <c r="D126">
        <v>209500685</v>
      </c>
      <c r="E126" t="s">
        <v>1161</v>
      </c>
      <c r="F126" t="s">
        <v>2528</v>
      </c>
      <c r="G126" t="s">
        <v>2243</v>
      </c>
      <c r="H126">
        <v>7</v>
      </c>
      <c r="I126">
        <v>4</v>
      </c>
      <c r="J126" t="s">
        <v>0</v>
      </c>
    </row>
    <row r="127" spans="3:10" x14ac:dyDescent="0.25">
      <c r="C127">
        <v>124</v>
      </c>
      <c r="D127">
        <v>121390204</v>
      </c>
      <c r="E127" t="s">
        <v>1162</v>
      </c>
      <c r="F127" t="s">
        <v>2529</v>
      </c>
      <c r="G127" t="s">
        <v>2243</v>
      </c>
      <c r="H127">
        <v>7</v>
      </c>
      <c r="I127">
        <v>4</v>
      </c>
      <c r="J127" t="s">
        <v>0</v>
      </c>
    </row>
    <row r="128" spans="3:10" x14ac:dyDescent="0.25">
      <c r="C128">
        <v>125</v>
      </c>
      <c r="D128">
        <v>209540540</v>
      </c>
      <c r="E128" t="s">
        <v>1163</v>
      </c>
      <c r="F128" t="s">
        <v>2530</v>
      </c>
      <c r="G128" t="s">
        <v>2243</v>
      </c>
      <c r="H128">
        <v>7</v>
      </c>
      <c r="I128">
        <v>4</v>
      </c>
      <c r="J128" t="s">
        <v>0</v>
      </c>
    </row>
    <row r="129" spans="3:10" x14ac:dyDescent="0.25">
      <c r="C129">
        <v>126</v>
      </c>
      <c r="D129">
        <v>121380719</v>
      </c>
      <c r="E129" t="s">
        <v>1164</v>
      </c>
      <c r="F129" t="s">
        <v>2531</v>
      </c>
      <c r="G129" t="s">
        <v>2243</v>
      </c>
      <c r="H129">
        <v>7</v>
      </c>
      <c r="I129">
        <v>4</v>
      </c>
      <c r="J129" t="s">
        <v>0</v>
      </c>
    </row>
    <row r="130" spans="3:10" x14ac:dyDescent="0.25">
      <c r="C130">
        <v>127</v>
      </c>
      <c r="D130">
        <v>403000544</v>
      </c>
      <c r="E130" t="s">
        <v>1165</v>
      </c>
      <c r="F130" t="s">
        <v>2532</v>
      </c>
      <c r="G130" t="s">
        <v>2243</v>
      </c>
      <c r="H130">
        <v>7</v>
      </c>
      <c r="I130">
        <v>4</v>
      </c>
      <c r="J130" t="s">
        <v>0</v>
      </c>
    </row>
    <row r="131" spans="3:10" x14ac:dyDescent="0.25">
      <c r="C131">
        <v>128</v>
      </c>
      <c r="D131">
        <v>209510683</v>
      </c>
      <c r="E131" t="s">
        <v>1166</v>
      </c>
      <c r="F131" t="s">
        <v>2533</v>
      </c>
      <c r="G131" t="s">
        <v>2243</v>
      </c>
      <c r="H131">
        <v>7</v>
      </c>
      <c r="I131">
        <v>4</v>
      </c>
      <c r="J131" t="s">
        <v>0</v>
      </c>
    </row>
    <row r="132" spans="3:10" x14ac:dyDescent="0.25">
      <c r="C132">
        <v>129</v>
      </c>
      <c r="D132">
        <v>402990708</v>
      </c>
      <c r="E132" t="s">
        <v>1167</v>
      </c>
      <c r="F132" t="s">
        <v>2534</v>
      </c>
      <c r="G132" t="s">
        <v>2243</v>
      </c>
      <c r="H132">
        <v>7</v>
      </c>
      <c r="I132">
        <v>4</v>
      </c>
      <c r="J132" t="s">
        <v>0</v>
      </c>
    </row>
    <row r="133" spans="3:10" x14ac:dyDescent="0.25">
      <c r="C133">
        <v>130</v>
      </c>
      <c r="D133">
        <v>403010065</v>
      </c>
      <c r="E133" t="s">
        <v>2535</v>
      </c>
      <c r="F133" t="s">
        <v>2536</v>
      </c>
      <c r="G133" t="s">
        <v>2243</v>
      </c>
      <c r="H133">
        <v>7</v>
      </c>
      <c r="I133">
        <v>4</v>
      </c>
      <c r="J133" t="s">
        <v>0</v>
      </c>
    </row>
    <row r="134" spans="3:10" x14ac:dyDescent="0.25">
      <c r="C134">
        <v>131</v>
      </c>
      <c r="D134">
        <v>121610769</v>
      </c>
      <c r="E134" t="s">
        <v>1168</v>
      </c>
      <c r="F134" t="s">
        <v>2537</v>
      </c>
      <c r="G134" t="s">
        <v>2243</v>
      </c>
      <c r="H134">
        <v>7</v>
      </c>
      <c r="I134">
        <v>4</v>
      </c>
      <c r="J134" t="s">
        <v>0</v>
      </c>
    </row>
    <row r="135" spans="3:10" x14ac:dyDescent="0.25">
      <c r="C135">
        <v>132</v>
      </c>
      <c r="D135">
        <v>402930793</v>
      </c>
      <c r="E135" t="s">
        <v>1390</v>
      </c>
      <c r="F135" t="s">
        <v>2538</v>
      </c>
      <c r="G135" t="s">
        <v>2243</v>
      </c>
      <c r="H135">
        <v>7</v>
      </c>
      <c r="I135">
        <v>4</v>
      </c>
      <c r="J135" t="s">
        <v>0</v>
      </c>
    </row>
    <row r="136" spans="3:10" x14ac:dyDescent="0.25">
      <c r="C136">
        <v>133</v>
      </c>
      <c r="D136">
        <v>209660016</v>
      </c>
      <c r="E136" t="s">
        <v>1169</v>
      </c>
      <c r="F136" t="s">
        <v>2539</v>
      </c>
      <c r="G136" t="s">
        <v>2243</v>
      </c>
      <c r="H136">
        <v>7</v>
      </c>
      <c r="I136">
        <v>4</v>
      </c>
      <c r="J136" t="s">
        <v>0</v>
      </c>
    </row>
    <row r="137" spans="3:10" x14ac:dyDescent="0.25">
      <c r="C137">
        <v>134</v>
      </c>
      <c r="D137">
        <v>402970394</v>
      </c>
      <c r="E137" t="s">
        <v>2540</v>
      </c>
      <c r="F137" t="s">
        <v>2541</v>
      </c>
      <c r="G137" t="s">
        <v>2243</v>
      </c>
      <c r="H137">
        <v>7</v>
      </c>
      <c r="I137">
        <v>4</v>
      </c>
      <c r="J137" t="s">
        <v>0</v>
      </c>
    </row>
    <row r="138" spans="3:10" x14ac:dyDescent="0.25">
      <c r="C138">
        <v>135</v>
      </c>
      <c r="D138">
        <v>209670281</v>
      </c>
      <c r="E138" t="s">
        <v>1170</v>
      </c>
      <c r="F138" t="s">
        <v>2542</v>
      </c>
      <c r="G138" t="s">
        <v>2243</v>
      </c>
      <c r="H138">
        <v>7</v>
      </c>
      <c r="I138">
        <v>4</v>
      </c>
      <c r="J138" t="s">
        <v>0</v>
      </c>
    </row>
    <row r="139" spans="3:10" x14ac:dyDescent="0.25">
      <c r="C139">
        <v>136</v>
      </c>
      <c r="D139">
        <v>209520928</v>
      </c>
      <c r="E139" t="s">
        <v>1171</v>
      </c>
      <c r="F139" t="s">
        <v>2543</v>
      </c>
      <c r="G139" t="s">
        <v>2243</v>
      </c>
      <c r="H139">
        <v>7</v>
      </c>
      <c r="I139">
        <v>4</v>
      </c>
      <c r="J139" t="s">
        <v>0</v>
      </c>
    </row>
    <row r="140" spans="3:10" x14ac:dyDescent="0.25">
      <c r="C140">
        <v>137</v>
      </c>
      <c r="D140">
        <v>209650275</v>
      </c>
      <c r="E140" t="s">
        <v>1172</v>
      </c>
      <c r="F140" t="s">
        <v>2544</v>
      </c>
      <c r="G140" t="s">
        <v>2243</v>
      </c>
      <c r="H140">
        <v>7</v>
      </c>
      <c r="I140">
        <v>4</v>
      </c>
      <c r="J140" t="s">
        <v>0</v>
      </c>
    </row>
    <row r="141" spans="3:10" x14ac:dyDescent="0.25">
      <c r="C141">
        <v>138</v>
      </c>
      <c r="D141">
        <v>209640574</v>
      </c>
      <c r="E141" t="s">
        <v>1173</v>
      </c>
      <c r="F141" t="s">
        <v>2545</v>
      </c>
      <c r="G141" t="s">
        <v>2243</v>
      </c>
      <c r="H141">
        <v>7</v>
      </c>
      <c r="I141">
        <v>4</v>
      </c>
      <c r="J141" t="s">
        <v>0</v>
      </c>
    </row>
    <row r="142" spans="3:10" x14ac:dyDescent="0.25">
      <c r="C142">
        <v>139</v>
      </c>
      <c r="D142">
        <v>121440641</v>
      </c>
      <c r="E142" t="s">
        <v>1174</v>
      </c>
      <c r="F142" t="s">
        <v>2546</v>
      </c>
      <c r="G142" t="s">
        <v>2243</v>
      </c>
      <c r="H142">
        <v>7</v>
      </c>
      <c r="I142">
        <v>5</v>
      </c>
      <c r="J142" t="s">
        <v>1</v>
      </c>
    </row>
    <row r="143" spans="3:10" x14ac:dyDescent="0.25">
      <c r="C143">
        <v>140</v>
      </c>
      <c r="D143">
        <v>403000520</v>
      </c>
      <c r="E143" t="s">
        <v>1175</v>
      </c>
      <c r="F143" t="s">
        <v>2547</v>
      </c>
      <c r="G143" t="s">
        <v>2243</v>
      </c>
      <c r="H143">
        <v>7</v>
      </c>
      <c r="I143">
        <v>5</v>
      </c>
      <c r="J143" t="s">
        <v>1</v>
      </c>
    </row>
    <row r="144" spans="3:10" x14ac:dyDescent="0.25">
      <c r="C144">
        <v>141</v>
      </c>
      <c r="D144">
        <v>209610754</v>
      </c>
      <c r="E144" t="s">
        <v>1176</v>
      </c>
      <c r="F144" t="s">
        <v>2548</v>
      </c>
      <c r="G144" t="s">
        <v>2243</v>
      </c>
      <c r="H144">
        <v>7</v>
      </c>
      <c r="I144">
        <v>5</v>
      </c>
      <c r="J144" t="s">
        <v>1</v>
      </c>
    </row>
    <row r="145" spans="3:10" x14ac:dyDescent="0.25">
      <c r="C145">
        <v>142</v>
      </c>
      <c r="D145">
        <v>209620465</v>
      </c>
      <c r="E145" t="s">
        <v>1177</v>
      </c>
      <c r="F145" t="s">
        <v>2549</v>
      </c>
      <c r="G145" t="s">
        <v>2243</v>
      </c>
      <c r="H145">
        <v>7</v>
      </c>
      <c r="I145">
        <v>5</v>
      </c>
      <c r="J145" t="s">
        <v>1</v>
      </c>
    </row>
    <row r="146" spans="3:10" x14ac:dyDescent="0.25">
      <c r="C146">
        <v>143</v>
      </c>
      <c r="D146">
        <v>209530214</v>
      </c>
      <c r="E146" t="s">
        <v>1178</v>
      </c>
      <c r="F146" t="s">
        <v>2550</v>
      </c>
      <c r="G146" t="s">
        <v>2243</v>
      </c>
      <c r="H146">
        <v>7</v>
      </c>
      <c r="I146">
        <v>5</v>
      </c>
      <c r="J146" t="s">
        <v>1</v>
      </c>
    </row>
    <row r="147" spans="3:10" x14ac:dyDescent="0.25">
      <c r="C147">
        <v>144</v>
      </c>
      <c r="D147">
        <v>209660668</v>
      </c>
      <c r="E147" t="s">
        <v>1179</v>
      </c>
      <c r="F147" t="s">
        <v>2551</v>
      </c>
      <c r="G147" t="s">
        <v>2243</v>
      </c>
      <c r="H147">
        <v>7</v>
      </c>
      <c r="I147">
        <v>5</v>
      </c>
      <c r="J147" t="s">
        <v>1</v>
      </c>
    </row>
    <row r="148" spans="3:10" x14ac:dyDescent="0.25">
      <c r="C148">
        <v>145</v>
      </c>
      <c r="D148" t="s">
        <v>2188</v>
      </c>
      <c r="E148" t="s">
        <v>2188</v>
      </c>
      <c r="F148" t="s">
        <v>2552</v>
      </c>
      <c r="G148" t="s">
        <v>2243</v>
      </c>
      <c r="H148">
        <v>7</v>
      </c>
      <c r="I148">
        <v>5</v>
      </c>
      <c r="J148" t="s">
        <v>1</v>
      </c>
    </row>
    <row r="149" spans="3:10" x14ac:dyDescent="0.25">
      <c r="C149">
        <v>146</v>
      </c>
      <c r="D149">
        <v>209610410</v>
      </c>
      <c r="E149" t="s">
        <v>1180</v>
      </c>
      <c r="F149" t="s">
        <v>2553</v>
      </c>
      <c r="G149" t="s">
        <v>2243</v>
      </c>
      <c r="H149">
        <v>7</v>
      </c>
      <c r="I149">
        <v>5</v>
      </c>
      <c r="J149" t="s">
        <v>1</v>
      </c>
    </row>
    <row r="150" spans="3:10" x14ac:dyDescent="0.25">
      <c r="C150">
        <v>147</v>
      </c>
      <c r="D150">
        <v>402980454</v>
      </c>
      <c r="E150" t="s">
        <v>1181</v>
      </c>
      <c r="F150" t="s">
        <v>2554</v>
      </c>
      <c r="G150" t="s">
        <v>2243</v>
      </c>
      <c r="H150">
        <v>7</v>
      </c>
      <c r="I150">
        <v>5</v>
      </c>
      <c r="J150" t="s">
        <v>1</v>
      </c>
    </row>
    <row r="151" spans="3:10" x14ac:dyDescent="0.25">
      <c r="C151">
        <v>148</v>
      </c>
      <c r="D151">
        <v>209530082</v>
      </c>
      <c r="E151" t="s">
        <v>1182</v>
      </c>
      <c r="F151" t="s">
        <v>2555</v>
      </c>
      <c r="G151" t="s">
        <v>2243</v>
      </c>
      <c r="H151">
        <v>7</v>
      </c>
      <c r="I151">
        <v>5</v>
      </c>
      <c r="J151" t="s">
        <v>1</v>
      </c>
    </row>
    <row r="152" spans="3:10" x14ac:dyDescent="0.25">
      <c r="C152">
        <v>149</v>
      </c>
      <c r="D152">
        <v>209570207</v>
      </c>
      <c r="E152" t="s">
        <v>1183</v>
      </c>
      <c r="F152" t="s">
        <v>2556</v>
      </c>
      <c r="G152" t="s">
        <v>2243</v>
      </c>
      <c r="H152">
        <v>7</v>
      </c>
      <c r="I152">
        <v>5</v>
      </c>
      <c r="J152" t="s">
        <v>1</v>
      </c>
    </row>
    <row r="153" spans="3:10" x14ac:dyDescent="0.25">
      <c r="C153">
        <v>150</v>
      </c>
      <c r="D153">
        <v>402980505</v>
      </c>
      <c r="E153" t="s">
        <v>1184</v>
      </c>
      <c r="F153" t="s">
        <v>2557</v>
      </c>
      <c r="G153" t="s">
        <v>2243</v>
      </c>
      <c r="H153">
        <v>7</v>
      </c>
      <c r="I153">
        <v>5</v>
      </c>
      <c r="J153" t="s">
        <v>1</v>
      </c>
    </row>
    <row r="154" spans="3:10" x14ac:dyDescent="0.25">
      <c r="C154">
        <v>151</v>
      </c>
      <c r="D154">
        <v>121580629</v>
      </c>
      <c r="E154" t="s">
        <v>1185</v>
      </c>
      <c r="F154" t="s">
        <v>2558</v>
      </c>
      <c r="G154" t="s">
        <v>2243</v>
      </c>
      <c r="H154">
        <v>7</v>
      </c>
      <c r="I154">
        <v>5</v>
      </c>
      <c r="J154" t="s">
        <v>1</v>
      </c>
    </row>
    <row r="155" spans="3:10" x14ac:dyDescent="0.25">
      <c r="C155">
        <v>152</v>
      </c>
      <c r="D155">
        <v>209630950</v>
      </c>
      <c r="E155" t="s">
        <v>1186</v>
      </c>
      <c r="F155" t="s">
        <v>2559</v>
      </c>
      <c r="G155" t="s">
        <v>2243</v>
      </c>
      <c r="H155">
        <v>7</v>
      </c>
      <c r="I155">
        <v>5</v>
      </c>
      <c r="J155" t="s">
        <v>1</v>
      </c>
    </row>
    <row r="156" spans="3:10" x14ac:dyDescent="0.25">
      <c r="C156">
        <v>153</v>
      </c>
      <c r="D156">
        <v>121630788</v>
      </c>
      <c r="E156" t="s">
        <v>1187</v>
      </c>
      <c r="F156" t="s">
        <v>2560</v>
      </c>
      <c r="G156" t="s">
        <v>2243</v>
      </c>
      <c r="H156">
        <v>7</v>
      </c>
      <c r="I156">
        <v>5</v>
      </c>
      <c r="J156" t="s">
        <v>1</v>
      </c>
    </row>
    <row r="157" spans="3:10" x14ac:dyDescent="0.25">
      <c r="C157">
        <v>154</v>
      </c>
      <c r="D157">
        <v>209620816</v>
      </c>
      <c r="E157" t="s">
        <v>1188</v>
      </c>
      <c r="F157" t="s">
        <v>2561</v>
      </c>
      <c r="G157" t="s">
        <v>2243</v>
      </c>
      <c r="H157">
        <v>7</v>
      </c>
      <c r="I157">
        <v>5</v>
      </c>
      <c r="J157" t="s">
        <v>1</v>
      </c>
    </row>
    <row r="158" spans="3:10" x14ac:dyDescent="0.25">
      <c r="C158">
        <v>155</v>
      </c>
      <c r="D158">
        <v>209510785</v>
      </c>
      <c r="E158" t="s">
        <v>1189</v>
      </c>
      <c r="F158" t="s">
        <v>2562</v>
      </c>
      <c r="G158" t="s">
        <v>2243</v>
      </c>
      <c r="H158">
        <v>7</v>
      </c>
      <c r="I158">
        <v>5</v>
      </c>
      <c r="J158" t="s">
        <v>1</v>
      </c>
    </row>
    <row r="159" spans="3:10" x14ac:dyDescent="0.25">
      <c r="C159">
        <v>156</v>
      </c>
      <c r="D159">
        <v>209520108</v>
      </c>
      <c r="E159" t="s">
        <v>1190</v>
      </c>
      <c r="F159" t="s">
        <v>2563</v>
      </c>
      <c r="G159" t="s">
        <v>2243</v>
      </c>
      <c r="H159">
        <v>7</v>
      </c>
      <c r="I159">
        <v>5</v>
      </c>
      <c r="J159" t="s">
        <v>0</v>
      </c>
    </row>
    <row r="160" spans="3:10" x14ac:dyDescent="0.25">
      <c r="C160">
        <v>157</v>
      </c>
      <c r="D160">
        <v>209620656</v>
      </c>
      <c r="E160" t="s">
        <v>1191</v>
      </c>
      <c r="F160" t="s">
        <v>2564</v>
      </c>
      <c r="G160" t="s">
        <v>2243</v>
      </c>
      <c r="H160">
        <v>7</v>
      </c>
      <c r="I160">
        <v>5</v>
      </c>
      <c r="J160" t="s">
        <v>0</v>
      </c>
    </row>
    <row r="161" spans="3:10" x14ac:dyDescent="0.25">
      <c r="C161">
        <v>158</v>
      </c>
      <c r="D161">
        <v>209630822</v>
      </c>
      <c r="E161" t="s">
        <v>1192</v>
      </c>
      <c r="F161" t="s">
        <v>2565</v>
      </c>
      <c r="G161" t="s">
        <v>2243</v>
      </c>
      <c r="H161">
        <v>7</v>
      </c>
      <c r="I161">
        <v>5</v>
      </c>
      <c r="J161" t="s">
        <v>0</v>
      </c>
    </row>
    <row r="162" spans="3:10" x14ac:dyDescent="0.25">
      <c r="C162">
        <v>159</v>
      </c>
      <c r="D162">
        <v>209640025</v>
      </c>
      <c r="E162" t="s">
        <v>2566</v>
      </c>
      <c r="F162" t="s">
        <v>2567</v>
      </c>
      <c r="G162" t="s">
        <v>2243</v>
      </c>
      <c r="H162">
        <v>7</v>
      </c>
      <c r="I162">
        <v>5</v>
      </c>
      <c r="J162" t="s">
        <v>0</v>
      </c>
    </row>
    <row r="163" spans="3:10" x14ac:dyDescent="0.25">
      <c r="C163">
        <v>160</v>
      </c>
      <c r="D163">
        <v>209590627</v>
      </c>
      <c r="E163" t="s">
        <v>1193</v>
      </c>
      <c r="F163" t="s">
        <v>2568</v>
      </c>
      <c r="G163" t="s">
        <v>2243</v>
      </c>
      <c r="H163">
        <v>7</v>
      </c>
      <c r="I163">
        <v>5</v>
      </c>
      <c r="J163" t="s">
        <v>0</v>
      </c>
    </row>
    <row r="164" spans="3:10" x14ac:dyDescent="0.25">
      <c r="C164">
        <v>161</v>
      </c>
      <c r="D164">
        <v>209670813</v>
      </c>
      <c r="E164" t="s">
        <v>1194</v>
      </c>
      <c r="F164" t="s">
        <v>2569</v>
      </c>
      <c r="G164" t="s">
        <v>2243</v>
      </c>
      <c r="H164">
        <v>7</v>
      </c>
      <c r="I164">
        <v>5</v>
      </c>
      <c r="J164" t="s">
        <v>0</v>
      </c>
    </row>
    <row r="165" spans="3:10" x14ac:dyDescent="0.25">
      <c r="C165">
        <v>162</v>
      </c>
      <c r="D165">
        <v>209570566</v>
      </c>
      <c r="E165" t="s">
        <v>1195</v>
      </c>
      <c r="F165" t="s">
        <v>2570</v>
      </c>
      <c r="G165" t="s">
        <v>2243</v>
      </c>
      <c r="H165">
        <v>7</v>
      </c>
      <c r="I165">
        <v>5</v>
      </c>
      <c r="J165" t="s">
        <v>0</v>
      </c>
    </row>
    <row r="166" spans="3:10" x14ac:dyDescent="0.25">
      <c r="C166">
        <v>163</v>
      </c>
      <c r="D166">
        <v>209600872</v>
      </c>
      <c r="E166" t="s">
        <v>1196</v>
      </c>
      <c r="F166" t="s">
        <v>2571</v>
      </c>
      <c r="G166" t="s">
        <v>2243</v>
      </c>
      <c r="H166">
        <v>7</v>
      </c>
      <c r="I166">
        <v>5</v>
      </c>
      <c r="J166" t="s">
        <v>0</v>
      </c>
    </row>
    <row r="167" spans="3:10" x14ac:dyDescent="0.25">
      <c r="C167">
        <v>164</v>
      </c>
      <c r="D167">
        <v>209620548</v>
      </c>
      <c r="E167" t="s">
        <v>1197</v>
      </c>
      <c r="F167" t="s">
        <v>2572</v>
      </c>
      <c r="G167" t="s">
        <v>2243</v>
      </c>
      <c r="H167">
        <v>7</v>
      </c>
      <c r="I167">
        <v>5</v>
      </c>
      <c r="J167" t="s">
        <v>0</v>
      </c>
    </row>
    <row r="168" spans="3:10" x14ac:dyDescent="0.25">
      <c r="C168">
        <v>165</v>
      </c>
      <c r="D168">
        <v>209550512</v>
      </c>
      <c r="E168" t="s">
        <v>1198</v>
      </c>
      <c r="F168" t="s">
        <v>2573</v>
      </c>
      <c r="G168" t="s">
        <v>2243</v>
      </c>
      <c r="H168">
        <v>7</v>
      </c>
      <c r="I168">
        <v>5</v>
      </c>
      <c r="J168" t="s">
        <v>0</v>
      </c>
    </row>
    <row r="169" spans="3:10" x14ac:dyDescent="0.25">
      <c r="C169">
        <v>166</v>
      </c>
      <c r="D169">
        <v>209520624</v>
      </c>
      <c r="E169" t="s">
        <v>1199</v>
      </c>
      <c r="F169" t="s">
        <v>2574</v>
      </c>
      <c r="G169" t="s">
        <v>2243</v>
      </c>
      <c r="H169">
        <v>7</v>
      </c>
      <c r="I169">
        <v>5</v>
      </c>
      <c r="J169" t="s">
        <v>0</v>
      </c>
    </row>
    <row r="170" spans="3:10" x14ac:dyDescent="0.25">
      <c r="C170">
        <v>167</v>
      </c>
      <c r="D170">
        <v>209680532</v>
      </c>
      <c r="E170" t="s">
        <v>1200</v>
      </c>
      <c r="F170" t="s">
        <v>2575</v>
      </c>
      <c r="G170" t="s">
        <v>2243</v>
      </c>
      <c r="H170">
        <v>7</v>
      </c>
      <c r="I170">
        <v>5</v>
      </c>
      <c r="J170" t="s">
        <v>0</v>
      </c>
    </row>
    <row r="171" spans="3:10" x14ac:dyDescent="0.25">
      <c r="C171">
        <v>168</v>
      </c>
      <c r="D171">
        <v>209680909</v>
      </c>
      <c r="E171" t="s">
        <v>1201</v>
      </c>
      <c r="F171" t="s">
        <v>2576</v>
      </c>
      <c r="G171" t="s">
        <v>2243</v>
      </c>
      <c r="H171">
        <v>7</v>
      </c>
      <c r="I171">
        <v>5</v>
      </c>
      <c r="J171" t="s">
        <v>0</v>
      </c>
    </row>
    <row r="172" spans="3:10" x14ac:dyDescent="0.25">
      <c r="C172">
        <v>169</v>
      </c>
      <c r="D172">
        <v>403010218</v>
      </c>
      <c r="E172" t="s">
        <v>1202</v>
      </c>
      <c r="F172" t="s">
        <v>2577</v>
      </c>
      <c r="G172" t="s">
        <v>2243</v>
      </c>
      <c r="H172">
        <v>7</v>
      </c>
      <c r="I172">
        <v>5</v>
      </c>
      <c r="J172" t="s">
        <v>0</v>
      </c>
    </row>
    <row r="173" spans="3:10" x14ac:dyDescent="0.25">
      <c r="C173">
        <v>170</v>
      </c>
      <c r="D173">
        <v>209530445</v>
      </c>
      <c r="E173" t="s">
        <v>1070</v>
      </c>
      <c r="F173" t="s">
        <v>2578</v>
      </c>
      <c r="G173" t="s">
        <v>2243</v>
      </c>
      <c r="H173">
        <v>7</v>
      </c>
      <c r="I173">
        <v>5</v>
      </c>
      <c r="J173" t="s">
        <v>0</v>
      </c>
    </row>
    <row r="174" spans="3:10" x14ac:dyDescent="0.25">
      <c r="C174">
        <v>171</v>
      </c>
      <c r="D174">
        <v>402990792</v>
      </c>
      <c r="E174" t="s">
        <v>1203</v>
      </c>
      <c r="F174" t="s">
        <v>2579</v>
      </c>
      <c r="G174" t="s">
        <v>2243</v>
      </c>
      <c r="H174">
        <v>7</v>
      </c>
      <c r="I174">
        <v>5</v>
      </c>
      <c r="J174" t="s">
        <v>0</v>
      </c>
    </row>
    <row r="175" spans="3:10" x14ac:dyDescent="0.25">
      <c r="C175">
        <v>172</v>
      </c>
      <c r="D175">
        <v>209340860</v>
      </c>
      <c r="E175" t="s">
        <v>1204</v>
      </c>
      <c r="F175" t="s">
        <v>2580</v>
      </c>
      <c r="G175" t="s">
        <v>2243</v>
      </c>
      <c r="H175">
        <v>7</v>
      </c>
      <c r="I175">
        <v>5</v>
      </c>
      <c r="J175" t="s">
        <v>0</v>
      </c>
    </row>
    <row r="176" spans="3:10" x14ac:dyDescent="0.25">
      <c r="C176">
        <v>173</v>
      </c>
      <c r="D176">
        <v>209630629</v>
      </c>
      <c r="E176" t="s">
        <v>1205</v>
      </c>
      <c r="F176" t="s">
        <v>2581</v>
      </c>
      <c r="G176" t="s">
        <v>2243</v>
      </c>
      <c r="H176">
        <v>7</v>
      </c>
      <c r="I176">
        <v>6</v>
      </c>
      <c r="J176" t="s">
        <v>1</v>
      </c>
    </row>
    <row r="177" spans="3:10" x14ac:dyDescent="0.25">
      <c r="C177">
        <v>174</v>
      </c>
      <c r="D177">
        <v>209680331</v>
      </c>
      <c r="E177" t="s">
        <v>1206</v>
      </c>
      <c r="F177" t="s">
        <v>2582</v>
      </c>
      <c r="G177" t="s">
        <v>2243</v>
      </c>
      <c r="H177">
        <v>7</v>
      </c>
      <c r="I177">
        <v>6</v>
      </c>
      <c r="J177" t="s">
        <v>1</v>
      </c>
    </row>
    <row r="178" spans="3:10" x14ac:dyDescent="0.25">
      <c r="C178">
        <v>175</v>
      </c>
      <c r="D178">
        <v>209590223</v>
      </c>
      <c r="E178" t="s">
        <v>1207</v>
      </c>
      <c r="F178" t="s">
        <v>2583</v>
      </c>
      <c r="G178" t="s">
        <v>2243</v>
      </c>
      <c r="H178">
        <v>7</v>
      </c>
      <c r="I178">
        <v>6</v>
      </c>
      <c r="J178" t="s">
        <v>1</v>
      </c>
    </row>
    <row r="179" spans="3:10" x14ac:dyDescent="0.25">
      <c r="C179">
        <v>176</v>
      </c>
      <c r="D179">
        <v>209350232</v>
      </c>
      <c r="E179" t="s">
        <v>1208</v>
      </c>
      <c r="F179" t="s">
        <v>2584</v>
      </c>
      <c r="G179" t="s">
        <v>2243</v>
      </c>
      <c r="H179">
        <v>7</v>
      </c>
      <c r="I179">
        <v>6</v>
      </c>
      <c r="J179" t="s">
        <v>1</v>
      </c>
    </row>
    <row r="180" spans="3:10" x14ac:dyDescent="0.25">
      <c r="C180">
        <v>177</v>
      </c>
      <c r="D180">
        <v>209570163</v>
      </c>
      <c r="E180" t="s">
        <v>1209</v>
      </c>
      <c r="F180" t="s">
        <v>2585</v>
      </c>
      <c r="G180" t="s">
        <v>2243</v>
      </c>
      <c r="H180">
        <v>7</v>
      </c>
      <c r="I180">
        <v>6</v>
      </c>
      <c r="J180" t="s">
        <v>1</v>
      </c>
    </row>
    <row r="181" spans="3:10" x14ac:dyDescent="0.25">
      <c r="C181">
        <v>178</v>
      </c>
      <c r="D181">
        <v>209680522</v>
      </c>
      <c r="E181" t="s">
        <v>1210</v>
      </c>
      <c r="F181" t="s">
        <v>2586</v>
      </c>
      <c r="G181" t="s">
        <v>2243</v>
      </c>
      <c r="H181">
        <v>7</v>
      </c>
      <c r="I181">
        <v>6</v>
      </c>
      <c r="J181" t="s">
        <v>1</v>
      </c>
    </row>
    <row r="182" spans="3:10" x14ac:dyDescent="0.25">
      <c r="C182">
        <v>179</v>
      </c>
      <c r="D182">
        <v>901310432</v>
      </c>
      <c r="E182" t="s">
        <v>1211</v>
      </c>
      <c r="F182" t="s">
        <v>2587</v>
      </c>
      <c r="G182" t="s">
        <v>2243</v>
      </c>
      <c r="H182">
        <v>7</v>
      </c>
      <c r="I182">
        <v>6</v>
      </c>
      <c r="J182" t="s">
        <v>1</v>
      </c>
    </row>
    <row r="183" spans="3:10" x14ac:dyDescent="0.25">
      <c r="C183">
        <v>180</v>
      </c>
      <c r="D183">
        <v>209540915</v>
      </c>
      <c r="E183" t="s">
        <v>1212</v>
      </c>
      <c r="F183" t="s">
        <v>2588</v>
      </c>
      <c r="G183" t="s">
        <v>2243</v>
      </c>
      <c r="H183">
        <v>7</v>
      </c>
      <c r="I183">
        <v>6</v>
      </c>
      <c r="J183" t="s">
        <v>1</v>
      </c>
    </row>
    <row r="184" spans="3:10" x14ac:dyDescent="0.25">
      <c r="C184">
        <v>181</v>
      </c>
      <c r="D184">
        <v>121650082</v>
      </c>
      <c r="E184" t="s">
        <v>1213</v>
      </c>
      <c r="F184" t="s">
        <v>2589</v>
      </c>
      <c r="G184" t="s">
        <v>2243</v>
      </c>
      <c r="H184">
        <v>7</v>
      </c>
      <c r="I184">
        <v>6</v>
      </c>
      <c r="J184" t="s">
        <v>1</v>
      </c>
    </row>
    <row r="185" spans="3:10" x14ac:dyDescent="0.25">
      <c r="C185">
        <v>182</v>
      </c>
      <c r="D185">
        <v>403000044</v>
      </c>
      <c r="E185" t="s">
        <v>1214</v>
      </c>
      <c r="F185" t="s">
        <v>2590</v>
      </c>
      <c r="G185" t="s">
        <v>2243</v>
      </c>
      <c r="H185">
        <v>7</v>
      </c>
      <c r="I185">
        <v>6</v>
      </c>
      <c r="J185" t="s">
        <v>1</v>
      </c>
    </row>
    <row r="186" spans="3:10" x14ac:dyDescent="0.25">
      <c r="C186">
        <v>183</v>
      </c>
      <c r="D186">
        <v>901430647</v>
      </c>
      <c r="E186" t="s">
        <v>1215</v>
      </c>
      <c r="F186" t="s">
        <v>2591</v>
      </c>
      <c r="G186" t="s">
        <v>2243</v>
      </c>
      <c r="H186">
        <v>7</v>
      </c>
      <c r="I186">
        <v>6</v>
      </c>
      <c r="J186" t="s">
        <v>1</v>
      </c>
    </row>
    <row r="187" spans="3:10" x14ac:dyDescent="0.25">
      <c r="C187">
        <v>184</v>
      </c>
      <c r="D187">
        <v>209550520</v>
      </c>
      <c r="E187" t="s">
        <v>1216</v>
      </c>
      <c r="F187" t="s">
        <v>2592</v>
      </c>
      <c r="G187" t="s">
        <v>2243</v>
      </c>
      <c r="H187">
        <v>7</v>
      </c>
      <c r="I187">
        <v>6</v>
      </c>
      <c r="J187" t="s">
        <v>1</v>
      </c>
    </row>
    <row r="188" spans="3:10" x14ac:dyDescent="0.25">
      <c r="C188">
        <v>185</v>
      </c>
      <c r="D188">
        <v>209660922</v>
      </c>
      <c r="E188" t="s">
        <v>1217</v>
      </c>
      <c r="F188" t="s">
        <v>2593</v>
      </c>
      <c r="G188" t="s">
        <v>2243</v>
      </c>
      <c r="H188">
        <v>7</v>
      </c>
      <c r="I188">
        <v>6</v>
      </c>
      <c r="J188" t="s">
        <v>1</v>
      </c>
    </row>
    <row r="189" spans="3:10" x14ac:dyDescent="0.25">
      <c r="C189">
        <v>186</v>
      </c>
      <c r="D189">
        <v>402980185</v>
      </c>
      <c r="E189" t="s">
        <v>1218</v>
      </c>
      <c r="F189" t="s">
        <v>2594</v>
      </c>
      <c r="G189" t="s">
        <v>2243</v>
      </c>
      <c r="H189">
        <v>7</v>
      </c>
      <c r="I189">
        <v>6</v>
      </c>
      <c r="J189" t="s">
        <v>1</v>
      </c>
    </row>
    <row r="190" spans="3:10" x14ac:dyDescent="0.25">
      <c r="C190">
        <v>187</v>
      </c>
      <c r="D190">
        <v>209610246</v>
      </c>
      <c r="E190" t="s">
        <v>1219</v>
      </c>
      <c r="F190" t="s">
        <v>2595</v>
      </c>
      <c r="G190" t="s">
        <v>2243</v>
      </c>
      <c r="H190">
        <v>7</v>
      </c>
      <c r="I190">
        <v>6</v>
      </c>
      <c r="J190" t="s">
        <v>1</v>
      </c>
    </row>
    <row r="191" spans="3:10" x14ac:dyDescent="0.25">
      <c r="C191">
        <v>188</v>
      </c>
      <c r="D191">
        <v>209550283</v>
      </c>
      <c r="E191" t="s">
        <v>1220</v>
      </c>
      <c r="F191" t="s">
        <v>2596</v>
      </c>
      <c r="G191" t="s">
        <v>2243</v>
      </c>
      <c r="H191">
        <v>7</v>
      </c>
      <c r="I191">
        <v>6</v>
      </c>
      <c r="J191" t="s">
        <v>1</v>
      </c>
    </row>
    <row r="192" spans="3:10" x14ac:dyDescent="0.25">
      <c r="C192">
        <v>189</v>
      </c>
      <c r="D192">
        <v>209600187</v>
      </c>
      <c r="E192" t="s">
        <v>1221</v>
      </c>
      <c r="F192" t="s">
        <v>2597</v>
      </c>
      <c r="G192" t="s">
        <v>2243</v>
      </c>
      <c r="H192">
        <v>7</v>
      </c>
      <c r="I192">
        <v>6</v>
      </c>
      <c r="J192" t="s">
        <v>0</v>
      </c>
    </row>
    <row r="193" spans="3:10" x14ac:dyDescent="0.25">
      <c r="C193">
        <v>190</v>
      </c>
      <c r="D193">
        <v>121470911</v>
      </c>
      <c r="E193" t="s">
        <v>1222</v>
      </c>
      <c r="F193" t="s">
        <v>2598</v>
      </c>
      <c r="G193" t="s">
        <v>2243</v>
      </c>
      <c r="H193">
        <v>7</v>
      </c>
      <c r="I193">
        <v>6</v>
      </c>
      <c r="J193" t="s">
        <v>0</v>
      </c>
    </row>
    <row r="194" spans="3:10" x14ac:dyDescent="0.25">
      <c r="C194">
        <v>191</v>
      </c>
      <c r="D194">
        <v>209580998</v>
      </c>
      <c r="E194" t="s">
        <v>1223</v>
      </c>
      <c r="F194" t="s">
        <v>2599</v>
      </c>
      <c r="G194" t="s">
        <v>2243</v>
      </c>
      <c r="H194">
        <v>7</v>
      </c>
      <c r="I194">
        <v>6</v>
      </c>
      <c r="J194" t="s">
        <v>0</v>
      </c>
    </row>
    <row r="195" spans="3:10" x14ac:dyDescent="0.25">
      <c r="C195">
        <v>192</v>
      </c>
      <c r="D195">
        <v>209450607</v>
      </c>
      <c r="E195" t="s">
        <v>1224</v>
      </c>
      <c r="F195" t="s">
        <v>2600</v>
      </c>
      <c r="G195" t="s">
        <v>2243</v>
      </c>
      <c r="H195">
        <v>7</v>
      </c>
      <c r="I195">
        <v>6</v>
      </c>
      <c r="J195" t="s">
        <v>0</v>
      </c>
    </row>
    <row r="196" spans="3:10" x14ac:dyDescent="0.25">
      <c r="C196">
        <v>193</v>
      </c>
      <c r="D196">
        <v>121480970</v>
      </c>
      <c r="E196" t="s">
        <v>1225</v>
      </c>
      <c r="F196" t="s">
        <v>2601</v>
      </c>
      <c r="G196" t="s">
        <v>2243</v>
      </c>
      <c r="H196">
        <v>7</v>
      </c>
      <c r="I196">
        <v>6</v>
      </c>
      <c r="J196" t="s">
        <v>0</v>
      </c>
    </row>
    <row r="197" spans="3:10" x14ac:dyDescent="0.25">
      <c r="C197">
        <v>194</v>
      </c>
      <c r="D197">
        <v>209400995</v>
      </c>
      <c r="E197" t="s">
        <v>2602</v>
      </c>
      <c r="F197" t="s">
        <v>2603</v>
      </c>
      <c r="G197" t="s">
        <v>2243</v>
      </c>
      <c r="H197">
        <v>7</v>
      </c>
      <c r="I197">
        <v>6</v>
      </c>
      <c r="J197" t="s">
        <v>0</v>
      </c>
    </row>
    <row r="198" spans="3:10" x14ac:dyDescent="0.25">
      <c r="C198">
        <v>195</v>
      </c>
      <c r="D198">
        <v>209640616</v>
      </c>
      <c r="E198" t="s">
        <v>1226</v>
      </c>
      <c r="F198" t="s">
        <v>2604</v>
      </c>
      <c r="G198" t="s">
        <v>2243</v>
      </c>
      <c r="H198">
        <v>7</v>
      </c>
      <c r="I198">
        <v>6</v>
      </c>
      <c r="J198" t="s">
        <v>0</v>
      </c>
    </row>
    <row r="199" spans="3:10" x14ac:dyDescent="0.25">
      <c r="C199">
        <v>196</v>
      </c>
      <c r="D199">
        <v>209590296</v>
      </c>
      <c r="E199" t="s">
        <v>1227</v>
      </c>
      <c r="F199" t="s">
        <v>2605</v>
      </c>
      <c r="G199" t="s">
        <v>2243</v>
      </c>
      <c r="H199">
        <v>7</v>
      </c>
      <c r="I199">
        <v>6</v>
      </c>
      <c r="J199" t="s">
        <v>0</v>
      </c>
    </row>
    <row r="200" spans="3:10" x14ac:dyDescent="0.25">
      <c r="C200">
        <v>197</v>
      </c>
      <c r="D200">
        <v>209410937</v>
      </c>
      <c r="E200" t="s">
        <v>1228</v>
      </c>
      <c r="F200" t="s">
        <v>2606</v>
      </c>
      <c r="G200" t="s">
        <v>2243</v>
      </c>
      <c r="H200">
        <v>7</v>
      </c>
      <c r="I200">
        <v>6</v>
      </c>
      <c r="J200" t="s">
        <v>0</v>
      </c>
    </row>
    <row r="201" spans="3:10" x14ac:dyDescent="0.25">
      <c r="C201">
        <v>198</v>
      </c>
      <c r="D201">
        <v>402980034</v>
      </c>
      <c r="E201" t="s">
        <v>1229</v>
      </c>
      <c r="F201" t="s">
        <v>2607</v>
      </c>
      <c r="G201" t="s">
        <v>2243</v>
      </c>
      <c r="H201">
        <v>7</v>
      </c>
      <c r="I201">
        <v>6</v>
      </c>
      <c r="J201" t="s">
        <v>0</v>
      </c>
    </row>
    <row r="202" spans="3:10" x14ac:dyDescent="0.25">
      <c r="C202">
        <v>199</v>
      </c>
      <c r="D202">
        <v>121130048</v>
      </c>
      <c r="E202" t="s">
        <v>1230</v>
      </c>
      <c r="F202" t="s">
        <v>2608</v>
      </c>
      <c r="G202" t="s">
        <v>2243</v>
      </c>
      <c r="H202">
        <v>7</v>
      </c>
      <c r="I202">
        <v>6</v>
      </c>
      <c r="J202" t="s">
        <v>0</v>
      </c>
    </row>
    <row r="203" spans="3:10" x14ac:dyDescent="0.25">
      <c r="C203">
        <v>200</v>
      </c>
      <c r="D203">
        <v>402970654</v>
      </c>
      <c r="E203" t="s">
        <v>1231</v>
      </c>
      <c r="F203" t="s">
        <v>2609</v>
      </c>
      <c r="G203" t="s">
        <v>2243</v>
      </c>
      <c r="H203">
        <v>7</v>
      </c>
      <c r="I203">
        <v>6</v>
      </c>
      <c r="J203" t="s">
        <v>0</v>
      </c>
    </row>
    <row r="204" spans="3:10" x14ac:dyDescent="0.25">
      <c r="C204">
        <v>201</v>
      </c>
      <c r="D204">
        <v>209660857</v>
      </c>
      <c r="E204" t="s">
        <v>2610</v>
      </c>
      <c r="F204" t="s">
        <v>2611</v>
      </c>
      <c r="G204" t="s">
        <v>2243</v>
      </c>
      <c r="H204">
        <v>7</v>
      </c>
      <c r="I204">
        <v>6</v>
      </c>
      <c r="J204" t="s">
        <v>0</v>
      </c>
    </row>
    <row r="205" spans="3:10" x14ac:dyDescent="0.25">
      <c r="C205">
        <v>202</v>
      </c>
      <c r="D205" t="s">
        <v>177</v>
      </c>
      <c r="E205" t="s">
        <v>177</v>
      </c>
      <c r="F205" t="s">
        <v>2612</v>
      </c>
      <c r="G205" t="s">
        <v>2243</v>
      </c>
      <c r="H205">
        <v>7</v>
      </c>
      <c r="I205">
        <v>6</v>
      </c>
      <c r="J205" t="s">
        <v>0</v>
      </c>
    </row>
    <row r="206" spans="3:10" x14ac:dyDescent="0.25">
      <c r="C206">
        <v>203</v>
      </c>
      <c r="D206">
        <v>209600323</v>
      </c>
      <c r="E206" t="s">
        <v>1232</v>
      </c>
      <c r="F206" t="s">
        <v>2613</v>
      </c>
      <c r="G206" t="s">
        <v>2243</v>
      </c>
      <c r="H206">
        <v>7</v>
      </c>
      <c r="I206">
        <v>6</v>
      </c>
      <c r="J206" t="s">
        <v>0</v>
      </c>
    </row>
    <row r="207" spans="3:10" x14ac:dyDescent="0.25">
      <c r="C207">
        <v>204</v>
      </c>
      <c r="D207">
        <v>209480704</v>
      </c>
      <c r="E207" t="s">
        <v>1275</v>
      </c>
      <c r="F207" t="s">
        <v>2614</v>
      </c>
      <c r="G207" t="s">
        <v>2243</v>
      </c>
      <c r="H207">
        <v>7</v>
      </c>
      <c r="I207">
        <v>6</v>
      </c>
      <c r="J207" t="s">
        <v>0</v>
      </c>
    </row>
    <row r="208" spans="3:10" x14ac:dyDescent="0.25">
      <c r="C208">
        <v>205</v>
      </c>
      <c r="D208">
        <v>209560025</v>
      </c>
      <c r="E208" t="s">
        <v>1233</v>
      </c>
      <c r="F208" t="s">
        <v>2615</v>
      </c>
      <c r="G208" t="s">
        <v>2243</v>
      </c>
      <c r="H208">
        <v>7</v>
      </c>
      <c r="I208">
        <v>6</v>
      </c>
      <c r="J208" t="s">
        <v>0</v>
      </c>
    </row>
    <row r="209" spans="3:10" x14ac:dyDescent="0.25">
      <c r="C209">
        <v>206</v>
      </c>
      <c r="D209">
        <v>209580715</v>
      </c>
      <c r="E209" t="s">
        <v>1058</v>
      </c>
      <c r="F209" t="s">
        <v>2616</v>
      </c>
      <c r="G209" t="s">
        <v>2243</v>
      </c>
      <c r="H209">
        <v>7</v>
      </c>
      <c r="I209">
        <v>7</v>
      </c>
      <c r="J209" t="s">
        <v>1</v>
      </c>
    </row>
    <row r="210" spans="3:10" x14ac:dyDescent="0.25">
      <c r="C210">
        <v>207</v>
      </c>
      <c r="D210">
        <v>121610472</v>
      </c>
      <c r="E210" t="s">
        <v>1059</v>
      </c>
      <c r="F210" t="s">
        <v>2617</v>
      </c>
      <c r="G210" t="s">
        <v>2243</v>
      </c>
      <c r="H210">
        <v>7</v>
      </c>
      <c r="I210">
        <v>7</v>
      </c>
      <c r="J210" t="s">
        <v>1</v>
      </c>
    </row>
    <row r="211" spans="3:10" x14ac:dyDescent="0.25">
      <c r="C211">
        <v>208</v>
      </c>
      <c r="D211">
        <v>121410243</v>
      </c>
      <c r="E211" t="s">
        <v>1060</v>
      </c>
      <c r="F211" t="s">
        <v>2618</v>
      </c>
      <c r="G211" t="s">
        <v>2243</v>
      </c>
      <c r="H211">
        <v>7</v>
      </c>
      <c r="I211">
        <v>7</v>
      </c>
      <c r="J211" t="s">
        <v>1</v>
      </c>
    </row>
    <row r="212" spans="3:10" x14ac:dyDescent="0.25">
      <c r="C212">
        <v>209</v>
      </c>
      <c r="D212">
        <v>703540028</v>
      </c>
      <c r="E212" t="s">
        <v>2619</v>
      </c>
      <c r="F212" t="s">
        <v>2620</v>
      </c>
      <c r="G212" t="s">
        <v>2243</v>
      </c>
      <c r="H212">
        <v>7</v>
      </c>
      <c r="I212">
        <v>7</v>
      </c>
      <c r="J212" t="s">
        <v>1</v>
      </c>
    </row>
    <row r="213" spans="3:10" x14ac:dyDescent="0.25">
      <c r="C213">
        <v>210</v>
      </c>
      <c r="D213">
        <v>209620674</v>
      </c>
      <c r="E213" t="s">
        <v>1061</v>
      </c>
      <c r="F213" t="s">
        <v>2621</v>
      </c>
      <c r="G213" t="s">
        <v>2243</v>
      </c>
      <c r="H213">
        <v>7</v>
      </c>
      <c r="I213">
        <v>7</v>
      </c>
      <c r="J213" t="s">
        <v>1</v>
      </c>
    </row>
    <row r="214" spans="3:10" x14ac:dyDescent="0.25">
      <c r="C214">
        <v>211</v>
      </c>
      <c r="D214">
        <v>209660776</v>
      </c>
      <c r="E214" t="s">
        <v>1062</v>
      </c>
      <c r="F214" t="s">
        <v>2622</v>
      </c>
      <c r="G214" t="s">
        <v>2243</v>
      </c>
      <c r="H214">
        <v>7</v>
      </c>
      <c r="I214">
        <v>7</v>
      </c>
      <c r="J214" t="s">
        <v>1</v>
      </c>
    </row>
    <row r="215" spans="3:10" x14ac:dyDescent="0.25">
      <c r="C215">
        <v>212</v>
      </c>
      <c r="D215">
        <v>209660853</v>
      </c>
      <c r="E215" t="s">
        <v>1063</v>
      </c>
      <c r="F215" t="s">
        <v>2623</v>
      </c>
      <c r="G215" t="s">
        <v>2243</v>
      </c>
      <c r="H215">
        <v>7</v>
      </c>
      <c r="I215">
        <v>7</v>
      </c>
      <c r="J215" t="s">
        <v>1</v>
      </c>
    </row>
    <row r="216" spans="3:10" x14ac:dyDescent="0.25">
      <c r="C216">
        <v>213</v>
      </c>
      <c r="D216">
        <v>209540686</v>
      </c>
      <c r="E216" t="s">
        <v>1064</v>
      </c>
      <c r="F216" t="s">
        <v>2624</v>
      </c>
      <c r="G216" t="s">
        <v>2243</v>
      </c>
      <c r="H216">
        <v>7</v>
      </c>
      <c r="I216">
        <v>7</v>
      </c>
      <c r="J216" t="s">
        <v>1</v>
      </c>
    </row>
    <row r="217" spans="3:10" x14ac:dyDescent="0.25">
      <c r="C217">
        <v>214</v>
      </c>
      <c r="D217">
        <v>209540508</v>
      </c>
      <c r="E217" t="s">
        <v>1065</v>
      </c>
      <c r="F217" t="s">
        <v>2625</v>
      </c>
      <c r="G217" t="s">
        <v>2243</v>
      </c>
      <c r="H217">
        <v>7</v>
      </c>
      <c r="I217">
        <v>7</v>
      </c>
      <c r="J217" t="s">
        <v>1</v>
      </c>
    </row>
    <row r="218" spans="3:10" x14ac:dyDescent="0.25">
      <c r="C218">
        <v>215</v>
      </c>
      <c r="D218">
        <v>402990586</v>
      </c>
      <c r="E218" t="s">
        <v>1066</v>
      </c>
      <c r="F218" t="s">
        <v>2626</v>
      </c>
      <c r="G218" t="s">
        <v>2243</v>
      </c>
      <c r="H218">
        <v>7</v>
      </c>
      <c r="I218">
        <v>7</v>
      </c>
      <c r="J218" t="s">
        <v>1</v>
      </c>
    </row>
    <row r="219" spans="3:10" x14ac:dyDescent="0.25">
      <c r="C219">
        <v>216</v>
      </c>
      <c r="D219">
        <v>209660329</v>
      </c>
      <c r="E219" t="s">
        <v>1067</v>
      </c>
      <c r="F219" t="s">
        <v>2627</v>
      </c>
      <c r="G219" t="s">
        <v>2243</v>
      </c>
      <c r="H219">
        <v>7</v>
      </c>
      <c r="I219">
        <v>7</v>
      </c>
      <c r="J219" t="s">
        <v>1</v>
      </c>
    </row>
    <row r="220" spans="3:10" x14ac:dyDescent="0.25">
      <c r="C220">
        <v>217</v>
      </c>
      <c r="D220">
        <v>209590154</v>
      </c>
      <c r="E220" t="s">
        <v>1068</v>
      </c>
      <c r="F220" t="s">
        <v>2628</v>
      </c>
      <c r="G220" t="s">
        <v>2243</v>
      </c>
      <c r="H220">
        <v>7</v>
      </c>
      <c r="I220">
        <v>7</v>
      </c>
      <c r="J220" t="s">
        <v>1</v>
      </c>
    </row>
    <row r="221" spans="3:10" x14ac:dyDescent="0.25">
      <c r="C221">
        <v>218</v>
      </c>
      <c r="D221">
        <v>209610436</v>
      </c>
      <c r="E221" t="s">
        <v>1069</v>
      </c>
      <c r="F221" t="s">
        <v>2629</v>
      </c>
      <c r="G221" t="s">
        <v>2243</v>
      </c>
      <c r="H221">
        <v>7</v>
      </c>
      <c r="I221">
        <v>7</v>
      </c>
      <c r="J221" t="s">
        <v>1</v>
      </c>
    </row>
    <row r="222" spans="3:10" x14ac:dyDescent="0.25">
      <c r="C222">
        <v>219</v>
      </c>
      <c r="D222">
        <v>209610033</v>
      </c>
      <c r="E222" t="s">
        <v>1071</v>
      </c>
      <c r="F222" t="s">
        <v>2630</v>
      </c>
      <c r="G222" t="s">
        <v>2243</v>
      </c>
      <c r="H222">
        <v>7</v>
      </c>
      <c r="I222">
        <v>7</v>
      </c>
      <c r="J222" t="s">
        <v>1</v>
      </c>
    </row>
    <row r="223" spans="3:10" x14ac:dyDescent="0.25">
      <c r="C223">
        <v>220</v>
      </c>
      <c r="D223">
        <v>209590666</v>
      </c>
      <c r="E223" t="s">
        <v>1072</v>
      </c>
      <c r="F223" t="s">
        <v>2631</v>
      </c>
      <c r="G223" t="s">
        <v>2243</v>
      </c>
      <c r="H223">
        <v>7</v>
      </c>
      <c r="I223">
        <v>7</v>
      </c>
      <c r="J223" t="s">
        <v>1</v>
      </c>
    </row>
    <row r="224" spans="3:10" x14ac:dyDescent="0.25">
      <c r="C224">
        <v>221</v>
      </c>
      <c r="D224">
        <v>209620496</v>
      </c>
      <c r="E224" t="s">
        <v>1073</v>
      </c>
      <c r="F224" t="s">
        <v>2632</v>
      </c>
      <c r="G224" t="s">
        <v>2243</v>
      </c>
      <c r="H224">
        <v>7</v>
      </c>
      <c r="I224">
        <v>7</v>
      </c>
      <c r="J224" t="s">
        <v>1</v>
      </c>
    </row>
    <row r="225" spans="3:10" x14ac:dyDescent="0.25">
      <c r="C225">
        <v>222</v>
      </c>
      <c r="D225">
        <v>209630838</v>
      </c>
      <c r="E225" t="s">
        <v>1074</v>
      </c>
      <c r="F225" t="s">
        <v>2633</v>
      </c>
      <c r="G225" t="s">
        <v>2243</v>
      </c>
      <c r="H225">
        <v>7</v>
      </c>
      <c r="I225">
        <v>7</v>
      </c>
      <c r="J225" t="s">
        <v>0</v>
      </c>
    </row>
    <row r="226" spans="3:10" x14ac:dyDescent="0.25">
      <c r="C226">
        <v>223</v>
      </c>
      <c r="D226">
        <v>209570256</v>
      </c>
      <c r="E226" t="s">
        <v>2634</v>
      </c>
      <c r="F226" t="s">
        <v>2635</v>
      </c>
      <c r="G226" t="s">
        <v>2243</v>
      </c>
      <c r="H226">
        <v>7</v>
      </c>
      <c r="I226">
        <v>7</v>
      </c>
      <c r="J226" t="s">
        <v>0</v>
      </c>
    </row>
    <row r="227" spans="3:10" x14ac:dyDescent="0.25">
      <c r="C227">
        <v>224</v>
      </c>
      <c r="D227">
        <v>402970765</v>
      </c>
      <c r="E227" t="s">
        <v>1075</v>
      </c>
      <c r="F227" t="s">
        <v>2636</v>
      </c>
      <c r="G227" t="s">
        <v>2243</v>
      </c>
      <c r="H227">
        <v>7</v>
      </c>
      <c r="I227">
        <v>7</v>
      </c>
      <c r="J227" t="s">
        <v>0</v>
      </c>
    </row>
    <row r="228" spans="3:10" x14ac:dyDescent="0.25">
      <c r="C228">
        <v>225</v>
      </c>
      <c r="D228">
        <v>209570066</v>
      </c>
      <c r="E228" t="s">
        <v>1076</v>
      </c>
      <c r="F228" t="s">
        <v>2637</v>
      </c>
      <c r="G228" t="s">
        <v>2243</v>
      </c>
      <c r="H228">
        <v>7</v>
      </c>
      <c r="I228">
        <v>7</v>
      </c>
      <c r="J228" t="s">
        <v>0</v>
      </c>
    </row>
    <row r="229" spans="3:10" x14ac:dyDescent="0.25">
      <c r="C229">
        <v>226</v>
      </c>
      <c r="D229">
        <v>209570951</v>
      </c>
      <c r="E229" t="s">
        <v>1077</v>
      </c>
      <c r="F229" t="s">
        <v>2638</v>
      </c>
      <c r="G229" t="s">
        <v>2243</v>
      </c>
      <c r="H229">
        <v>7</v>
      </c>
      <c r="I229">
        <v>7</v>
      </c>
      <c r="J229" t="s">
        <v>0</v>
      </c>
    </row>
    <row r="230" spans="3:10" x14ac:dyDescent="0.25">
      <c r="C230">
        <v>227</v>
      </c>
      <c r="D230">
        <v>402990479</v>
      </c>
      <c r="E230" t="s">
        <v>1078</v>
      </c>
      <c r="F230" t="s">
        <v>2639</v>
      </c>
      <c r="G230" t="s">
        <v>2243</v>
      </c>
      <c r="H230">
        <v>7</v>
      </c>
      <c r="I230">
        <v>7</v>
      </c>
      <c r="J230" t="s">
        <v>0</v>
      </c>
    </row>
    <row r="231" spans="3:10" x14ac:dyDescent="0.25">
      <c r="C231">
        <v>228</v>
      </c>
      <c r="D231">
        <v>209380851</v>
      </c>
      <c r="E231" t="s">
        <v>1313</v>
      </c>
      <c r="F231" t="s">
        <v>2640</v>
      </c>
      <c r="G231" t="s">
        <v>2243</v>
      </c>
      <c r="H231">
        <v>7</v>
      </c>
      <c r="I231">
        <v>7</v>
      </c>
      <c r="J231" t="s">
        <v>0</v>
      </c>
    </row>
    <row r="232" spans="3:10" x14ac:dyDescent="0.25">
      <c r="C232">
        <v>229</v>
      </c>
      <c r="D232">
        <v>403000742</v>
      </c>
      <c r="E232" t="s">
        <v>1079</v>
      </c>
      <c r="F232" t="s">
        <v>2641</v>
      </c>
      <c r="G232" t="s">
        <v>2243</v>
      </c>
      <c r="H232">
        <v>7</v>
      </c>
      <c r="I232">
        <v>7</v>
      </c>
      <c r="J232" t="s">
        <v>0</v>
      </c>
    </row>
    <row r="233" spans="3:10" x14ac:dyDescent="0.25">
      <c r="C233">
        <v>230</v>
      </c>
      <c r="D233">
        <v>121610873</v>
      </c>
      <c r="E233" t="s">
        <v>1080</v>
      </c>
      <c r="F233" t="s">
        <v>2642</v>
      </c>
      <c r="G233" t="s">
        <v>2243</v>
      </c>
      <c r="H233">
        <v>7</v>
      </c>
      <c r="I233">
        <v>7</v>
      </c>
      <c r="J233" t="s">
        <v>0</v>
      </c>
    </row>
    <row r="234" spans="3:10" x14ac:dyDescent="0.25">
      <c r="C234">
        <v>231</v>
      </c>
      <c r="D234">
        <v>703710687</v>
      </c>
      <c r="E234" t="s">
        <v>1081</v>
      </c>
      <c r="F234" t="s">
        <v>2643</v>
      </c>
      <c r="G234" t="s">
        <v>2243</v>
      </c>
      <c r="H234">
        <v>7</v>
      </c>
      <c r="I234">
        <v>7</v>
      </c>
      <c r="J234" t="s">
        <v>0</v>
      </c>
    </row>
    <row r="235" spans="3:10" x14ac:dyDescent="0.25">
      <c r="C235">
        <v>232</v>
      </c>
      <c r="D235">
        <v>403000451</v>
      </c>
      <c r="E235" t="s">
        <v>1082</v>
      </c>
      <c r="F235" t="s">
        <v>2644</v>
      </c>
      <c r="G235" t="s">
        <v>2243</v>
      </c>
      <c r="H235">
        <v>7</v>
      </c>
      <c r="I235">
        <v>7</v>
      </c>
      <c r="J235" t="s">
        <v>0</v>
      </c>
    </row>
    <row r="236" spans="3:10" x14ac:dyDescent="0.25">
      <c r="C236">
        <v>233</v>
      </c>
      <c r="D236">
        <v>209630763</v>
      </c>
      <c r="E236" t="s">
        <v>1083</v>
      </c>
      <c r="F236" t="s">
        <v>2645</v>
      </c>
      <c r="G236" t="s">
        <v>2243</v>
      </c>
      <c r="H236">
        <v>7</v>
      </c>
      <c r="I236">
        <v>7</v>
      </c>
      <c r="J236" t="s">
        <v>0</v>
      </c>
    </row>
    <row r="237" spans="3:10" x14ac:dyDescent="0.25">
      <c r="C237">
        <v>234</v>
      </c>
      <c r="D237">
        <v>209640593</v>
      </c>
      <c r="E237" t="s">
        <v>1084</v>
      </c>
      <c r="F237" t="s">
        <v>2646</v>
      </c>
      <c r="G237" t="s">
        <v>2243</v>
      </c>
      <c r="H237">
        <v>7</v>
      </c>
      <c r="I237">
        <v>7</v>
      </c>
      <c r="J237" t="s">
        <v>0</v>
      </c>
    </row>
    <row r="238" spans="3:10" x14ac:dyDescent="0.25">
      <c r="C238">
        <v>235</v>
      </c>
      <c r="D238">
        <v>209550325</v>
      </c>
      <c r="E238" t="s">
        <v>1085</v>
      </c>
      <c r="F238" t="s">
        <v>2647</v>
      </c>
      <c r="G238" t="s">
        <v>2243</v>
      </c>
      <c r="H238">
        <v>7</v>
      </c>
      <c r="I238">
        <v>7</v>
      </c>
      <c r="J238" t="s">
        <v>0</v>
      </c>
    </row>
    <row r="239" spans="3:10" x14ac:dyDescent="0.25">
      <c r="C239">
        <v>236</v>
      </c>
      <c r="D239">
        <v>209590509</v>
      </c>
      <c r="E239" t="s">
        <v>1086</v>
      </c>
      <c r="F239" t="s">
        <v>2648</v>
      </c>
      <c r="G239" t="s">
        <v>2243</v>
      </c>
      <c r="H239">
        <v>7</v>
      </c>
      <c r="I239">
        <v>7</v>
      </c>
      <c r="J239" t="s">
        <v>0</v>
      </c>
    </row>
    <row r="240" spans="3:10" x14ac:dyDescent="0.25">
      <c r="C240">
        <v>237</v>
      </c>
      <c r="D240">
        <v>209380834</v>
      </c>
      <c r="E240" t="s">
        <v>1234</v>
      </c>
      <c r="F240" t="s">
        <v>2649</v>
      </c>
      <c r="G240" t="s">
        <v>2243</v>
      </c>
      <c r="H240">
        <v>8</v>
      </c>
      <c r="I240">
        <v>1</v>
      </c>
      <c r="J240" t="s">
        <v>1</v>
      </c>
    </row>
    <row r="241" spans="3:10" x14ac:dyDescent="0.25">
      <c r="C241">
        <v>238</v>
      </c>
      <c r="D241">
        <v>402910362</v>
      </c>
      <c r="E241" t="s">
        <v>1237</v>
      </c>
      <c r="F241" t="s">
        <v>2650</v>
      </c>
      <c r="G241" t="s">
        <v>2243</v>
      </c>
      <c r="H241">
        <v>8</v>
      </c>
      <c r="I241">
        <v>1</v>
      </c>
      <c r="J241" t="s">
        <v>1</v>
      </c>
    </row>
    <row r="242" spans="3:10" x14ac:dyDescent="0.25">
      <c r="C242">
        <v>239</v>
      </c>
      <c r="D242" t="s">
        <v>2195</v>
      </c>
      <c r="E242" t="s">
        <v>2195</v>
      </c>
      <c r="F242" t="s">
        <v>2651</v>
      </c>
      <c r="G242" t="s">
        <v>2243</v>
      </c>
      <c r="H242">
        <v>8</v>
      </c>
      <c r="I242">
        <v>1</v>
      </c>
      <c r="J242" t="s">
        <v>1</v>
      </c>
    </row>
    <row r="243" spans="3:10" x14ac:dyDescent="0.25">
      <c r="C243">
        <v>240</v>
      </c>
      <c r="D243">
        <v>402910147</v>
      </c>
      <c r="E243" t="s">
        <v>2652</v>
      </c>
      <c r="F243" t="s">
        <v>2653</v>
      </c>
      <c r="G243" t="s">
        <v>2243</v>
      </c>
      <c r="H243">
        <v>8</v>
      </c>
      <c r="I243">
        <v>1</v>
      </c>
      <c r="J243" t="s">
        <v>1</v>
      </c>
    </row>
    <row r="244" spans="3:10" x14ac:dyDescent="0.25">
      <c r="C244">
        <v>241</v>
      </c>
      <c r="D244">
        <v>209490347</v>
      </c>
      <c r="E244" t="s">
        <v>1238</v>
      </c>
      <c r="F244" t="s">
        <v>2654</v>
      </c>
      <c r="G244" t="s">
        <v>2243</v>
      </c>
      <c r="H244">
        <v>8</v>
      </c>
      <c r="I244">
        <v>1</v>
      </c>
      <c r="J244" t="s">
        <v>1</v>
      </c>
    </row>
    <row r="245" spans="3:10" x14ac:dyDescent="0.25">
      <c r="C245">
        <v>242</v>
      </c>
      <c r="D245">
        <v>209490346</v>
      </c>
      <c r="E245" t="s">
        <v>1239</v>
      </c>
      <c r="F245" t="s">
        <v>2655</v>
      </c>
      <c r="G245" t="s">
        <v>2243</v>
      </c>
      <c r="H245">
        <v>8</v>
      </c>
      <c r="I245">
        <v>1</v>
      </c>
      <c r="J245" t="s">
        <v>1</v>
      </c>
    </row>
    <row r="246" spans="3:10" x14ac:dyDescent="0.25">
      <c r="C246">
        <v>243</v>
      </c>
      <c r="D246">
        <v>402890926</v>
      </c>
      <c r="E246" t="s">
        <v>1503</v>
      </c>
      <c r="F246" t="s">
        <v>2656</v>
      </c>
      <c r="G246" t="s">
        <v>2243</v>
      </c>
      <c r="H246">
        <v>8</v>
      </c>
      <c r="I246">
        <v>1</v>
      </c>
      <c r="J246" t="s">
        <v>1</v>
      </c>
    </row>
    <row r="247" spans="3:10" x14ac:dyDescent="0.25">
      <c r="C247">
        <v>244</v>
      </c>
      <c r="D247">
        <v>209530053</v>
      </c>
      <c r="E247" t="s">
        <v>1240</v>
      </c>
      <c r="F247" t="s">
        <v>2657</v>
      </c>
      <c r="G247" t="s">
        <v>2243</v>
      </c>
      <c r="H247">
        <v>8</v>
      </c>
      <c r="I247">
        <v>1</v>
      </c>
      <c r="J247" t="s">
        <v>1</v>
      </c>
    </row>
    <row r="248" spans="3:10" x14ac:dyDescent="0.25">
      <c r="C248">
        <v>245</v>
      </c>
      <c r="D248">
        <v>209450823</v>
      </c>
      <c r="E248" t="s">
        <v>1241</v>
      </c>
      <c r="F248" t="s">
        <v>2658</v>
      </c>
      <c r="G248" t="s">
        <v>2243</v>
      </c>
      <c r="H248">
        <v>8</v>
      </c>
      <c r="I248">
        <v>1</v>
      </c>
      <c r="J248" t="s">
        <v>1</v>
      </c>
    </row>
    <row r="249" spans="3:10" x14ac:dyDescent="0.25">
      <c r="C249">
        <v>246</v>
      </c>
      <c r="D249">
        <v>209320856</v>
      </c>
      <c r="E249" t="s">
        <v>1242</v>
      </c>
      <c r="F249" t="s">
        <v>2659</v>
      </c>
      <c r="G249" t="s">
        <v>2243</v>
      </c>
      <c r="H249">
        <v>8</v>
      </c>
      <c r="I249">
        <v>1</v>
      </c>
      <c r="J249" t="s">
        <v>1</v>
      </c>
    </row>
    <row r="250" spans="3:10" x14ac:dyDescent="0.25">
      <c r="C250">
        <v>247</v>
      </c>
      <c r="D250">
        <v>402940803</v>
      </c>
      <c r="E250" t="s">
        <v>1244</v>
      </c>
      <c r="F250" t="s">
        <v>2660</v>
      </c>
      <c r="G250" t="s">
        <v>2243</v>
      </c>
      <c r="H250">
        <v>8</v>
      </c>
      <c r="I250">
        <v>1</v>
      </c>
      <c r="J250" t="s">
        <v>1</v>
      </c>
    </row>
    <row r="251" spans="3:10" x14ac:dyDescent="0.25">
      <c r="C251">
        <v>248</v>
      </c>
      <c r="D251" t="s">
        <v>2197</v>
      </c>
      <c r="E251" t="s">
        <v>2197</v>
      </c>
      <c r="F251" t="s">
        <v>2661</v>
      </c>
      <c r="G251" t="s">
        <v>2243</v>
      </c>
      <c r="H251">
        <v>8</v>
      </c>
      <c r="I251">
        <v>1</v>
      </c>
      <c r="J251" t="s">
        <v>1</v>
      </c>
    </row>
    <row r="252" spans="3:10" x14ac:dyDescent="0.25">
      <c r="C252">
        <v>249</v>
      </c>
      <c r="D252">
        <v>209440759</v>
      </c>
      <c r="E252" t="s">
        <v>1245</v>
      </c>
      <c r="F252" t="s">
        <v>2662</v>
      </c>
      <c r="G252" t="s">
        <v>2243</v>
      </c>
      <c r="H252">
        <v>8</v>
      </c>
      <c r="I252">
        <v>1</v>
      </c>
      <c r="J252" t="s">
        <v>1</v>
      </c>
    </row>
    <row r="253" spans="3:10" x14ac:dyDescent="0.25">
      <c r="C253">
        <v>250</v>
      </c>
      <c r="D253">
        <v>121040339</v>
      </c>
      <c r="E253" t="s">
        <v>1246</v>
      </c>
      <c r="F253" t="s">
        <v>2663</v>
      </c>
      <c r="G253" t="s">
        <v>2243</v>
      </c>
      <c r="H253">
        <v>8</v>
      </c>
      <c r="I253">
        <v>1</v>
      </c>
      <c r="J253" t="s">
        <v>1</v>
      </c>
    </row>
    <row r="254" spans="3:10" x14ac:dyDescent="0.25">
      <c r="C254">
        <v>251</v>
      </c>
      <c r="D254">
        <v>121280449</v>
      </c>
      <c r="E254" t="s">
        <v>1248</v>
      </c>
      <c r="F254" t="s">
        <v>2664</v>
      </c>
      <c r="G254" t="s">
        <v>2243</v>
      </c>
      <c r="H254">
        <v>8</v>
      </c>
      <c r="I254">
        <v>1</v>
      </c>
      <c r="J254" t="s">
        <v>1</v>
      </c>
    </row>
    <row r="255" spans="3:10" x14ac:dyDescent="0.25">
      <c r="C255">
        <v>252</v>
      </c>
      <c r="D255">
        <v>402910919</v>
      </c>
      <c r="E255" t="s">
        <v>2665</v>
      </c>
      <c r="F255" t="s">
        <v>2666</v>
      </c>
      <c r="G255" t="s">
        <v>2243</v>
      </c>
      <c r="H255">
        <v>8</v>
      </c>
      <c r="I255">
        <v>1</v>
      </c>
      <c r="J255" t="s">
        <v>1</v>
      </c>
    </row>
    <row r="256" spans="3:10" x14ac:dyDescent="0.25">
      <c r="C256">
        <v>253</v>
      </c>
      <c r="D256">
        <v>209350594</v>
      </c>
      <c r="E256" t="s">
        <v>1308</v>
      </c>
      <c r="F256" t="s">
        <v>2667</v>
      </c>
      <c r="G256" t="s">
        <v>2243</v>
      </c>
      <c r="H256">
        <v>8</v>
      </c>
      <c r="I256">
        <v>1</v>
      </c>
      <c r="J256" t="s">
        <v>0</v>
      </c>
    </row>
    <row r="257" spans="3:10" x14ac:dyDescent="0.25">
      <c r="C257">
        <v>254</v>
      </c>
      <c r="D257">
        <v>121250980</v>
      </c>
      <c r="E257" t="s">
        <v>1250</v>
      </c>
      <c r="F257" t="s">
        <v>2668</v>
      </c>
      <c r="G257" t="s">
        <v>2243</v>
      </c>
      <c r="H257">
        <v>8</v>
      </c>
      <c r="I257">
        <v>1</v>
      </c>
      <c r="J257" t="s">
        <v>0</v>
      </c>
    </row>
    <row r="258" spans="3:10" x14ac:dyDescent="0.25">
      <c r="C258">
        <v>255</v>
      </c>
      <c r="D258">
        <v>402880404</v>
      </c>
      <c r="E258" t="s">
        <v>1541</v>
      </c>
      <c r="F258" t="s">
        <v>2669</v>
      </c>
      <c r="G258" t="s">
        <v>2243</v>
      </c>
      <c r="H258">
        <v>8</v>
      </c>
      <c r="I258">
        <v>1</v>
      </c>
      <c r="J258" t="s">
        <v>0</v>
      </c>
    </row>
    <row r="259" spans="3:10" x14ac:dyDescent="0.25">
      <c r="C259">
        <v>256</v>
      </c>
      <c r="D259">
        <v>120950624</v>
      </c>
      <c r="E259" t="s">
        <v>1251</v>
      </c>
      <c r="F259" t="s">
        <v>2670</v>
      </c>
      <c r="G259" t="s">
        <v>2243</v>
      </c>
      <c r="H259">
        <v>8</v>
      </c>
      <c r="I259">
        <v>1</v>
      </c>
      <c r="J259" t="s">
        <v>0</v>
      </c>
    </row>
    <row r="260" spans="3:10" x14ac:dyDescent="0.25">
      <c r="C260">
        <v>257</v>
      </c>
      <c r="D260">
        <v>402900943</v>
      </c>
      <c r="E260" t="s">
        <v>1252</v>
      </c>
      <c r="F260" t="s">
        <v>2671</v>
      </c>
      <c r="G260" t="s">
        <v>2243</v>
      </c>
      <c r="H260">
        <v>8</v>
      </c>
      <c r="I260">
        <v>1</v>
      </c>
      <c r="J260" t="s">
        <v>0</v>
      </c>
    </row>
    <row r="261" spans="3:10" x14ac:dyDescent="0.25">
      <c r="C261">
        <v>258</v>
      </c>
      <c r="D261">
        <v>209260418</v>
      </c>
      <c r="E261" t="s">
        <v>1253</v>
      </c>
      <c r="F261" t="s">
        <v>2672</v>
      </c>
      <c r="G261" t="s">
        <v>2243</v>
      </c>
      <c r="H261">
        <v>8</v>
      </c>
      <c r="I261">
        <v>1</v>
      </c>
      <c r="J261" t="s">
        <v>0</v>
      </c>
    </row>
    <row r="262" spans="3:10" x14ac:dyDescent="0.25">
      <c r="C262">
        <v>259</v>
      </c>
      <c r="D262">
        <v>209430929</v>
      </c>
      <c r="E262" t="s">
        <v>1254</v>
      </c>
      <c r="F262" t="s">
        <v>2673</v>
      </c>
      <c r="G262" t="s">
        <v>2243</v>
      </c>
      <c r="H262">
        <v>8</v>
      </c>
      <c r="I262">
        <v>1</v>
      </c>
      <c r="J262" t="s">
        <v>0</v>
      </c>
    </row>
    <row r="263" spans="3:10" x14ac:dyDescent="0.25">
      <c r="C263">
        <v>260</v>
      </c>
      <c r="D263">
        <v>209490185</v>
      </c>
      <c r="E263" t="s">
        <v>2674</v>
      </c>
      <c r="F263" t="s">
        <v>2675</v>
      </c>
      <c r="G263" t="s">
        <v>2243</v>
      </c>
      <c r="H263">
        <v>8</v>
      </c>
      <c r="I263">
        <v>1</v>
      </c>
      <c r="J263" t="s">
        <v>0</v>
      </c>
    </row>
    <row r="264" spans="3:10" x14ac:dyDescent="0.25">
      <c r="C264">
        <v>261</v>
      </c>
      <c r="D264">
        <v>209390068</v>
      </c>
      <c r="E264" t="s">
        <v>1255</v>
      </c>
      <c r="F264" t="s">
        <v>2676</v>
      </c>
      <c r="G264" t="s">
        <v>2243</v>
      </c>
      <c r="H264">
        <v>8</v>
      </c>
      <c r="I264">
        <v>1</v>
      </c>
      <c r="J264" t="s">
        <v>0</v>
      </c>
    </row>
    <row r="265" spans="3:10" x14ac:dyDescent="0.25">
      <c r="C265">
        <v>262</v>
      </c>
      <c r="D265">
        <v>209480870</v>
      </c>
      <c r="E265" t="s">
        <v>1256</v>
      </c>
      <c r="F265" t="s">
        <v>2677</v>
      </c>
      <c r="G265" t="s">
        <v>2243</v>
      </c>
      <c r="H265">
        <v>8</v>
      </c>
      <c r="I265">
        <v>1</v>
      </c>
      <c r="J265" t="s">
        <v>0</v>
      </c>
    </row>
    <row r="266" spans="3:10" x14ac:dyDescent="0.25">
      <c r="C266">
        <v>263</v>
      </c>
      <c r="D266">
        <v>209330482</v>
      </c>
      <c r="E266" t="s">
        <v>1257</v>
      </c>
      <c r="F266" t="s">
        <v>2678</v>
      </c>
      <c r="G266" t="s">
        <v>2243</v>
      </c>
      <c r="H266">
        <v>8</v>
      </c>
      <c r="I266">
        <v>1</v>
      </c>
      <c r="J266" t="s">
        <v>0</v>
      </c>
    </row>
    <row r="267" spans="3:10" x14ac:dyDescent="0.25">
      <c r="C267">
        <v>264</v>
      </c>
      <c r="D267">
        <v>121990979</v>
      </c>
      <c r="E267" t="s">
        <v>1365</v>
      </c>
      <c r="F267" t="s">
        <v>2679</v>
      </c>
      <c r="G267" t="s">
        <v>2243</v>
      </c>
      <c r="H267">
        <v>8</v>
      </c>
      <c r="I267">
        <v>1</v>
      </c>
      <c r="J267" t="s">
        <v>0</v>
      </c>
    </row>
    <row r="268" spans="3:10" x14ac:dyDescent="0.25">
      <c r="C268">
        <v>265</v>
      </c>
      <c r="D268">
        <v>209470180</v>
      </c>
      <c r="E268" t="s">
        <v>1258</v>
      </c>
      <c r="F268" t="s">
        <v>2680</v>
      </c>
      <c r="G268" t="s">
        <v>2243</v>
      </c>
      <c r="H268">
        <v>8</v>
      </c>
      <c r="I268">
        <v>1</v>
      </c>
      <c r="J268" t="s">
        <v>0</v>
      </c>
    </row>
    <row r="269" spans="3:10" x14ac:dyDescent="0.25">
      <c r="C269">
        <v>266</v>
      </c>
      <c r="D269">
        <v>402940399</v>
      </c>
      <c r="E269" t="s">
        <v>1259</v>
      </c>
      <c r="F269" t="s">
        <v>2681</v>
      </c>
      <c r="G269" t="s">
        <v>2243</v>
      </c>
      <c r="H269">
        <v>8</v>
      </c>
      <c r="I269">
        <v>1</v>
      </c>
      <c r="J269" t="s">
        <v>0</v>
      </c>
    </row>
    <row r="270" spans="3:10" x14ac:dyDescent="0.25">
      <c r="C270">
        <v>267</v>
      </c>
      <c r="D270">
        <v>209420243</v>
      </c>
      <c r="E270" t="s">
        <v>1261</v>
      </c>
      <c r="F270" t="s">
        <v>2682</v>
      </c>
      <c r="G270" t="s">
        <v>2243</v>
      </c>
      <c r="H270">
        <v>8</v>
      </c>
      <c r="I270">
        <v>1</v>
      </c>
      <c r="J270" t="s">
        <v>0</v>
      </c>
    </row>
    <row r="271" spans="3:10" x14ac:dyDescent="0.25">
      <c r="C271">
        <v>268</v>
      </c>
      <c r="D271">
        <v>402910888</v>
      </c>
      <c r="E271" t="s">
        <v>1263</v>
      </c>
      <c r="F271" t="s">
        <v>2683</v>
      </c>
      <c r="G271" t="s">
        <v>2243</v>
      </c>
      <c r="H271">
        <v>8</v>
      </c>
      <c r="I271">
        <v>2</v>
      </c>
      <c r="J271" t="s">
        <v>1</v>
      </c>
    </row>
    <row r="272" spans="3:10" x14ac:dyDescent="0.25">
      <c r="C272">
        <v>269</v>
      </c>
      <c r="D272">
        <v>209400876</v>
      </c>
      <c r="E272" t="s">
        <v>1264</v>
      </c>
      <c r="F272" t="s">
        <v>2684</v>
      </c>
      <c r="G272" t="s">
        <v>2243</v>
      </c>
      <c r="H272">
        <v>8</v>
      </c>
      <c r="I272">
        <v>2</v>
      </c>
      <c r="J272" t="s">
        <v>1</v>
      </c>
    </row>
    <row r="273" spans="3:10" x14ac:dyDescent="0.25">
      <c r="C273">
        <v>270</v>
      </c>
      <c r="D273">
        <v>121120009</v>
      </c>
      <c r="E273" t="s">
        <v>1236</v>
      </c>
      <c r="F273" t="s">
        <v>2685</v>
      </c>
      <c r="G273" t="s">
        <v>2243</v>
      </c>
      <c r="H273">
        <v>8</v>
      </c>
      <c r="I273">
        <v>2</v>
      </c>
      <c r="J273" t="s">
        <v>1</v>
      </c>
    </row>
    <row r="274" spans="3:10" x14ac:dyDescent="0.25">
      <c r="C274">
        <v>271</v>
      </c>
      <c r="D274">
        <v>121260947</v>
      </c>
      <c r="E274" t="s">
        <v>1265</v>
      </c>
      <c r="F274" t="s">
        <v>2686</v>
      </c>
      <c r="G274" t="s">
        <v>2243</v>
      </c>
      <c r="H274">
        <v>8</v>
      </c>
      <c r="I274">
        <v>2</v>
      </c>
      <c r="J274" t="s">
        <v>1</v>
      </c>
    </row>
    <row r="275" spans="3:10" x14ac:dyDescent="0.25">
      <c r="C275">
        <v>272</v>
      </c>
      <c r="D275">
        <v>209470224</v>
      </c>
      <c r="E275" t="s">
        <v>1266</v>
      </c>
      <c r="F275" t="s">
        <v>2687</v>
      </c>
      <c r="G275" t="s">
        <v>2243</v>
      </c>
      <c r="H275">
        <v>8</v>
      </c>
      <c r="I275">
        <v>2</v>
      </c>
      <c r="J275" t="s">
        <v>1</v>
      </c>
    </row>
    <row r="276" spans="3:10" x14ac:dyDescent="0.25">
      <c r="C276">
        <v>273</v>
      </c>
      <c r="D276">
        <v>121170588</v>
      </c>
      <c r="E276" t="s">
        <v>1267</v>
      </c>
      <c r="F276" t="s">
        <v>2688</v>
      </c>
      <c r="G276" t="s">
        <v>2243</v>
      </c>
      <c r="H276">
        <v>8</v>
      </c>
      <c r="I276">
        <v>2</v>
      </c>
      <c r="J276" t="s">
        <v>1</v>
      </c>
    </row>
    <row r="277" spans="3:10" x14ac:dyDescent="0.25">
      <c r="C277">
        <v>274</v>
      </c>
      <c r="D277">
        <v>402900498</v>
      </c>
      <c r="E277" t="s">
        <v>2689</v>
      </c>
      <c r="F277" t="s">
        <v>2690</v>
      </c>
      <c r="G277" t="s">
        <v>2243</v>
      </c>
      <c r="H277">
        <v>8</v>
      </c>
      <c r="I277">
        <v>2</v>
      </c>
      <c r="J277" t="s">
        <v>1</v>
      </c>
    </row>
    <row r="278" spans="3:10" x14ac:dyDescent="0.25">
      <c r="C278">
        <v>275</v>
      </c>
      <c r="D278">
        <v>402910855</v>
      </c>
      <c r="E278" t="s">
        <v>1268</v>
      </c>
      <c r="F278" t="s">
        <v>2691</v>
      </c>
      <c r="G278" t="s">
        <v>2243</v>
      </c>
      <c r="H278">
        <v>8</v>
      </c>
      <c r="I278">
        <v>2</v>
      </c>
      <c r="J278" t="s">
        <v>1</v>
      </c>
    </row>
    <row r="279" spans="3:10" x14ac:dyDescent="0.25">
      <c r="C279">
        <v>276</v>
      </c>
      <c r="D279">
        <v>402920217</v>
      </c>
      <c r="E279" t="s">
        <v>1269</v>
      </c>
      <c r="F279" t="s">
        <v>2692</v>
      </c>
      <c r="G279" t="s">
        <v>2243</v>
      </c>
      <c r="H279">
        <v>8</v>
      </c>
      <c r="I279">
        <v>2</v>
      </c>
      <c r="J279" t="s">
        <v>1</v>
      </c>
    </row>
    <row r="280" spans="3:10" x14ac:dyDescent="0.25">
      <c r="C280">
        <v>277</v>
      </c>
      <c r="D280">
        <v>121190758</v>
      </c>
      <c r="E280" t="s">
        <v>1270</v>
      </c>
      <c r="F280" t="s">
        <v>2693</v>
      </c>
      <c r="G280" t="s">
        <v>2243</v>
      </c>
      <c r="H280">
        <v>8</v>
      </c>
      <c r="I280">
        <v>2</v>
      </c>
      <c r="J280" t="s">
        <v>1</v>
      </c>
    </row>
    <row r="281" spans="3:10" x14ac:dyDescent="0.25">
      <c r="C281">
        <v>278</v>
      </c>
      <c r="D281">
        <v>402930474</v>
      </c>
      <c r="E281" t="s">
        <v>1271</v>
      </c>
      <c r="F281" t="s">
        <v>2694</v>
      </c>
      <c r="G281" t="s">
        <v>2243</v>
      </c>
      <c r="H281">
        <v>8</v>
      </c>
      <c r="I281">
        <v>2</v>
      </c>
      <c r="J281" t="s">
        <v>1</v>
      </c>
    </row>
    <row r="282" spans="3:10" x14ac:dyDescent="0.25">
      <c r="C282">
        <v>279</v>
      </c>
      <c r="D282">
        <v>209460052</v>
      </c>
      <c r="E282" t="s">
        <v>1272</v>
      </c>
      <c r="F282" t="s">
        <v>2695</v>
      </c>
      <c r="G282" t="s">
        <v>2243</v>
      </c>
      <c r="H282">
        <v>8</v>
      </c>
      <c r="I282">
        <v>2</v>
      </c>
      <c r="J282" t="s">
        <v>1</v>
      </c>
    </row>
    <row r="283" spans="3:10" x14ac:dyDescent="0.25">
      <c r="C283">
        <v>280</v>
      </c>
      <c r="D283">
        <v>402920434</v>
      </c>
      <c r="E283" t="s">
        <v>1273</v>
      </c>
      <c r="F283" t="s">
        <v>2696</v>
      </c>
      <c r="G283" t="s">
        <v>2243</v>
      </c>
      <c r="H283">
        <v>8</v>
      </c>
      <c r="I283">
        <v>2</v>
      </c>
      <c r="J283" t="s">
        <v>1</v>
      </c>
    </row>
    <row r="284" spans="3:10" x14ac:dyDescent="0.25">
      <c r="C284">
        <v>281</v>
      </c>
      <c r="D284">
        <v>504920958</v>
      </c>
      <c r="E284" t="s">
        <v>1274</v>
      </c>
      <c r="F284" t="s">
        <v>2697</v>
      </c>
      <c r="G284" t="s">
        <v>2243</v>
      </c>
      <c r="H284">
        <v>8</v>
      </c>
      <c r="I284">
        <v>2</v>
      </c>
      <c r="J284" t="s">
        <v>1</v>
      </c>
    </row>
    <row r="285" spans="3:10" x14ac:dyDescent="0.25">
      <c r="C285">
        <v>282</v>
      </c>
      <c r="D285">
        <v>209400135</v>
      </c>
      <c r="E285" t="s">
        <v>1276</v>
      </c>
      <c r="F285" t="s">
        <v>2698</v>
      </c>
      <c r="G285" t="s">
        <v>2243</v>
      </c>
      <c r="H285">
        <v>8</v>
      </c>
      <c r="I285">
        <v>2</v>
      </c>
      <c r="J285" t="s">
        <v>0</v>
      </c>
    </row>
    <row r="286" spans="3:10" x14ac:dyDescent="0.25">
      <c r="C286">
        <v>283</v>
      </c>
      <c r="D286">
        <v>209520711</v>
      </c>
      <c r="E286" t="s">
        <v>1277</v>
      </c>
      <c r="F286" t="s">
        <v>2699</v>
      </c>
      <c r="G286" t="s">
        <v>2243</v>
      </c>
      <c r="H286">
        <v>8</v>
      </c>
      <c r="I286">
        <v>2</v>
      </c>
      <c r="J286" t="s">
        <v>0</v>
      </c>
    </row>
    <row r="287" spans="3:10" x14ac:dyDescent="0.25">
      <c r="C287">
        <v>284</v>
      </c>
      <c r="D287">
        <v>209480258</v>
      </c>
      <c r="E287" t="s">
        <v>1278</v>
      </c>
      <c r="F287" t="s">
        <v>2700</v>
      </c>
      <c r="G287" t="s">
        <v>2243</v>
      </c>
      <c r="H287">
        <v>8</v>
      </c>
      <c r="I287">
        <v>2</v>
      </c>
      <c r="J287" t="s">
        <v>0</v>
      </c>
    </row>
    <row r="288" spans="3:10" x14ac:dyDescent="0.25">
      <c r="C288">
        <v>285</v>
      </c>
      <c r="D288">
        <v>209490265</v>
      </c>
      <c r="E288" t="s">
        <v>1279</v>
      </c>
      <c r="F288" t="s">
        <v>2701</v>
      </c>
      <c r="G288" t="s">
        <v>2243</v>
      </c>
      <c r="H288">
        <v>8</v>
      </c>
      <c r="I288">
        <v>2</v>
      </c>
      <c r="J288" t="s">
        <v>0</v>
      </c>
    </row>
    <row r="289" spans="3:10" x14ac:dyDescent="0.25">
      <c r="C289">
        <v>286</v>
      </c>
      <c r="D289">
        <v>402920398</v>
      </c>
      <c r="E289" t="s">
        <v>1280</v>
      </c>
      <c r="F289" t="s">
        <v>2702</v>
      </c>
      <c r="G289" t="s">
        <v>2243</v>
      </c>
      <c r="H289">
        <v>8</v>
      </c>
      <c r="I289">
        <v>2</v>
      </c>
      <c r="J289" t="s">
        <v>0</v>
      </c>
    </row>
    <row r="290" spans="3:10" x14ac:dyDescent="0.25">
      <c r="C290">
        <v>287</v>
      </c>
      <c r="D290">
        <v>209420346</v>
      </c>
      <c r="E290" t="s">
        <v>1281</v>
      </c>
      <c r="F290" t="s">
        <v>2703</v>
      </c>
      <c r="G290" t="s">
        <v>2243</v>
      </c>
      <c r="H290">
        <v>8</v>
      </c>
      <c r="I290">
        <v>2</v>
      </c>
      <c r="J290" t="s">
        <v>0</v>
      </c>
    </row>
    <row r="291" spans="3:10" x14ac:dyDescent="0.25">
      <c r="C291">
        <v>288</v>
      </c>
      <c r="D291">
        <v>402940358</v>
      </c>
      <c r="E291" t="s">
        <v>1282</v>
      </c>
      <c r="F291" t="s">
        <v>2704</v>
      </c>
      <c r="G291" t="s">
        <v>2243</v>
      </c>
      <c r="H291">
        <v>8</v>
      </c>
      <c r="I291">
        <v>2</v>
      </c>
      <c r="J291" t="s">
        <v>0</v>
      </c>
    </row>
    <row r="292" spans="3:10" x14ac:dyDescent="0.25">
      <c r="C292">
        <v>289</v>
      </c>
      <c r="D292">
        <v>402940191</v>
      </c>
      <c r="E292" t="s">
        <v>1283</v>
      </c>
      <c r="F292" t="s">
        <v>2705</v>
      </c>
      <c r="G292" t="s">
        <v>2243</v>
      </c>
      <c r="H292">
        <v>8</v>
      </c>
      <c r="I292">
        <v>2</v>
      </c>
      <c r="J292" t="s">
        <v>0</v>
      </c>
    </row>
    <row r="293" spans="3:10" x14ac:dyDescent="0.25">
      <c r="C293">
        <v>290</v>
      </c>
      <c r="D293">
        <v>402900332</v>
      </c>
      <c r="E293" t="s">
        <v>1284</v>
      </c>
      <c r="F293" t="s">
        <v>2706</v>
      </c>
      <c r="G293" t="s">
        <v>2243</v>
      </c>
      <c r="H293">
        <v>8</v>
      </c>
      <c r="I293">
        <v>2</v>
      </c>
      <c r="J293" t="s">
        <v>0</v>
      </c>
    </row>
    <row r="294" spans="3:10" x14ac:dyDescent="0.25">
      <c r="C294">
        <v>291</v>
      </c>
      <c r="D294">
        <v>402920095</v>
      </c>
      <c r="E294" t="s">
        <v>1285</v>
      </c>
      <c r="F294" t="s">
        <v>2707</v>
      </c>
      <c r="G294" t="s">
        <v>2243</v>
      </c>
      <c r="H294">
        <v>8</v>
      </c>
      <c r="I294">
        <v>2</v>
      </c>
      <c r="J294" t="s">
        <v>0</v>
      </c>
    </row>
    <row r="295" spans="3:10" x14ac:dyDescent="0.25">
      <c r="C295">
        <v>292</v>
      </c>
      <c r="D295">
        <v>120780969</v>
      </c>
      <c r="E295" t="s">
        <v>1286</v>
      </c>
      <c r="F295" t="s">
        <v>2708</v>
      </c>
      <c r="G295" t="s">
        <v>2243</v>
      </c>
      <c r="H295">
        <v>8</v>
      </c>
      <c r="I295">
        <v>2</v>
      </c>
      <c r="J295" t="s">
        <v>0</v>
      </c>
    </row>
    <row r="296" spans="3:10" x14ac:dyDescent="0.25">
      <c r="C296">
        <v>293</v>
      </c>
      <c r="D296">
        <v>402930510</v>
      </c>
      <c r="E296" t="s">
        <v>1287</v>
      </c>
      <c r="F296" t="s">
        <v>2709</v>
      </c>
      <c r="G296" t="s">
        <v>2243</v>
      </c>
      <c r="H296">
        <v>8</v>
      </c>
      <c r="I296">
        <v>2</v>
      </c>
      <c r="J296" t="s">
        <v>0</v>
      </c>
    </row>
    <row r="297" spans="3:10" x14ac:dyDescent="0.25">
      <c r="C297">
        <v>294</v>
      </c>
      <c r="D297">
        <v>402920384</v>
      </c>
      <c r="E297" t="s">
        <v>1288</v>
      </c>
      <c r="F297" t="s">
        <v>2710</v>
      </c>
      <c r="G297" t="s">
        <v>2243</v>
      </c>
      <c r="H297">
        <v>8</v>
      </c>
      <c r="I297">
        <v>2</v>
      </c>
      <c r="J297" t="s">
        <v>0</v>
      </c>
    </row>
    <row r="298" spans="3:10" x14ac:dyDescent="0.25">
      <c r="C298">
        <v>295</v>
      </c>
      <c r="D298">
        <v>402940158</v>
      </c>
      <c r="E298" t="s">
        <v>1289</v>
      </c>
      <c r="F298" t="s">
        <v>2711</v>
      </c>
      <c r="G298" t="s">
        <v>2243</v>
      </c>
      <c r="H298">
        <v>8</v>
      </c>
      <c r="I298">
        <v>2</v>
      </c>
      <c r="J298" t="s">
        <v>0</v>
      </c>
    </row>
    <row r="299" spans="3:10" x14ac:dyDescent="0.25">
      <c r="C299">
        <v>296</v>
      </c>
      <c r="D299">
        <v>209410971</v>
      </c>
      <c r="E299" t="s">
        <v>1290</v>
      </c>
      <c r="F299" t="s">
        <v>2712</v>
      </c>
      <c r="G299" t="s">
        <v>2243</v>
      </c>
      <c r="H299">
        <v>8</v>
      </c>
      <c r="I299">
        <v>2</v>
      </c>
      <c r="J299" t="s">
        <v>0</v>
      </c>
    </row>
    <row r="300" spans="3:10" x14ac:dyDescent="0.25">
      <c r="C300">
        <v>297</v>
      </c>
      <c r="D300">
        <v>402930817</v>
      </c>
      <c r="E300" t="s">
        <v>1291</v>
      </c>
      <c r="F300" t="s">
        <v>2713</v>
      </c>
      <c r="G300" t="s">
        <v>2243</v>
      </c>
      <c r="H300">
        <v>8</v>
      </c>
      <c r="I300">
        <v>2</v>
      </c>
      <c r="J300" t="s">
        <v>0</v>
      </c>
    </row>
    <row r="301" spans="3:10" x14ac:dyDescent="0.25">
      <c r="C301">
        <v>298</v>
      </c>
      <c r="D301">
        <v>402940653</v>
      </c>
      <c r="E301" t="s">
        <v>1292</v>
      </c>
      <c r="F301" t="s">
        <v>2714</v>
      </c>
      <c r="G301" t="s">
        <v>2243</v>
      </c>
      <c r="H301">
        <v>8</v>
      </c>
      <c r="I301">
        <v>3</v>
      </c>
      <c r="J301" t="s">
        <v>1</v>
      </c>
    </row>
    <row r="302" spans="3:10" x14ac:dyDescent="0.25">
      <c r="C302">
        <v>299</v>
      </c>
      <c r="D302">
        <v>209410708</v>
      </c>
      <c r="E302" t="s">
        <v>1293</v>
      </c>
      <c r="F302" t="s">
        <v>2715</v>
      </c>
      <c r="G302" t="s">
        <v>2243</v>
      </c>
      <c r="H302">
        <v>8</v>
      </c>
      <c r="I302">
        <v>3</v>
      </c>
      <c r="J302" t="s">
        <v>1</v>
      </c>
    </row>
    <row r="303" spans="3:10" x14ac:dyDescent="0.25">
      <c r="C303">
        <v>300</v>
      </c>
      <c r="D303">
        <v>402930756</v>
      </c>
      <c r="E303" t="s">
        <v>1294</v>
      </c>
      <c r="F303" t="s">
        <v>2716</v>
      </c>
      <c r="G303" t="s">
        <v>2243</v>
      </c>
      <c r="H303">
        <v>8</v>
      </c>
      <c r="I303">
        <v>3</v>
      </c>
      <c r="J303" t="s">
        <v>1</v>
      </c>
    </row>
    <row r="304" spans="3:10" x14ac:dyDescent="0.25">
      <c r="C304">
        <v>301</v>
      </c>
      <c r="D304">
        <v>121200260</v>
      </c>
      <c r="E304" t="s">
        <v>1295</v>
      </c>
      <c r="F304" t="s">
        <v>2717</v>
      </c>
      <c r="G304" t="s">
        <v>2243</v>
      </c>
      <c r="H304">
        <v>8</v>
      </c>
      <c r="I304">
        <v>3</v>
      </c>
      <c r="J304" t="s">
        <v>1</v>
      </c>
    </row>
    <row r="305" spans="3:10" x14ac:dyDescent="0.25">
      <c r="C305">
        <v>302</v>
      </c>
      <c r="D305">
        <v>209480950</v>
      </c>
      <c r="E305" t="s">
        <v>1296</v>
      </c>
      <c r="F305" t="s">
        <v>2718</v>
      </c>
      <c r="G305" t="s">
        <v>2243</v>
      </c>
      <c r="H305">
        <v>8</v>
      </c>
      <c r="I305">
        <v>3</v>
      </c>
      <c r="J305" t="s">
        <v>1</v>
      </c>
    </row>
    <row r="306" spans="3:10" x14ac:dyDescent="0.25">
      <c r="C306">
        <v>303</v>
      </c>
      <c r="D306">
        <v>209390468</v>
      </c>
      <c r="E306" t="s">
        <v>1297</v>
      </c>
      <c r="F306" t="s">
        <v>2719</v>
      </c>
      <c r="G306" t="s">
        <v>2243</v>
      </c>
      <c r="H306">
        <v>8</v>
      </c>
      <c r="I306">
        <v>3</v>
      </c>
      <c r="J306" t="s">
        <v>1</v>
      </c>
    </row>
    <row r="307" spans="3:10" x14ac:dyDescent="0.25">
      <c r="C307">
        <v>304</v>
      </c>
      <c r="D307">
        <v>402910022</v>
      </c>
      <c r="E307" t="s">
        <v>1300</v>
      </c>
      <c r="F307" t="s">
        <v>2720</v>
      </c>
      <c r="G307" t="s">
        <v>2243</v>
      </c>
      <c r="H307">
        <v>8</v>
      </c>
      <c r="I307">
        <v>3</v>
      </c>
      <c r="J307" t="s">
        <v>1</v>
      </c>
    </row>
    <row r="308" spans="3:10" x14ac:dyDescent="0.25">
      <c r="C308">
        <v>305</v>
      </c>
      <c r="D308">
        <v>209410315</v>
      </c>
      <c r="E308" t="s">
        <v>1299</v>
      </c>
      <c r="F308" t="s">
        <v>2721</v>
      </c>
      <c r="G308" t="s">
        <v>2243</v>
      </c>
      <c r="H308">
        <v>8</v>
      </c>
      <c r="I308">
        <v>3</v>
      </c>
      <c r="J308" t="s">
        <v>1</v>
      </c>
    </row>
    <row r="309" spans="3:10" x14ac:dyDescent="0.25">
      <c r="C309">
        <v>306</v>
      </c>
      <c r="D309">
        <v>402910373</v>
      </c>
      <c r="E309" t="s">
        <v>1243</v>
      </c>
      <c r="F309" t="s">
        <v>2722</v>
      </c>
      <c r="G309" t="s">
        <v>2243</v>
      </c>
      <c r="H309">
        <v>8</v>
      </c>
      <c r="I309">
        <v>3</v>
      </c>
      <c r="J309" t="s">
        <v>1</v>
      </c>
    </row>
    <row r="310" spans="3:10" x14ac:dyDescent="0.25">
      <c r="C310">
        <v>307</v>
      </c>
      <c r="D310">
        <v>402910958</v>
      </c>
      <c r="E310" t="s">
        <v>1301</v>
      </c>
      <c r="F310" t="s">
        <v>2723</v>
      </c>
      <c r="G310" t="s">
        <v>2243</v>
      </c>
      <c r="H310">
        <v>8</v>
      </c>
      <c r="I310">
        <v>3</v>
      </c>
      <c r="J310" t="s">
        <v>1</v>
      </c>
    </row>
    <row r="311" spans="3:10" x14ac:dyDescent="0.25">
      <c r="C311">
        <v>308</v>
      </c>
      <c r="D311">
        <v>209440530</v>
      </c>
      <c r="E311" t="s">
        <v>1302</v>
      </c>
      <c r="F311" t="s">
        <v>2724</v>
      </c>
      <c r="G311" t="s">
        <v>2243</v>
      </c>
      <c r="H311">
        <v>8</v>
      </c>
      <c r="I311">
        <v>3</v>
      </c>
      <c r="J311" t="s">
        <v>1</v>
      </c>
    </row>
    <row r="312" spans="3:10" x14ac:dyDescent="0.25">
      <c r="C312">
        <v>309</v>
      </c>
      <c r="D312">
        <v>402920002</v>
      </c>
      <c r="E312" t="s">
        <v>1303</v>
      </c>
      <c r="F312" t="s">
        <v>2725</v>
      </c>
      <c r="G312" t="s">
        <v>2243</v>
      </c>
      <c r="H312">
        <v>8</v>
      </c>
      <c r="I312">
        <v>3</v>
      </c>
      <c r="J312" t="s">
        <v>1</v>
      </c>
    </row>
    <row r="313" spans="3:10" x14ac:dyDescent="0.25">
      <c r="C313">
        <v>310</v>
      </c>
      <c r="D313">
        <v>209430664</v>
      </c>
      <c r="E313" t="s">
        <v>1304</v>
      </c>
      <c r="F313" t="s">
        <v>2726</v>
      </c>
      <c r="G313" t="s">
        <v>2243</v>
      </c>
      <c r="H313">
        <v>8</v>
      </c>
      <c r="I313">
        <v>3</v>
      </c>
      <c r="J313" t="s">
        <v>1</v>
      </c>
    </row>
    <row r="314" spans="3:10" x14ac:dyDescent="0.25">
      <c r="C314">
        <v>311</v>
      </c>
      <c r="D314">
        <v>402920537</v>
      </c>
      <c r="E314" t="s">
        <v>1305</v>
      </c>
      <c r="F314" t="s">
        <v>2727</v>
      </c>
      <c r="G314" t="s">
        <v>2243</v>
      </c>
      <c r="H314">
        <v>8</v>
      </c>
      <c r="I314">
        <v>3</v>
      </c>
      <c r="J314" t="s">
        <v>1</v>
      </c>
    </row>
    <row r="315" spans="3:10" x14ac:dyDescent="0.25">
      <c r="C315">
        <v>312</v>
      </c>
      <c r="D315">
        <v>209470650</v>
      </c>
      <c r="E315" t="s">
        <v>1306</v>
      </c>
      <c r="F315" t="s">
        <v>2728</v>
      </c>
      <c r="G315" t="s">
        <v>2243</v>
      </c>
      <c r="H315">
        <v>8</v>
      </c>
      <c r="I315">
        <v>3</v>
      </c>
      <c r="J315" t="s">
        <v>1</v>
      </c>
    </row>
    <row r="316" spans="3:10" x14ac:dyDescent="0.25">
      <c r="C316">
        <v>313</v>
      </c>
      <c r="D316">
        <v>402910264</v>
      </c>
      <c r="E316" t="s">
        <v>1307</v>
      </c>
      <c r="F316" t="s">
        <v>2729</v>
      </c>
      <c r="G316" t="s">
        <v>2243</v>
      </c>
      <c r="H316">
        <v>8</v>
      </c>
      <c r="I316">
        <v>3</v>
      </c>
      <c r="J316" t="s">
        <v>1</v>
      </c>
    </row>
    <row r="317" spans="3:10" x14ac:dyDescent="0.25">
      <c r="C317">
        <v>314</v>
      </c>
      <c r="D317">
        <v>209510775</v>
      </c>
      <c r="E317" t="s">
        <v>1249</v>
      </c>
      <c r="F317" t="s">
        <v>2730</v>
      </c>
      <c r="G317" t="s">
        <v>2243</v>
      </c>
      <c r="H317">
        <v>8</v>
      </c>
      <c r="I317">
        <v>3</v>
      </c>
      <c r="J317" t="s">
        <v>0</v>
      </c>
    </row>
    <row r="318" spans="3:10" x14ac:dyDescent="0.25">
      <c r="C318">
        <v>315</v>
      </c>
      <c r="D318">
        <v>209480315</v>
      </c>
      <c r="E318" t="s">
        <v>1309</v>
      </c>
      <c r="F318" t="s">
        <v>2731</v>
      </c>
      <c r="G318" t="s">
        <v>2243</v>
      </c>
      <c r="H318">
        <v>8</v>
      </c>
      <c r="I318">
        <v>3</v>
      </c>
      <c r="J318" t="s">
        <v>0</v>
      </c>
    </row>
    <row r="319" spans="3:10" x14ac:dyDescent="0.25">
      <c r="C319">
        <v>316</v>
      </c>
      <c r="D319">
        <v>209290882</v>
      </c>
      <c r="E319" t="s">
        <v>1554</v>
      </c>
      <c r="F319" t="s">
        <v>2732</v>
      </c>
      <c r="G319" t="s">
        <v>2243</v>
      </c>
      <c r="H319">
        <v>8</v>
      </c>
      <c r="I319">
        <v>3</v>
      </c>
      <c r="J319" t="s">
        <v>0</v>
      </c>
    </row>
    <row r="320" spans="3:10" x14ac:dyDescent="0.25">
      <c r="C320">
        <v>317</v>
      </c>
      <c r="D320">
        <v>402920277</v>
      </c>
      <c r="E320" t="s">
        <v>1311</v>
      </c>
      <c r="F320" t="s">
        <v>2733</v>
      </c>
      <c r="G320" t="s">
        <v>2243</v>
      </c>
      <c r="H320">
        <v>8</v>
      </c>
      <c r="I320">
        <v>3</v>
      </c>
      <c r="J320" t="s">
        <v>0</v>
      </c>
    </row>
    <row r="321" spans="3:10" x14ac:dyDescent="0.25">
      <c r="C321">
        <v>318</v>
      </c>
      <c r="D321">
        <v>402920450</v>
      </c>
      <c r="E321" t="s">
        <v>1312</v>
      </c>
      <c r="F321" t="s">
        <v>2734</v>
      </c>
      <c r="G321" t="s">
        <v>2243</v>
      </c>
      <c r="H321">
        <v>8</v>
      </c>
      <c r="I321">
        <v>3</v>
      </c>
      <c r="J321" t="s">
        <v>0</v>
      </c>
    </row>
    <row r="322" spans="3:10" x14ac:dyDescent="0.25">
      <c r="C322">
        <v>319</v>
      </c>
      <c r="D322">
        <v>209430659</v>
      </c>
      <c r="E322" t="s">
        <v>1314</v>
      </c>
      <c r="F322" t="s">
        <v>2735</v>
      </c>
      <c r="G322" t="s">
        <v>2243</v>
      </c>
      <c r="H322">
        <v>8</v>
      </c>
      <c r="I322">
        <v>3</v>
      </c>
      <c r="J322" t="s">
        <v>0</v>
      </c>
    </row>
    <row r="323" spans="3:10" x14ac:dyDescent="0.25">
      <c r="C323">
        <v>320</v>
      </c>
      <c r="D323">
        <v>402950957</v>
      </c>
      <c r="E323" t="s">
        <v>1315</v>
      </c>
      <c r="F323" t="s">
        <v>2736</v>
      </c>
      <c r="G323" t="s">
        <v>2243</v>
      </c>
      <c r="H323">
        <v>8</v>
      </c>
      <c r="I323">
        <v>3</v>
      </c>
      <c r="J323" t="s">
        <v>0</v>
      </c>
    </row>
    <row r="324" spans="3:10" x14ac:dyDescent="0.25">
      <c r="C324">
        <v>321</v>
      </c>
      <c r="D324">
        <v>402910808</v>
      </c>
      <c r="E324" t="s">
        <v>1316</v>
      </c>
      <c r="F324" t="s">
        <v>2737</v>
      </c>
      <c r="G324" t="s">
        <v>2243</v>
      </c>
      <c r="H324">
        <v>8</v>
      </c>
      <c r="I324">
        <v>3</v>
      </c>
      <c r="J324" t="s">
        <v>0</v>
      </c>
    </row>
    <row r="325" spans="3:10" x14ac:dyDescent="0.25">
      <c r="C325">
        <v>322</v>
      </c>
      <c r="D325">
        <v>121280198</v>
      </c>
      <c r="E325" t="s">
        <v>1317</v>
      </c>
      <c r="F325" t="s">
        <v>2738</v>
      </c>
      <c r="G325" t="s">
        <v>2243</v>
      </c>
      <c r="H325">
        <v>8</v>
      </c>
      <c r="I325">
        <v>3</v>
      </c>
      <c r="J325" t="s">
        <v>0</v>
      </c>
    </row>
    <row r="326" spans="3:10" x14ac:dyDescent="0.25">
      <c r="C326">
        <v>323</v>
      </c>
      <c r="D326">
        <v>121060994</v>
      </c>
      <c r="E326" t="s">
        <v>1318</v>
      </c>
      <c r="F326" t="s">
        <v>2739</v>
      </c>
      <c r="G326" t="s">
        <v>2243</v>
      </c>
      <c r="H326">
        <v>8</v>
      </c>
      <c r="I326">
        <v>3</v>
      </c>
      <c r="J326" t="s">
        <v>0</v>
      </c>
    </row>
    <row r="327" spans="3:10" x14ac:dyDescent="0.25">
      <c r="C327">
        <v>324</v>
      </c>
      <c r="D327">
        <v>209120003</v>
      </c>
      <c r="E327" t="s">
        <v>1320</v>
      </c>
      <c r="F327" t="s">
        <v>2740</v>
      </c>
      <c r="G327" t="s">
        <v>2243</v>
      </c>
      <c r="H327">
        <v>8</v>
      </c>
      <c r="I327">
        <v>3</v>
      </c>
      <c r="J327" t="s">
        <v>0</v>
      </c>
    </row>
    <row r="328" spans="3:10" x14ac:dyDescent="0.25">
      <c r="C328">
        <v>325</v>
      </c>
      <c r="D328">
        <v>209440097</v>
      </c>
      <c r="E328" t="s">
        <v>1319</v>
      </c>
      <c r="F328" t="s">
        <v>2741</v>
      </c>
      <c r="G328" t="s">
        <v>2243</v>
      </c>
      <c r="H328">
        <v>8</v>
      </c>
      <c r="I328">
        <v>3</v>
      </c>
      <c r="J328" t="s">
        <v>0</v>
      </c>
    </row>
    <row r="329" spans="3:10" x14ac:dyDescent="0.25">
      <c r="C329">
        <v>326</v>
      </c>
      <c r="D329">
        <v>209480567</v>
      </c>
      <c r="E329" t="s">
        <v>1321</v>
      </c>
      <c r="F329" t="s">
        <v>2742</v>
      </c>
      <c r="G329" t="s">
        <v>2243</v>
      </c>
      <c r="H329">
        <v>8</v>
      </c>
      <c r="I329">
        <v>3</v>
      </c>
      <c r="J329" t="s">
        <v>0</v>
      </c>
    </row>
    <row r="330" spans="3:10" x14ac:dyDescent="0.25">
      <c r="C330">
        <v>327</v>
      </c>
      <c r="D330">
        <v>402950574</v>
      </c>
      <c r="E330" t="s">
        <v>1322</v>
      </c>
      <c r="F330" t="s">
        <v>2743</v>
      </c>
      <c r="G330" t="s">
        <v>2243</v>
      </c>
      <c r="H330">
        <v>8</v>
      </c>
      <c r="I330">
        <v>3</v>
      </c>
      <c r="J330" t="s">
        <v>0</v>
      </c>
    </row>
    <row r="331" spans="3:10" x14ac:dyDescent="0.25">
      <c r="C331">
        <v>328</v>
      </c>
      <c r="D331">
        <v>121020676</v>
      </c>
      <c r="E331" t="s">
        <v>1323</v>
      </c>
      <c r="F331" t="s">
        <v>2744</v>
      </c>
      <c r="G331" t="s">
        <v>2243</v>
      </c>
      <c r="H331">
        <v>8</v>
      </c>
      <c r="I331">
        <v>4</v>
      </c>
      <c r="J331" t="s">
        <v>1</v>
      </c>
    </row>
    <row r="332" spans="3:10" x14ac:dyDescent="0.25">
      <c r="C332">
        <v>329</v>
      </c>
      <c r="D332">
        <v>209430239</v>
      </c>
      <c r="E332" t="s">
        <v>1324</v>
      </c>
      <c r="F332" t="s">
        <v>2745</v>
      </c>
      <c r="G332" t="s">
        <v>2243</v>
      </c>
      <c r="H332">
        <v>8</v>
      </c>
      <c r="I332">
        <v>4</v>
      </c>
      <c r="J332" t="s">
        <v>1</v>
      </c>
    </row>
    <row r="333" spans="3:10" x14ac:dyDescent="0.25">
      <c r="C333">
        <v>330</v>
      </c>
      <c r="D333">
        <v>209490046</v>
      </c>
      <c r="E333" t="s">
        <v>1325</v>
      </c>
      <c r="F333" t="s">
        <v>2746</v>
      </c>
      <c r="G333" t="s">
        <v>2243</v>
      </c>
      <c r="H333">
        <v>8</v>
      </c>
      <c r="I333">
        <v>4</v>
      </c>
      <c r="J333" t="s">
        <v>1</v>
      </c>
    </row>
    <row r="334" spans="3:10" x14ac:dyDescent="0.25">
      <c r="C334">
        <v>331</v>
      </c>
      <c r="D334">
        <v>209500534</v>
      </c>
      <c r="E334" t="s">
        <v>1326</v>
      </c>
      <c r="F334" t="s">
        <v>2747</v>
      </c>
      <c r="G334" t="s">
        <v>2243</v>
      </c>
      <c r="H334">
        <v>8</v>
      </c>
      <c r="I334">
        <v>4</v>
      </c>
      <c r="J334" t="s">
        <v>1</v>
      </c>
    </row>
    <row r="335" spans="3:10" x14ac:dyDescent="0.25">
      <c r="C335">
        <v>332</v>
      </c>
      <c r="D335">
        <v>209410501</v>
      </c>
      <c r="E335" t="s">
        <v>1327</v>
      </c>
      <c r="F335" t="s">
        <v>2748</v>
      </c>
      <c r="G335" t="s">
        <v>2243</v>
      </c>
      <c r="H335">
        <v>8</v>
      </c>
      <c r="I335">
        <v>4</v>
      </c>
      <c r="J335" t="s">
        <v>1</v>
      </c>
    </row>
    <row r="336" spans="3:10" x14ac:dyDescent="0.25">
      <c r="C336">
        <v>333</v>
      </c>
      <c r="D336">
        <v>209150068</v>
      </c>
      <c r="E336" t="s">
        <v>1458</v>
      </c>
      <c r="F336" t="s">
        <v>2749</v>
      </c>
      <c r="G336" t="s">
        <v>2243</v>
      </c>
      <c r="H336">
        <v>8</v>
      </c>
      <c r="I336">
        <v>4</v>
      </c>
      <c r="J336" t="s">
        <v>1</v>
      </c>
    </row>
    <row r="337" spans="3:10" x14ac:dyDescent="0.25">
      <c r="C337">
        <v>334</v>
      </c>
      <c r="D337">
        <v>209440152</v>
      </c>
      <c r="E337" t="s">
        <v>1328</v>
      </c>
      <c r="F337" t="s">
        <v>2750</v>
      </c>
      <c r="G337" t="s">
        <v>2243</v>
      </c>
      <c r="H337">
        <v>8</v>
      </c>
      <c r="I337">
        <v>4</v>
      </c>
      <c r="J337" t="s">
        <v>1</v>
      </c>
    </row>
    <row r="338" spans="3:10" x14ac:dyDescent="0.25">
      <c r="C338">
        <v>335</v>
      </c>
      <c r="D338">
        <v>121120782</v>
      </c>
      <c r="E338" t="s">
        <v>1329</v>
      </c>
      <c r="F338" t="s">
        <v>2751</v>
      </c>
      <c r="G338" t="s">
        <v>2243</v>
      </c>
      <c r="H338">
        <v>8</v>
      </c>
      <c r="I338">
        <v>4</v>
      </c>
      <c r="J338" t="s">
        <v>1</v>
      </c>
    </row>
    <row r="339" spans="3:10" x14ac:dyDescent="0.25">
      <c r="C339">
        <v>336</v>
      </c>
      <c r="D339">
        <v>209390129</v>
      </c>
      <c r="E339" t="s">
        <v>1330</v>
      </c>
      <c r="F339" t="s">
        <v>2752</v>
      </c>
      <c r="G339" t="s">
        <v>2243</v>
      </c>
      <c r="H339">
        <v>8</v>
      </c>
      <c r="I339">
        <v>4</v>
      </c>
      <c r="J339" t="s">
        <v>1</v>
      </c>
    </row>
    <row r="340" spans="3:10" x14ac:dyDescent="0.25">
      <c r="C340">
        <v>337</v>
      </c>
      <c r="D340">
        <v>209450511</v>
      </c>
      <c r="E340" t="s">
        <v>1331</v>
      </c>
      <c r="F340" t="s">
        <v>2753</v>
      </c>
      <c r="G340" t="s">
        <v>2243</v>
      </c>
      <c r="H340">
        <v>8</v>
      </c>
      <c r="I340">
        <v>4</v>
      </c>
      <c r="J340" t="s">
        <v>1</v>
      </c>
    </row>
    <row r="341" spans="3:10" x14ac:dyDescent="0.25">
      <c r="C341">
        <v>338</v>
      </c>
      <c r="D341">
        <v>209530351</v>
      </c>
      <c r="E341" t="s">
        <v>1332</v>
      </c>
      <c r="F341" t="s">
        <v>2754</v>
      </c>
      <c r="G341" t="s">
        <v>2243</v>
      </c>
      <c r="H341">
        <v>8</v>
      </c>
      <c r="I341">
        <v>4</v>
      </c>
      <c r="J341" t="s">
        <v>1</v>
      </c>
    </row>
    <row r="342" spans="3:10" x14ac:dyDescent="0.25">
      <c r="C342">
        <v>339</v>
      </c>
      <c r="D342">
        <v>209410398</v>
      </c>
      <c r="E342" t="s">
        <v>1333</v>
      </c>
      <c r="F342" t="s">
        <v>2755</v>
      </c>
      <c r="G342" t="s">
        <v>2243</v>
      </c>
      <c r="H342">
        <v>8</v>
      </c>
      <c r="I342">
        <v>4</v>
      </c>
      <c r="J342" t="s">
        <v>1</v>
      </c>
    </row>
    <row r="343" spans="3:10" x14ac:dyDescent="0.25">
      <c r="C343">
        <v>340</v>
      </c>
      <c r="D343">
        <v>209440096</v>
      </c>
      <c r="E343" t="s">
        <v>1334</v>
      </c>
      <c r="F343" t="s">
        <v>2756</v>
      </c>
      <c r="G343" t="s">
        <v>2243</v>
      </c>
      <c r="H343">
        <v>8</v>
      </c>
      <c r="I343">
        <v>4</v>
      </c>
      <c r="J343" t="s">
        <v>1</v>
      </c>
    </row>
    <row r="344" spans="3:10" x14ac:dyDescent="0.25">
      <c r="C344">
        <v>341</v>
      </c>
      <c r="D344">
        <v>209480378</v>
      </c>
      <c r="E344" t="s">
        <v>1335</v>
      </c>
      <c r="F344" t="s">
        <v>2757</v>
      </c>
      <c r="G344" t="s">
        <v>2243</v>
      </c>
      <c r="H344">
        <v>8</v>
      </c>
      <c r="I344">
        <v>4</v>
      </c>
      <c r="J344" t="s">
        <v>1</v>
      </c>
    </row>
    <row r="345" spans="3:10" x14ac:dyDescent="0.25">
      <c r="C345">
        <v>342</v>
      </c>
      <c r="D345">
        <v>209420978</v>
      </c>
      <c r="E345" t="s">
        <v>1336</v>
      </c>
      <c r="F345" t="s">
        <v>2758</v>
      </c>
      <c r="G345" t="s">
        <v>2243</v>
      </c>
      <c r="H345">
        <v>8</v>
      </c>
      <c r="I345">
        <v>4</v>
      </c>
      <c r="J345" t="s">
        <v>1</v>
      </c>
    </row>
    <row r="346" spans="3:10" x14ac:dyDescent="0.25">
      <c r="C346">
        <v>343</v>
      </c>
      <c r="D346">
        <v>209340165</v>
      </c>
      <c r="E346" t="s">
        <v>1337</v>
      </c>
      <c r="F346" t="s">
        <v>2759</v>
      </c>
      <c r="G346" t="s">
        <v>2243</v>
      </c>
      <c r="H346">
        <v>8</v>
      </c>
      <c r="I346">
        <v>4</v>
      </c>
      <c r="J346" t="s">
        <v>1</v>
      </c>
    </row>
    <row r="347" spans="3:10" x14ac:dyDescent="0.25">
      <c r="C347">
        <v>344</v>
      </c>
      <c r="D347">
        <v>209520692</v>
      </c>
      <c r="E347" t="s">
        <v>1338</v>
      </c>
      <c r="F347" t="s">
        <v>2760</v>
      </c>
      <c r="G347" t="s">
        <v>2243</v>
      </c>
      <c r="H347">
        <v>8</v>
      </c>
      <c r="I347">
        <v>4</v>
      </c>
      <c r="J347" t="s">
        <v>0</v>
      </c>
    </row>
    <row r="348" spans="3:10" x14ac:dyDescent="0.25">
      <c r="C348">
        <v>345</v>
      </c>
      <c r="D348">
        <v>209440546</v>
      </c>
      <c r="E348" t="s">
        <v>1339</v>
      </c>
      <c r="F348" t="s">
        <v>2761</v>
      </c>
      <c r="G348" t="s">
        <v>2243</v>
      </c>
      <c r="H348">
        <v>8</v>
      </c>
      <c r="I348">
        <v>4</v>
      </c>
      <c r="J348" t="s">
        <v>0</v>
      </c>
    </row>
    <row r="349" spans="3:10" x14ac:dyDescent="0.25">
      <c r="C349">
        <v>346</v>
      </c>
      <c r="D349">
        <v>209460851</v>
      </c>
      <c r="E349" t="s">
        <v>1340</v>
      </c>
      <c r="F349" t="s">
        <v>2762</v>
      </c>
      <c r="G349" t="s">
        <v>2243</v>
      </c>
      <c r="H349">
        <v>8</v>
      </c>
      <c r="I349">
        <v>4</v>
      </c>
      <c r="J349" t="s">
        <v>0</v>
      </c>
    </row>
    <row r="350" spans="3:10" x14ac:dyDescent="0.25">
      <c r="C350">
        <v>347</v>
      </c>
      <c r="D350">
        <v>504930622</v>
      </c>
      <c r="E350" t="s">
        <v>1341</v>
      </c>
      <c r="F350" t="s">
        <v>2763</v>
      </c>
      <c r="G350" t="s">
        <v>2243</v>
      </c>
      <c r="H350">
        <v>8</v>
      </c>
      <c r="I350">
        <v>4</v>
      </c>
      <c r="J350" t="s">
        <v>0</v>
      </c>
    </row>
    <row r="351" spans="3:10" x14ac:dyDescent="0.25">
      <c r="C351">
        <v>348</v>
      </c>
      <c r="D351">
        <v>209440598</v>
      </c>
      <c r="E351" t="s">
        <v>1342</v>
      </c>
      <c r="F351" t="s">
        <v>2764</v>
      </c>
      <c r="G351" t="s">
        <v>2243</v>
      </c>
      <c r="H351">
        <v>8</v>
      </c>
      <c r="I351">
        <v>4</v>
      </c>
      <c r="J351" t="s">
        <v>0</v>
      </c>
    </row>
    <row r="352" spans="3:10" x14ac:dyDescent="0.25">
      <c r="C352">
        <v>349</v>
      </c>
      <c r="D352">
        <v>209430081</v>
      </c>
      <c r="E352" t="s">
        <v>1343</v>
      </c>
      <c r="F352" t="s">
        <v>2765</v>
      </c>
      <c r="G352" t="s">
        <v>2243</v>
      </c>
      <c r="H352">
        <v>8</v>
      </c>
      <c r="I352">
        <v>4</v>
      </c>
      <c r="J352" t="s">
        <v>0</v>
      </c>
    </row>
    <row r="353" spans="3:10" x14ac:dyDescent="0.25">
      <c r="C353">
        <v>350</v>
      </c>
      <c r="D353">
        <v>121060918</v>
      </c>
      <c r="E353" t="s">
        <v>1344</v>
      </c>
      <c r="F353" t="s">
        <v>2766</v>
      </c>
      <c r="G353" t="s">
        <v>2243</v>
      </c>
      <c r="H353">
        <v>8</v>
      </c>
      <c r="I353">
        <v>4</v>
      </c>
      <c r="J353" t="s">
        <v>0</v>
      </c>
    </row>
    <row r="354" spans="3:10" x14ac:dyDescent="0.25">
      <c r="C354">
        <v>351</v>
      </c>
      <c r="D354">
        <v>402820855</v>
      </c>
      <c r="E354" t="s">
        <v>1345</v>
      </c>
      <c r="F354" t="s">
        <v>2767</v>
      </c>
      <c r="G354" t="s">
        <v>2243</v>
      </c>
      <c r="H354">
        <v>8</v>
      </c>
      <c r="I354">
        <v>4</v>
      </c>
      <c r="J354" t="s">
        <v>0</v>
      </c>
    </row>
    <row r="355" spans="3:10" x14ac:dyDescent="0.25">
      <c r="C355">
        <v>352</v>
      </c>
      <c r="D355">
        <v>209480067</v>
      </c>
      <c r="E355" t="s">
        <v>1346</v>
      </c>
      <c r="F355" t="s">
        <v>2768</v>
      </c>
      <c r="G355" t="s">
        <v>2243</v>
      </c>
      <c r="H355">
        <v>8</v>
      </c>
      <c r="I355">
        <v>4</v>
      </c>
      <c r="J355" t="s">
        <v>0</v>
      </c>
    </row>
    <row r="356" spans="3:10" x14ac:dyDescent="0.25">
      <c r="C356">
        <v>353</v>
      </c>
      <c r="D356">
        <v>209430167</v>
      </c>
      <c r="E356" t="s">
        <v>1347</v>
      </c>
      <c r="F356" t="s">
        <v>2769</v>
      </c>
      <c r="G356" t="s">
        <v>2243</v>
      </c>
      <c r="H356">
        <v>8</v>
      </c>
      <c r="I356">
        <v>4</v>
      </c>
      <c r="J356" t="s">
        <v>0</v>
      </c>
    </row>
    <row r="357" spans="3:10" x14ac:dyDescent="0.25">
      <c r="C357">
        <v>354</v>
      </c>
      <c r="D357">
        <v>402940593</v>
      </c>
      <c r="E357" t="s">
        <v>1348</v>
      </c>
      <c r="F357" t="s">
        <v>2770</v>
      </c>
      <c r="G357" t="s">
        <v>2243</v>
      </c>
      <c r="H357">
        <v>8</v>
      </c>
      <c r="I357">
        <v>4</v>
      </c>
      <c r="J357" t="s">
        <v>0</v>
      </c>
    </row>
    <row r="358" spans="3:10" x14ac:dyDescent="0.25">
      <c r="C358">
        <v>355</v>
      </c>
      <c r="D358">
        <v>209270690</v>
      </c>
      <c r="E358" t="s">
        <v>1350</v>
      </c>
      <c r="F358" t="s">
        <v>2771</v>
      </c>
      <c r="G358" t="s">
        <v>2243</v>
      </c>
      <c r="H358">
        <v>8</v>
      </c>
      <c r="I358">
        <v>4</v>
      </c>
      <c r="J358" t="s">
        <v>0</v>
      </c>
    </row>
    <row r="359" spans="3:10" x14ac:dyDescent="0.25">
      <c r="C359">
        <v>356</v>
      </c>
      <c r="D359">
        <v>209500059</v>
      </c>
      <c r="E359" t="s">
        <v>1349</v>
      </c>
      <c r="F359" t="s">
        <v>2772</v>
      </c>
      <c r="G359" t="s">
        <v>2243</v>
      </c>
      <c r="H359">
        <v>8</v>
      </c>
      <c r="I359">
        <v>4</v>
      </c>
      <c r="J359" t="s">
        <v>0</v>
      </c>
    </row>
    <row r="360" spans="3:10" x14ac:dyDescent="0.25">
      <c r="C360">
        <v>357</v>
      </c>
      <c r="D360">
        <v>402950248</v>
      </c>
      <c r="E360" t="s">
        <v>1351</v>
      </c>
      <c r="F360" t="s">
        <v>2773</v>
      </c>
      <c r="G360" t="s">
        <v>2243</v>
      </c>
      <c r="H360">
        <v>8</v>
      </c>
      <c r="I360">
        <v>4</v>
      </c>
      <c r="J360" t="s">
        <v>0</v>
      </c>
    </row>
    <row r="361" spans="3:10" x14ac:dyDescent="0.25">
      <c r="C361">
        <v>358</v>
      </c>
      <c r="D361">
        <v>209400224</v>
      </c>
      <c r="E361" t="s">
        <v>1352</v>
      </c>
      <c r="F361" t="s">
        <v>2774</v>
      </c>
      <c r="G361" t="s">
        <v>2243</v>
      </c>
      <c r="H361">
        <v>8</v>
      </c>
      <c r="I361">
        <v>4</v>
      </c>
      <c r="J361" t="s">
        <v>0</v>
      </c>
    </row>
    <row r="362" spans="3:10" x14ac:dyDescent="0.25">
      <c r="C362">
        <v>359</v>
      </c>
      <c r="D362">
        <v>209330500</v>
      </c>
      <c r="E362" t="s">
        <v>1353</v>
      </c>
      <c r="F362" t="s">
        <v>2775</v>
      </c>
      <c r="G362" t="s">
        <v>2243</v>
      </c>
      <c r="H362">
        <v>8</v>
      </c>
      <c r="I362">
        <v>5</v>
      </c>
      <c r="J362" t="s">
        <v>1</v>
      </c>
    </row>
    <row r="363" spans="3:10" x14ac:dyDescent="0.25">
      <c r="C363">
        <v>360</v>
      </c>
      <c r="D363">
        <v>402900871</v>
      </c>
      <c r="E363" t="s">
        <v>1354</v>
      </c>
      <c r="F363" t="s">
        <v>2776</v>
      </c>
      <c r="G363" t="s">
        <v>2243</v>
      </c>
      <c r="H363">
        <v>8</v>
      </c>
      <c r="I363">
        <v>5</v>
      </c>
      <c r="J363" t="s">
        <v>1</v>
      </c>
    </row>
    <row r="364" spans="3:10" x14ac:dyDescent="0.25">
      <c r="C364">
        <v>361</v>
      </c>
      <c r="D364">
        <v>121090090</v>
      </c>
      <c r="E364" t="s">
        <v>1355</v>
      </c>
      <c r="F364" t="s">
        <v>2777</v>
      </c>
      <c r="G364" t="s">
        <v>2243</v>
      </c>
      <c r="H364">
        <v>8</v>
      </c>
      <c r="I364">
        <v>5</v>
      </c>
      <c r="J364" t="s">
        <v>1</v>
      </c>
    </row>
    <row r="365" spans="3:10" x14ac:dyDescent="0.25">
      <c r="C365">
        <v>362</v>
      </c>
      <c r="D365">
        <v>209450244</v>
      </c>
      <c r="E365" t="s">
        <v>1356</v>
      </c>
      <c r="F365" t="s">
        <v>2778</v>
      </c>
      <c r="G365" t="s">
        <v>2243</v>
      </c>
      <c r="H365">
        <v>8</v>
      </c>
      <c r="I365">
        <v>5</v>
      </c>
      <c r="J365" t="s">
        <v>1</v>
      </c>
    </row>
    <row r="366" spans="3:10" x14ac:dyDescent="0.25">
      <c r="C366">
        <v>363</v>
      </c>
      <c r="D366">
        <v>209410396</v>
      </c>
      <c r="E366" t="s">
        <v>1357</v>
      </c>
      <c r="F366" t="s">
        <v>2779</v>
      </c>
      <c r="G366" t="s">
        <v>2243</v>
      </c>
      <c r="H366">
        <v>8</v>
      </c>
      <c r="I366">
        <v>5</v>
      </c>
      <c r="J366" t="s">
        <v>1</v>
      </c>
    </row>
    <row r="367" spans="3:10" x14ac:dyDescent="0.25">
      <c r="C367">
        <v>364</v>
      </c>
      <c r="D367">
        <v>209270129</v>
      </c>
      <c r="E367" t="s">
        <v>1358</v>
      </c>
      <c r="F367" t="s">
        <v>2780</v>
      </c>
      <c r="G367" t="s">
        <v>2243</v>
      </c>
      <c r="H367">
        <v>8</v>
      </c>
      <c r="I367">
        <v>5</v>
      </c>
      <c r="J367" t="s">
        <v>1</v>
      </c>
    </row>
    <row r="368" spans="3:10" x14ac:dyDescent="0.25">
      <c r="C368">
        <v>365</v>
      </c>
      <c r="D368">
        <v>605240477</v>
      </c>
      <c r="E368" t="s">
        <v>1359</v>
      </c>
      <c r="F368" t="s">
        <v>2781</v>
      </c>
      <c r="G368" t="s">
        <v>2243</v>
      </c>
      <c r="H368">
        <v>8</v>
      </c>
      <c r="I368">
        <v>5</v>
      </c>
      <c r="J368" t="s">
        <v>1</v>
      </c>
    </row>
    <row r="369" spans="3:10" x14ac:dyDescent="0.25">
      <c r="C369">
        <v>366</v>
      </c>
      <c r="D369">
        <v>121280740</v>
      </c>
      <c r="E369" t="s">
        <v>1360</v>
      </c>
      <c r="F369" t="s">
        <v>2782</v>
      </c>
      <c r="G369" t="s">
        <v>2243</v>
      </c>
      <c r="H369">
        <v>8</v>
      </c>
      <c r="I369">
        <v>5</v>
      </c>
      <c r="J369" t="s">
        <v>1</v>
      </c>
    </row>
    <row r="370" spans="3:10" x14ac:dyDescent="0.25">
      <c r="C370">
        <v>367</v>
      </c>
      <c r="D370">
        <v>209410749</v>
      </c>
      <c r="E370" t="s">
        <v>1361</v>
      </c>
      <c r="F370" t="s">
        <v>2783</v>
      </c>
      <c r="G370" t="s">
        <v>2243</v>
      </c>
      <c r="H370">
        <v>8</v>
      </c>
      <c r="I370">
        <v>5</v>
      </c>
      <c r="J370" t="s">
        <v>1</v>
      </c>
    </row>
    <row r="371" spans="3:10" x14ac:dyDescent="0.25">
      <c r="C371">
        <v>368</v>
      </c>
      <c r="D371">
        <v>209490762</v>
      </c>
      <c r="E371" t="s">
        <v>1362</v>
      </c>
      <c r="F371" t="s">
        <v>2784</v>
      </c>
      <c r="G371" t="s">
        <v>2243</v>
      </c>
      <c r="H371">
        <v>8</v>
      </c>
      <c r="I371">
        <v>5</v>
      </c>
      <c r="J371" t="s">
        <v>1</v>
      </c>
    </row>
    <row r="372" spans="3:10" x14ac:dyDescent="0.25">
      <c r="C372">
        <v>369</v>
      </c>
      <c r="D372">
        <v>209450410</v>
      </c>
      <c r="E372" t="s">
        <v>1363</v>
      </c>
      <c r="F372" t="s">
        <v>2785</v>
      </c>
      <c r="G372" t="s">
        <v>2243</v>
      </c>
      <c r="H372">
        <v>8</v>
      </c>
      <c r="I372">
        <v>5</v>
      </c>
      <c r="J372" t="s">
        <v>1</v>
      </c>
    </row>
    <row r="373" spans="3:10" x14ac:dyDescent="0.25">
      <c r="C373">
        <v>370</v>
      </c>
      <c r="D373">
        <v>209400911</v>
      </c>
      <c r="E373" t="s">
        <v>1364</v>
      </c>
      <c r="F373" t="s">
        <v>2786</v>
      </c>
      <c r="G373" t="s">
        <v>2243</v>
      </c>
      <c r="H373">
        <v>8</v>
      </c>
      <c r="I373">
        <v>5</v>
      </c>
      <c r="J373" t="s">
        <v>1</v>
      </c>
    </row>
    <row r="374" spans="3:10" x14ac:dyDescent="0.25">
      <c r="C374">
        <v>371</v>
      </c>
      <c r="D374">
        <v>209460197</v>
      </c>
      <c r="E374" t="s">
        <v>1366</v>
      </c>
      <c r="F374" t="s">
        <v>2787</v>
      </c>
      <c r="G374" t="s">
        <v>2243</v>
      </c>
      <c r="H374">
        <v>8</v>
      </c>
      <c r="I374">
        <v>5</v>
      </c>
      <c r="J374" t="s">
        <v>1</v>
      </c>
    </row>
    <row r="375" spans="3:10" x14ac:dyDescent="0.25">
      <c r="C375">
        <v>372</v>
      </c>
      <c r="D375">
        <v>209410916</v>
      </c>
      <c r="E375" t="s">
        <v>1368</v>
      </c>
      <c r="F375" t="s">
        <v>2788</v>
      </c>
      <c r="G375" t="s">
        <v>2243</v>
      </c>
      <c r="H375">
        <v>8</v>
      </c>
      <c r="I375">
        <v>5</v>
      </c>
      <c r="J375" t="s">
        <v>0</v>
      </c>
    </row>
    <row r="376" spans="3:10" x14ac:dyDescent="0.25">
      <c r="C376">
        <v>373</v>
      </c>
      <c r="D376">
        <v>402900612</v>
      </c>
      <c r="E376" t="s">
        <v>1369</v>
      </c>
      <c r="F376" t="s">
        <v>2789</v>
      </c>
      <c r="G376" t="s">
        <v>2243</v>
      </c>
      <c r="H376">
        <v>8</v>
      </c>
      <c r="I376">
        <v>5</v>
      </c>
      <c r="J376" t="s">
        <v>0</v>
      </c>
    </row>
    <row r="377" spans="3:10" x14ac:dyDescent="0.25">
      <c r="C377">
        <v>374</v>
      </c>
      <c r="D377">
        <v>209440744</v>
      </c>
      <c r="E377" t="s">
        <v>1370</v>
      </c>
      <c r="F377" t="s">
        <v>2790</v>
      </c>
      <c r="G377" t="s">
        <v>2243</v>
      </c>
      <c r="H377">
        <v>8</v>
      </c>
      <c r="I377">
        <v>5</v>
      </c>
      <c r="J377" t="s">
        <v>0</v>
      </c>
    </row>
    <row r="378" spans="3:10" x14ac:dyDescent="0.25">
      <c r="C378">
        <v>375</v>
      </c>
      <c r="D378">
        <v>402930980</v>
      </c>
      <c r="E378" t="s">
        <v>1371</v>
      </c>
      <c r="F378" t="s">
        <v>2791</v>
      </c>
      <c r="G378" t="s">
        <v>2243</v>
      </c>
      <c r="H378">
        <v>8</v>
      </c>
      <c r="I378">
        <v>5</v>
      </c>
      <c r="J378" t="s">
        <v>0</v>
      </c>
    </row>
    <row r="379" spans="3:10" x14ac:dyDescent="0.25">
      <c r="C379">
        <v>376</v>
      </c>
      <c r="D379">
        <v>209440563</v>
      </c>
      <c r="E379" t="s">
        <v>1372</v>
      </c>
      <c r="F379" t="s">
        <v>2792</v>
      </c>
      <c r="G379" t="s">
        <v>2243</v>
      </c>
      <c r="H379">
        <v>8</v>
      </c>
      <c r="I379">
        <v>5</v>
      </c>
      <c r="J379" t="s">
        <v>0</v>
      </c>
    </row>
    <row r="380" spans="3:10" x14ac:dyDescent="0.25">
      <c r="C380">
        <v>377</v>
      </c>
      <c r="D380">
        <v>402910635</v>
      </c>
      <c r="E380" t="s">
        <v>1373</v>
      </c>
      <c r="F380" t="s">
        <v>2793</v>
      </c>
      <c r="G380" t="s">
        <v>2243</v>
      </c>
      <c r="H380">
        <v>8</v>
      </c>
      <c r="I380">
        <v>5</v>
      </c>
      <c r="J380" t="s">
        <v>0</v>
      </c>
    </row>
    <row r="381" spans="3:10" x14ac:dyDescent="0.25">
      <c r="C381">
        <v>378</v>
      </c>
      <c r="D381">
        <v>209420530</v>
      </c>
      <c r="E381" t="s">
        <v>1374</v>
      </c>
      <c r="F381" t="s">
        <v>2794</v>
      </c>
      <c r="G381" t="s">
        <v>2243</v>
      </c>
      <c r="H381">
        <v>8</v>
      </c>
      <c r="I381">
        <v>5</v>
      </c>
      <c r="J381" t="s">
        <v>0</v>
      </c>
    </row>
    <row r="382" spans="3:10" x14ac:dyDescent="0.25">
      <c r="C382">
        <v>379</v>
      </c>
      <c r="D382">
        <v>402940898</v>
      </c>
      <c r="E382" t="s">
        <v>1375</v>
      </c>
      <c r="F382" t="s">
        <v>2795</v>
      </c>
      <c r="G382" t="s">
        <v>2243</v>
      </c>
      <c r="H382">
        <v>8</v>
      </c>
      <c r="I382">
        <v>5</v>
      </c>
      <c r="J382" t="s">
        <v>0</v>
      </c>
    </row>
    <row r="383" spans="3:10" x14ac:dyDescent="0.25">
      <c r="C383">
        <v>380</v>
      </c>
      <c r="D383">
        <v>402910431</v>
      </c>
      <c r="E383" t="s">
        <v>1376</v>
      </c>
      <c r="F383" t="s">
        <v>2796</v>
      </c>
      <c r="G383" t="s">
        <v>2243</v>
      </c>
      <c r="H383">
        <v>8</v>
      </c>
      <c r="I383">
        <v>5</v>
      </c>
      <c r="J383" t="s">
        <v>0</v>
      </c>
    </row>
    <row r="384" spans="3:10" x14ac:dyDescent="0.25">
      <c r="C384">
        <v>381</v>
      </c>
      <c r="D384">
        <v>209480456</v>
      </c>
      <c r="E384" t="s">
        <v>1377</v>
      </c>
      <c r="F384" t="s">
        <v>2797</v>
      </c>
      <c r="G384" t="s">
        <v>2243</v>
      </c>
      <c r="H384">
        <v>8</v>
      </c>
      <c r="I384">
        <v>5</v>
      </c>
      <c r="J384" t="s">
        <v>0</v>
      </c>
    </row>
    <row r="385" spans="3:10" x14ac:dyDescent="0.25">
      <c r="C385">
        <v>382</v>
      </c>
      <c r="D385">
        <v>209360973</v>
      </c>
      <c r="E385" t="s">
        <v>1378</v>
      </c>
      <c r="F385" t="s">
        <v>2798</v>
      </c>
      <c r="G385" t="s">
        <v>2243</v>
      </c>
      <c r="H385">
        <v>8</v>
      </c>
      <c r="I385">
        <v>5</v>
      </c>
      <c r="J385" t="s">
        <v>0</v>
      </c>
    </row>
    <row r="386" spans="3:10" x14ac:dyDescent="0.25">
      <c r="C386">
        <v>383</v>
      </c>
      <c r="D386">
        <v>209350860</v>
      </c>
      <c r="E386" t="s">
        <v>1379</v>
      </c>
      <c r="F386" t="s">
        <v>2799</v>
      </c>
      <c r="G386" t="s">
        <v>2243</v>
      </c>
      <c r="H386">
        <v>8</v>
      </c>
      <c r="I386">
        <v>5</v>
      </c>
      <c r="J386" t="s">
        <v>0</v>
      </c>
    </row>
    <row r="387" spans="3:10" x14ac:dyDescent="0.25">
      <c r="C387">
        <v>384</v>
      </c>
      <c r="D387">
        <v>209380567</v>
      </c>
      <c r="E387" t="s">
        <v>1380</v>
      </c>
      <c r="F387" t="s">
        <v>2800</v>
      </c>
      <c r="G387" t="s">
        <v>2243</v>
      </c>
      <c r="H387">
        <v>8</v>
      </c>
      <c r="I387">
        <v>5</v>
      </c>
      <c r="J387" t="s">
        <v>0</v>
      </c>
    </row>
    <row r="388" spans="3:10" x14ac:dyDescent="0.25">
      <c r="C388">
        <v>385</v>
      </c>
      <c r="D388">
        <v>402900971</v>
      </c>
      <c r="E388" t="s">
        <v>1381</v>
      </c>
      <c r="F388" t="s">
        <v>2801</v>
      </c>
      <c r="G388" t="s">
        <v>2243</v>
      </c>
      <c r="H388">
        <v>8</v>
      </c>
      <c r="I388">
        <v>5</v>
      </c>
      <c r="J388" t="s">
        <v>0</v>
      </c>
    </row>
    <row r="389" spans="3:10" x14ac:dyDescent="0.25">
      <c r="C389">
        <v>386</v>
      </c>
      <c r="D389">
        <v>402950685</v>
      </c>
      <c r="E389" t="s">
        <v>1382</v>
      </c>
      <c r="F389" t="s">
        <v>2802</v>
      </c>
      <c r="G389" t="s">
        <v>2243</v>
      </c>
      <c r="H389">
        <v>8</v>
      </c>
      <c r="I389">
        <v>5</v>
      </c>
      <c r="J389" t="s">
        <v>0</v>
      </c>
    </row>
    <row r="390" spans="3:10" x14ac:dyDescent="0.25">
      <c r="C390">
        <v>387</v>
      </c>
      <c r="D390">
        <v>209470533</v>
      </c>
      <c r="E390" t="s">
        <v>1383</v>
      </c>
      <c r="F390" t="s">
        <v>2803</v>
      </c>
      <c r="G390" t="s">
        <v>2243</v>
      </c>
      <c r="H390">
        <v>8</v>
      </c>
      <c r="I390">
        <v>5</v>
      </c>
      <c r="J390" t="s">
        <v>0</v>
      </c>
    </row>
    <row r="391" spans="3:10" x14ac:dyDescent="0.25">
      <c r="C391">
        <v>388</v>
      </c>
      <c r="D391">
        <v>209200632</v>
      </c>
      <c r="E391" t="s">
        <v>1384</v>
      </c>
      <c r="F391" t="s">
        <v>2804</v>
      </c>
      <c r="G391" t="s">
        <v>2243</v>
      </c>
      <c r="H391">
        <v>8</v>
      </c>
      <c r="I391">
        <v>6</v>
      </c>
      <c r="J391" t="s">
        <v>1</v>
      </c>
    </row>
    <row r="392" spans="3:10" x14ac:dyDescent="0.25">
      <c r="C392">
        <v>389</v>
      </c>
      <c r="D392">
        <v>402930103</v>
      </c>
      <c r="E392" t="s">
        <v>1385</v>
      </c>
      <c r="F392" t="s">
        <v>2805</v>
      </c>
      <c r="G392" t="s">
        <v>2243</v>
      </c>
      <c r="H392">
        <v>8</v>
      </c>
      <c r="I392">
        <v>6</v>
      </c>
      <c r="J392" t="s">
        <v>1</v>
      </c>
    </row>
    <row r="393" spans="3:10" x14ac:dyDescent="0.25">
      <c r="C393">
        <v>390</v>
      </c>
      <c r="D393">
        <v>209430466</v>
      </c>
      <c r="E393" t="s">
        <v>1386</v>
      </c>
      <c r="F393" t="s">
        <v>2806</v>
      </c>
      <c r="G393" t="s">
        <v>2243</v>
      </c>
      <c r="H393">
        <v>8</v>
      </c>
      <c r="I393">
        <v>6</v>
      </c>
      <c r="J393" t="s">
        <v>1</v>
      </c>
    </row>
    <row r="394" spans="3:10" x14ac:dyDescent="0.25">
      <c r="C394">
        <v>391</v>
      </c>
      <c r="D394">
        <v>402910474</v>
      </c>
      <c r="E394" t="s">
        <v>1387</v>
      </c>
      <c r="F394" t="s">
        <v>2807</v>
      </c>
      <c r="G394" t="s">
        <v>2243</v>
      </c>
      <c r="H394">
        <v>8</v>
      </c>
      <c r="I394">
        <v>6</v>
      </c>
      <c r="J394" t="s">
        <v>1</v>
      </c>
    </row>
    <row r="395" spans="3:10" x14ac:dyDescent="0.25">
      <c r="C395">
        <v>392</v>
      </c>
      <c r="D395">
        <v>209430666</v>
      </c>
      <c r="E395" t="s">
        <v>1388</v>
      </c>
      <c r="F395" t="s">
        <v>2808</v>
      </c>
      <c r="G395" t="s">
        <v>2243</v>
      </c>
      <c r="H395">
        <v>8</v>
      </c>
      <c r="I395">
        <v>6</v>
      </c>
      <c r="J395" t="s">
        <v>1</v>
      </c>
    </row>
    <row r="396" spans="3:10" x14ac:dyDescent="0.25">
      <c r="C396">
        <v>393</v>
      </c>
      <c r="D396" t="s">
        <v>2223</v>
      </c>
      <c r="E396" t="s">
        <v>1557</v>
      </c>
      <c r="F396" t="s">
        <v>2809</v>
      </c>
      <c r="G396" t="s">
        <v>2243</v>
      </c>
      <c r="H396">
        <v>8</v>
      </c>
      <c r="I396">
        <v>6</v>
      </c>
      <c r="J396" t="s">
        <v>1</v>
      </c>
    </row>
    <row r="397" spans="3:10" x14ac:dyDescent="0.25">
      <c r="C397">
        <v>394</v>
      </c>
      <c r="D397">
        <v>209400863</v>
      </c>
      <c r="E397" t="s">
        <v>1391</v>
      </c>
      <c r="F397" t="s">
        <v>2810</v>
      </c>
      <c r="G397" t="s">
        <v>2243</v>
      </c>
      <c r="H397">
        <v>8</v>
      </c>
      <c r="I397">
        <v>6</v>
      </c>
      <c r="J397" t="s">
        <v>1</v>
      </c>
    </row>
    <row r="398" spans="3:10" x14ac:dyDescent="0.25">
      <c r="C398">
        <v>395</v>
      </c>
      <c r="D398">
        <v>209480392</v>
      </c>
      <c r="E398" t="s">
        <v>1392</v>
      </c>
      <c r="F398" t="s">
        <v>2811</v>
      </c>
      <c r="G398" t="s">
        <v>2243</v>
      </c>
      <c r="H398">
        <v>8</v>
      </c>
      <c r="I398">
        <v>6</v>
      </c>
      <c r="J398" t="s">
        <v>1</v>
      </c>
    </row>
    <row r="399" spans="3:10" x14ac:dyDescent="0.25">
      <c r="C399">
        <v>396</v>
      </c>
      <c r="D399">
        <v>209360637</v>
      </c>
      <c r="E399" t="s">
        <v>1393</v>
      </c>
      <c r="F399" t="s">
        <v>2812</v>
      </c>
      <c r="G399" t="s">
        <v>2243</v>
      </c>
      <c r="H399">
        <v>8</v>
      </c>
      <c r="I399">
        <v>6</v>
      </c>
      <c r="J399" t="s">
        <v>1</v>
      </c>
    </row>
    <row r="400" spans="3:10" x14ac:dyDescent="0.25">
      <c r="C400">
        <v>397</v>
      </c>
      <c r="D400">
        <v>209460235</v>
      </c>
      <c r="E400" t="s">
        <v>1394</v>
      </c>
      <c r="F400" t="s">
        <v>2813</v>
      </c>
      <c r="G400" t="s">
        <v>2243</v>
      </c>
      <c r="H400">
        <v>8</v>
      </c>
      <c r="I400">
        <v>6</v>
      </c>
      <c r="J400" t="s">
        <v>1</v>
      </c>
    </row>
    <row r="401" spans="3:10" x14ac:dyDescent="0.25">
      <c r="C401">
        <v>398</v>
      </c>
      <c r="D401">
        <v>209510880</v>
      </c>
      <c r="E401" t="s">
        <v>1395</v>
      </c>
      <c r="F401" t="s">
        <v>2814</v>
      </c>
      <c r="G401" t="s">
        <v>2243</v>
      </c>
      <c r="H401">
        <v>8</v>
      </c>
      <c r="I401">
        <v>6</v>
      </c>
      <c r="J401" t="s">
        <v>1</v>
      </c>
    </row>
    <row r="402" spans="3:10" x14ac:dyDescent="0.25">
      <c r="C402">
        <v>399</v>
      </c>
      <c r="D402">
        <v>402900353</v>
      </c>
      <c r="E402" t="s">
        <v>1396</v>
      </c>
      <c r="F402" t="s">
        <v>2815</v>
      </c>
      <c r="G402" t="s">
        <v>2243</v>
      </c>
      <c r="H402">
        <v>8</v>
      </c>
      <c r="I402">
        <v>6</v>
      </c>
      <c r="J402" t="s">
        <v>1</v>
      </c>
    </row>
    <row r="403" spans="3:10" x14ac:dyDescent="0.25">
      <c r="C403">
        <v>400</v>
      </c>
      <c r="D403">
        <v>209380704</v>
      </c>
      <c r="E403" t="s">
        <v>1262</v>
      </c>
      <c r="F403" t="s">
        <v>2816</v>
      </c>
      <c r="G403" t="s">
        <v>2243</v>
      </c>
      <c r="H403">
        <v>8</v>
      </c>
      <c r="I403">
        <v>6</v>
      </c>
      <c r="J403" t="s">
        <v>1</v>
      </c>
    </row>
    <row r="404" spans="3:10" x14ac:dyDescent="0.25">
      <c r="C404">
        <v>401</v>
      </c>
      <c r="D404">
        <v>121020643</v>
      </c>
      <c r="E404" t="s">
        <v>1397</v>
      </c>
      <c r="F404" t="s">
        <v>2817</v>
      </c>
      <c r="G404" t="s">
        <v>2243</v>
      </c>
      <c r="H404">
        <v>8</v>
      </c>
      <c r="I404">
        <v>6</v>
      </c>
      <c r="J404" t="s">
        <v>1</v>
      </c>
    </row>
    <row r="405" spans="3:10" x14ac:dyDescent="0.25">
      <c r="C405">
        <v>402</v>
      </c>
      <c r="D405">
        <v>402930940</v>
      </c>
      <c r="E405" t="s">
        <v>1398</v>
      </c>
      <c r="F405" t="s">
        <v>2818</v>
      </c>
      <c r="G405" t="s">
        <v>2243</v>
      </c>
      <c r="H405">
        <v>8</v>
      </c>
      <c r="I405">
        <v>6</v>
      </c>
      <c r="J405" t="s">
        <v>1</v>
      </c>
    </row>
    <row r="406" spans="3:10" x14ac:dyDescent="0.25">
      <c r="C406">
        <v>403</v>
      </c>
      <c r="D406">
        <v>209430963</v>
      </c>
      <c r="E406" t="s">
        <v>1399</v>
      </c>
      <c r="F406" t="s">
        <v>2819</v>
      </c>
      <c r="G406" t="s">
        <v>2243</v>
      </c>
      <c r="H406">
        <v>8</v>
      </c>
      <c r="I406">
        <v>6</v>
      </c>
      <c r="J406" t="s">
        <v>0</v>
      </c>
    </row>
    <row r="407" spans="3:10" x14ac:dyDescent="0.25">
      <c r="C407">
        <v>404</v>
      </c>
      <c r="D407">
        <v>402880224</v>
      </c>
      <c r="E407" t="s">
        <v>1400</v>
      </c>
      <c r="F407" t="s">
        <v>2820</v>
      </c>
      <c r="G407" t="s">
        <v>2243</v>
      </c>
      <c r="H407">
        <v>8</v>
      </c>
      <c r="I407">
        <v>6</v>
      </c>
      <c r="J407" t="s">
        <v>0</v>
      </c>
    </row>
    <row r="408" spans="3:10" x14ac:dyDescent="0.25">
      <c r="C408">
        <v>405</v>
      </c>
      <c r="D408">
        <v>209450494</v>
      </c>
      <c r="E408" t="s">
        <v>1401</v>
      </c>
      <c r="F408" t="s">
        <v>2821</v>
      </c>
      <c r="G408" t="s">
        <v>2243</v>
      </c>
      <c r="H408">
        <v>8</v>
      </c>
      <c r="I408">
        <v>6</v>
      </c>
      <c r="J408" t="s">
        <v>0</v>
      </c>
    </row>
    <row r="409" spans="3:10" x14ac:dyDescent="0.25">
      <c r="C409">
        <v>406</v>
      </c>
      <c r="D409">
        <v>209370204</v>
      </c>
      <c r="E409" t="s">
        <v>1402</v>
      </c>
      <c r="F409" t="s">
        <v>2822</v>
      </c>
      <c r="G409" t="s">
        <v>2243</v>
      </c>
      <c r="H409">
        <v>8</v>
      </c>
      <c r="I409">
        <v>6</v>
      </c>
      <c r="J409" t="s">
        <v>0</v>
      </c>
    </row>
    <row r="410" spans="3:10" x14ac:dyDescent="0.25">
      <c r="C410">
        <v>407</v>
      </c>
      <c r="D410">
        <v>209330881</v>
      </c>
      <c r="E410" t="s">
        <v>1558</v>
      </c>
      <c r="F410" t="s">
        <v>2823</v>
      </c>
      <c r="G410" t="s">
        <v>2243</v>
      </c>
      <c r="H410">
        <v>8</v>
      </c>
      <c r="I410">
        <v>6</v>
      </c>
      <c r="J410" t="s">
        <v>0</v>
      </c>
    </row>
    <row r="411" spans="3:10" x14ac:dyDescent="0.25">
      <c r="C411">
        <v>408</v>
      </c>
      <c r="D411" t="s">
        <v>350</v>
      </c>
      <c r="E411" t="s">
        <v>350</v>
      </c>
      <c r="F411" t="s">
        <v>2824</v>
      </c>
      <c r="G411" t="s">
        <v>2243</v>
      </c>
      <c r="H411">
        <v>8</v>
      </c>
      <c r="I411">
        <v>6</v>
      </c>
      <c r="J411" t="s">
        <v>0</v>
      </c>
    </row>
    <row r="412" spans="3:10" x14ac:dyDescent="0.25">
      <c r="C412">
        <v>409</v>
      </c>
      <c r="D412">
        <v>121160986</v>
      </c>
      <c r="E412" t="s">
        <v>1404</v>
      </c>
      <c r="F412" t="s">
        <v>2825</v>
      </c>
      <c r="G412" t="s">
        <v>2243</v>
      </c>
      <c r="H412">
        <v>8</v>
      </c>
      <c r="I412">
        <v>6</v>
      </c>
      <c r="J412" t="s">
        <v>0</v>
      </c>
    </row>
    <row r="413" spans="3:10" x14ac:dyDescent="0.25">
      <c r="C413">
        <v>410</v>
      </c>
      <c r="D413">
        <v>120860736</v>
      </c>
      <c r="E413" t="s">
        <v>1423</v>
      </c>
      <c r="F413" t="s">
        <v>2826</v>
      </c>
      <c r="G413" t="s">
        <v>2243</v>
      </c>
      <c r="H413">
        <v>8</v>
      </c>
      <c r="I413">
        <v>6</v>
      </c>
      <c r="J413" t="s">
        <v>0</v>
      </c>
    </row>
    <row r="414" spans="3:10" x14ac:dyDescent="0.25">
      <c r="C414">
        <v>411</v>
      </c>
      <c r="D414">
        <v>402930457</v>
      </c>
      <c r="E414" t="s">
        <v>1405</v>
      </c>
      <c r="F414" t="s">
        <v>2827</v>
      </c>
      <c r="G414" t="s">
        <v>2243</v>
      </c>
      <c r="H414">
        <v>8</v>
      </c>
      <c r="I414">
        <v>6</v>
      </c>
      <c r="J414" t="s">
        <v>0</v>
      </c>
    </row>
    <row r="415" spans="3:10" x14ac:dyDescent="0.25">
      <c r="C415">
        <v>412</v>
      </c>
      <c r="D415">
        <v>402930049</v>
      </c>
      <c r="E415" t="s">
        <v>1406</v>
      </c>
      <c r="F415" t="s">
        <v>2828</v>
      </c>
      <c r="G415" t="s">
        <v>2243</v>
      </c>
      <c r="H415">
        <v>8</v>
      </c>
      <c r="I415">
        <v>6</v>
      </c>
      <c r="J415" t="s">
        <v>0</v>
      </c>
    </row>
    <row r="416" spans="3:10" x14ac:dyDescent="0.25">
      <c r="C416">
        <v>413</v>
      </c>
      <c r="D416">
        <v>209500498</v>
      </c>
      <c r="E416" t="s">
        <v>1407</v>
      </c>
      <c r="F416" t="s">
        <v>2829</v>
      </c>
      <c r="G416" t="s">
        <v>2243</v>
      </c>
      <c r="H416">
        <v>8</v>
      </c>
      <c r="I416">
        <v>6</v>
      </c>
      <c r="J416" t="s">
        <v>0</v>
      </c>
    </row>
    <row r="417" spans="3:10" x14ac:dyDescent="0.25">
      <c r="C417">
        <v>414</v>
      </c>
      <c r="D417">
        <v>209220594</v>
      </c>
      <c r="E417" t="s">
        <v>1408</v>
      </c>
      <c r="F417" t="s">
        <v>2830</v>
      </c>
      <c r="G417" t="s">
        <v>2243</v>
      </c>
      <c r="H417">
        <v>8</v>
      </c>
      <c r="I417">
        <v>6</v>
      </c>
      <c r="J417" t="s">
        <v>0</v>
      </c>
    </row>
    <row r="418" spans="3:10" x14ac:dyDescent="0.25">
      <c r="C418">
        <v>415</v>
      </c>
      <c r="D418">
        <v>121100762</v>
      </c>
      <c r="E418" t="s">
        <v>1409</v>
      </c>
      <c r="F418" t="s">
        <v>2831</v>
      </c>
      <c r="G418" t="s">
        <v>2243</v>
      </c>
      <c r="H418">
        <v>8</v>
      </c>
      <c r="I418">
        <v>6</v>
      </c>
      <c r="J418" t="s">
        <v>0</v>
      </c>
    </row>
    <row r="419" spans="3:10" x14ac:dyDescent="0.25">
      <c r="C419">
        <v>416</v>
      </c>
      <c r="D419">
        <v>209460953</v>
      </c>
      <c r="E419" t="s">
        <v>1410</v>
      </c>
      <c r="F419" t="s">
        <v>2832</v>
      </c>
      <c r="G419" t="s">
        <v>2243</v>
      </c>
      <c r="H419">
        <v>8</v>
      </c>
      <c r="I419">
        <v>6</v>
      </c>
      <c r="J419" t="s">
        <v>0</v>
      </c>
    </row>
    <row r="420" spans="3:10" x14ac:dyDescent="0.25">
      <c r="C420">
        <v>417</v>
      </c>
      <c r="D420">
        <v>402920905</v>
      </c>
      <c r="E420" t="s">
        <v>1411</v>
      </c>
      <c r="F420" t="s">
        <v>2833</v>
      </c>
      <c r="G420" t="s">
        <v>2243</v>
      </c>
      <c r="H420">
        <v>8</v>
      </c>
      <c r="I420">
        <v>6</v>
      </c>
      <c r="J420" t="s">
        <v>0</v>
      </c>
    </row>
    <row r="421" spans="3:10" x14ac:dyDescent="0.25">
      <c r="C421">
        <v>418</v>
      </c>
      <c r="D421">
        <v>402920906</v>
      </c>
      <c r="E421" t="s">
        <v>1412</v>
      </c>
      <c r="F421" t="s">
        <v>2834</v>
      </c>
      <c r="G421" t="s">
        <v>2243</v>
      </c>
      <c r="H421">
        <v>8</v>
      </c>
      <c r="I421">
        <v>6</v>
      </c>
      <c r="J421" t="s">
        <v>0</v>
      </c>
    </row>
    <row r="422" spans="3:10" x14ac:dyDescent="0.25">
      <c r="C422">
        <v>419</v>
      </c>
      <c r="D422">
        <v>209450895</v>
      </c>
      <c r="E422" t="s">
        <v>1413</v>
      </c>
      <c r="F422" t="s">
        <v>2835</v>
      </c>
      <c r="G422" t="s">
        <v>2243</v>
      </c>
      <c r="H422">
        <v>8</v>
      </c>
      <c r="I422">
        <v>7</v>
      </c>
      <c r="J422" t="s">
        <v>1</v>
      </c>
    </row>
    <row r="423" spans="3:10" x14ac:dyDescent="0.25">
      <c r="C423">
        <v>420</v>
      </c>
      <c r="D423">
        <v>209460087</v>
      </c>
      <c r="E423" t="s">
        <v>1415</v>
      </c>
      <c r="F423" t="s">
        <v>2836</v>
      </c>
      <c r="G423" t="s">
        <v>2243</v>
      </c>
      <c r="H423">
        <v>8</v>
      </c>
      <c r="I423">
        <v>7</v>
      </c>
      <c r="J423" t="s">
        <v>1</v>
      </c>
    </row>
    <row r="424" spans="3:10" x14ac:dyDescent="0.25">
      <c r="C424">
        <v>421</v>
      </c>
      <c r="D424">
        <v>209440976</v>
      </c>
      <c r="E424" t="s">
        <v>1416</v>
      </c>
      <c r="F424" t="s">
        <v>2837</v>
      </c>
      <c r="G424" t="s">
        <v>2243</v>
      </c>
      <c r="H424">
        <v>8</v>
      </c>
      <c r="I424">
        <v>7</v>
      </c>
      <c r="J424" t="s">
        <v>1</v>
      </c>
    </row>
    <row r="425" spans="3:10" x14ac:dyDescent="0.25">
      <c r="C425">
        <v>422</v>
      </c>
      <c r="D425">
        <v>402940477</v>
      </c>
      <c r="E425" t="s">
        <v>1417</v>
      </c>
      <c r="F425" t="s">
        <v>2838</v>
      </c>
      <c r="G425" t="s">
        <v>2243</v>
      </c>
      <c r="H425">
        <v>8</v>
      </c>
      <c r="I425">
        <v>7</v>
      </c>
      <c r="J425" t="s">
        <v>1</v>
      </c>
    </row>
    <row r="426" spans="3:10" x14ac:dyDescent="0.25">
      <c r="C426">
        <v>423</v>
      </c>
      <c r="D426" t="s">
        <v>2224</v>
      </c>
      <c r="E426" t="s">
        <v>2839</v>
      </c>
      <c r="F426" t="s">
        <v>2840</v>
      </c>
      <c r="G426" t="s">
        <v>2243</v>
      </c>
      <c r="H426">
        <v>8</v>
      </c>
      <c r="I426">
        <v>7</v>
      </c>
      <c r="J426" t="s">
        <v>1</v>
      </c>
    </row>
    <row r="427" spans="3:10" x14ac:dyDescent="0.25">
      <c r="C427">
        <v>424</v>
      </c>
      <c r="D427">
        <v>209390317</v>
      </c>
      <c r="E427" t="s">
        <v>1418</v>
      </c>
      <c r="F427" t="s">
        <v>2841</v>
      </c>
      <c r="G427" t="s">
        <v>2243</v>
      </c>
      <c r="H427">
        <v>8</v>
      </c>
      <c r="I427">
        <v>7</v>
      </c>
      <c r="J427" t="s">
        <v>1</v>
      </c>
    </row>
    <row r="428" spans="3:10" x14ac:dyDescent="0.25">
      <c r="C428">
        <v>425</v>
      </c>
      <c r="D428">
        <v>209430451</v>
      </c>
      <c r="E428" t="s">
        <v>1419</v>
      </c>
      <c r="F428" t="s">
        <v>2842</v>
      </c>
      <c r="G428" t="s">
        <v>2243</v>
      </c>
      <c r="H428">
        <v>8</v>
      </c>
      <c r="I428">
        <v>7</v>
      </c>
      <c r="J428" t="s">
        <v>1</v>
      </c>
    </row>
    <row r="429" spans="3:10" x14ac:dyDescent="0.25">
      <c r="C429">
        <v>426</v>
      </c>
      <c r="D429">
        <v>209400865</v>
      </c>
      <c r="E429" t="s">
        <v>1420</v>
      </c>
      <c r="F429" t="s">
        <v>2843</v>
      </c>
      <c r="G429" t="s">
        <v>2243</v>
      </c>
      <c r="H429">
        <v>8</v>
      </c>
      <c r="I429">
        <v>7</v>
      </c>
      <c r="J429" t="s">
        <v>1</v>
      </c>
    </row>
    <row r="430" spans="3:10" x14ac:dyDescent="0.25">
      <c r="C430">
        <v>427</v>
      </c>
      <c r="D430">
        <v>402900031</v>
      </c>
      <c r="E430" t="s">
        <v>1421</v>
      </c>
      <c r="F430" t="s">
        <v>2844</v>
      </c>
      <c r="G430" t="s">
        <v>2243</v>
      </c>
      <c r="H430">
        <v>8</v>
      </c>
      <c r="I430">
        <v>7</v>
      </c>
      <c r="J430" t="s">
        <v>1</v>
      </c>
    </row>
    <row r="431" spans="3:10" x14ac:dyDescent="0.25">
      <c r="C431">
        <v>428</v>
      </c>
      <c r="D431">
        <v>504940534</v>
      </c>
      <c r="E431" t="s">
        <v>1422</v>
      </c>
      <c r="F431" t="s">
        <v>2845</v>
      </c>
      <c r="G431" t="s">
        <v>2243</v>
      </c>
      <c r="H431">
        <v>8</v>
      </c>
      <c r="I431">
        <v>7</v>
      </c>
      <c r="J431" t="s">
        <v>1</v>
      </c>
    </row>
    <row r="432" spans="3:10" x14ac:dyDescent="0.25">
      <c r="C432">
        <v>429</v>
      </c>
      <c r="D432">
        <v>402900908</v>
      </c>
      <c r="E432" t="s">
        <v>1424</v>
      </c>
      <c r="F432" t="s">
        <v>2846</v>
      </c>
      <c r="G432" t="s">
        <v>2243</v>
      </c>
      <c r="H432">
        <v>8</v>
      </c>
      <c r="I432">
        <v>7</v>
      </c>
      <c r="J432" t="s">
        <v>1</v>
      </c>
    </row>
    <row r="433" spans="3:10" x14ac:dyDescent="0.25">
      <c r="C433">
        <v>430</v>
      </c>
      <c r="D433">
        <v>209520036</v>
      </c>
      <c r="E433" t="s">
        <v>1427</v>
      </c>
      <c r="F433" t="s">
        <v>2847</v>
      </c>
      <c r="G433" t="s">
        <v>2243</v>
      </c>
      <c r="H433">
        <v>8</v>
      </c>
      <c r="I433">
        <v>7</v>
      </c>
      <c r="J433" t="s">
        <v>1</v>
      </c>
    </row>
    <row r="434" spans="3:10" x14ac:dyDescent="0.25">
      <c r="C434">
        <v>431</v>
      </c>
      <c r="D434">
        <v>209290905</v>
      </c>
      <c r="E434" t="s">
        <v>1426</v>
      </c>
      <c r="F434" t="s">
        <v>2848</v>
      </c>
      <c r="G434" t="s">
        <v>2243</v>
      </c>
      <c r="H434">
        <v>8</v>
      </c>
      <c r="I434">
        <v>7</v>
      </c>
      <c r="J434" t="s">
        <v>1</v>
      </c>
    </row>
    <row r="435" spans="3:10" x14ac:dyDescent="0.25">
      <c r="C435">
        <v>432</v>
      </c>
      <c r="D435">
        <v>209400366</v>
      </c>
      <c r="E435" t="s">
        <v>1425</v>
      </c>
      <c r="F435" t="s">
        <v>2849</v>
      </c>
      <c r="G435" t="s">
        <v>2243</v>
      </c>
      <c r="H435">
        <v>8</v>
      </c>
      <c r="I435">
        <v>7</v>
      </c>
      <c r="J435" t="s">
        <v>1</v>
      </c>
    </row>
    <row r="436" spans="3:10" x14ac:dyDescent="0.25">
      <c r="C436">
        <v>433</v>
      </c>
      <c r="D436">
        <v>209380435</v>
      </c>
      <c r="E436" t="s">
        <v>1429</v>
      </c>
      <c r="F436" t="s">
        <v>2850</v>
      </c>
      <c r="G436" t="s">
        <v>2243</v>
      </c>
      <c r="H436">
        <v>8</v>
      </c>
      <c r="I436">
        <v>7</v>
      </c>
      <c r="J436" t="s">
        <v>0</v>
      </c>
    </row>
    <row r="437" spans="3:10" x14ac:dyDescent="0.25">
      <c r="C437">
        <v>434</v>
      </c>
      <c r="D437">
        <v>209500406</v>
      </c>
      <c r="E437" t="s">
        <v>1430</v>
      </c>
      <c r="F437" t="s">
        <v>2851</v>
      </c>
      <c r="G437" t="s">
        <v>2243</v>
      </c>
      <c r="H437">
        <v>8</v>
      </c>
      <c r="I437">
        <v>7</v>
      </c>
      <c r="J437" t="s">
        <v>0</v>
      </c>
    </row>
    <row r="438" spans="3:10" x14ac:dyDescent="0.25">
      <c r="C438">
        <v>435</v>
      </c>
      <c r="D438">
        <v>209420341</v>
      </c>
      <c r="E438" t="s">
        <v>1431</v>
      </c>
      <c r="F438" t="s">
        <v>2852</v>
      </c>
      <c r="G438" t="s">
        <v>2243</v>
      </c>
      <c r="H438">
        <v>8</v>
      </c>
      <c r="I438">
        <v>7</v>
      </c>
      <c r="J438" t="s">
        <v>0</v>
      </c>
    </row>
    <row r="439" spans="3:10" x14ac:dyDescent="0.25">
      <c r="C439">
        <v>436</v>
      </c>
      <c r="D439">
        <v>703610697</v>
      </c>
      <c r="E439" t="s">
        <v>1432</v>
      </c>
      <c r="F439" t="s">
        <v>2853</v>
      </c>
      <c r="G439" t="s">
        <v>2243</v>
      </c>
      <c r="H439">
        <v>8</v>
      </c>
      <c r="I439">
        <v>7</v>
      </c>
      <c r="J439" t="s">
        <v>0</v>
      </c>
    </row>
    <row r="440" spans="3:10" x14ac:dyDescent="0.25">
      <c r="C440">
        <v>437</v>
      </c>
      <c r="D440">
        <v>306010041</v>
      </c>
      <c r="E440" t="s">
        <v>1433</v>
      </c>
      <c r="F440" t="s">
        <v>2854</v>
      </c>
      <c r="G440" t="s">
        <v>2243</v>
      </c>
      <c r="H440">
        <v>8</v>
      </c>
      <c r="I440">
        <v>7</v>
      </c>
      <c r="J440" t="s">
        <v>0</v>
      </c>
    </row>
    <row r="441" spans="3:10" x14ac:dyDescent="0.25">
      <c r="C441">
        <v>438</v>
      </c>
      <c r="D441">
        <v>402900638</v>
      </c>
      <c r="E441" t="s">
        <v>1434</v>
      </c>
      <c r="F441" t="s">
        <v>2855</v>
      </c>
      <c r="G441" t="s">
        <v>2243</v>
      </c>
      <c r="H441">
        <v>8</v>
      </c>
      <c r="I441">
        <v>7</v>
      </c>
      <c r="J441" t="s">
        <v>0</v>
      </c>
    </row>
    <row r="442" spans="3:10" x14ac:dyDescent="0.25">
      <c r="C442">
        <v>439</v>
      </c>
      <c r="D442">
        <v>209410423</v>
      </c>
      <c r="E442" t="s">
        <v>1435</v>
      </c>
      <c r="F442" t="s">
        <v>2856</v>
      </c>
      <c r="G442" t="s">
        <v>2243</v>
      </c>
      <c r="H442">
        <v>8</v>
      </c>
      <c r="I442">
        <v>7</v>
      </c>
      <c r="J442" t="s">
        <v>0</v>
      </c>
    </row>
    <row r="443" spans="3:10" x14ac:dyDescent="0.25">
      <c r="C443">
        <v>440</v>
      </c>
      <c r="D443">
        <v>402900827</v>
      </c>
      <c r="E443" t="s">
        <v>1436</v>
      </c>
      <c r="F443" t="s">
        <v>2857</v>
      </c>
      <c r="G443" t="s">
        <v>2243</v>
      </c>
      <c r="H443">
        <v>8</v>
      </c>
      <c r="I443">
        <v>7</v>
      </c>
      <c r="J443" t="s">
        <v>0</v>
      </c>
    </row>
    <row r="444" spans="3:10" x14ac:dyDescent="0.25">
      <c r="C444">
        <v>441</v>
      </c>
      <c r="D444">
        <v>402900026</v>
      </c>
      <c r="E444" t="s">
        <v>1437</v>
      </c>
      <c r="F444" t="s">
        <v>2858</v>
      </c>
      <c r="G444" t="s">
        <v>2243</v>
      </c>
      <c r="H444">
        <v>8</v>
      </c>
      <c r="I444">
        <v>7</v>
      </c>
      <c r="J444" t="s">
        <v>0</v>
      </c>
    </row>
    <row r="445" spans="3:10" x14ac:dyDescent="0.25">
      <c r="C445">
        <v>442</v>
      </c>
      <c r="D445">
        <v>402930784</v>
      </c>
      <c r="E445" t="s">
        <v>1438</v>
      </c>
      <c r="F445" t="s">
        <v>2859</v>
      </c>
      <c r="G445" t="s">
        <v>2243</v>
      </c>
      <c r="H445">
        <v>8</v>
      </c>
      <c r="I445">
        <v>7</v>
      </c>
      <c r="J445" t="s">
        <v>0</v>
      </c>
    </row>
    <row r="446" spans="3:10" x14ac:dyDescent="0.25">
      <c r="C446">
        <v>443</v>
      </c>
      <c r="D446">
        <v>209440965</v>
      </c>
      <c r="E446" t="s">
        <v>1439</v>
      </c>
      <c r="F446" t="s">
        <v>2860</v>
      </c>
      <c r="G446" t="s">
        <v>2243</v>
      </c>
      <c r="H446">
        <v>8</v>
      </c>
      <c r="I446">
        <v>7</v>
      </c>
      <c r="J446" t="s">
        <v>0</v>
      </c>
    </row>
    <row r="447" spans="3:10" x14ac:dyDescent="0.25">
      <c r="C447">
        <v>444</v>
      </c>
      <c r="D447">
        <v>402930471</v>
      </c>
      <c r="E447" t="s">
        <v>2861</v>
      </c>
      <c r="F447" t="s">
        <v>2862</v>
      </c>
      <c r="G447" t="s">
        <v>2243</v>
      </c>
      <c r="H447">
        <v>8</v>
      </c>
      <c r="I447">
        <v>7</v>
      </c>
      <c r="J447" t="s">
        <v>0</v>
      </c>
    </row>
    <row r="448" spans="3:10" x14ac:dyDescent="0.25">
      <c r="C448">
        <v>445</v>
      </c>
      <c r="D448">
        <v>402940506</v>
      </c>
      <c r="E448" t="s">
        <v>1440</v>
      </c>
      <c r="F448" t="s">
        <v>2863</v>
      </c>
      <c r="G448" t="s">
        <v>2243</v>
      </c>
      <c r="H448">
        <v>8</v>
      </c>
      <c r="I448">
        <v>7</v>
      </c>
      <c r="J448" t="s">
        <v>0</v>
      </c>
    </row>
    <row r="449" spans="3:10" x14ac:dyDescent="0.25">
      <c r="C449">
        <v>446</v>
      </c>
      <c r="D449">
        <v>402900729</v>
      </c>
      <c r="E449" t="s">
        <v>1441</v>
      </c>
      <c r="F449" t="s">
        <v>2864</v>
      </c>
      <c r="G449" t="s">
        <v>2243</v>
      </c>
      <c r="H449">
        <v>8</v>
      </c>
      <c r="I449">
        <v>7</v>
      </c>
      <c r="J449" t="s">
        <v>0</v>
      </c>
    </row>
    <row r="450" spans="3:10" x14ac:dyDescent="0.25">
      <c r="C450">
        <v>447</v>
      </c>
      <c r="D450">
        <v>209430103</v>
      </c>
      <c r="E450" t="s">
        <v>1442</v>
      </c>
      <c r="F450" t="s">
        <v>2865</v>
      </c>
      <c r="G450" t="s">
        <v>2243</v>
      </c>
      <c r="H450">
        <v>8</v>
      </c>
      <c r="I450">
        <v>7</v>
      </c>
      <c r="J450" t="s">
        <v>0</v>
      </c>
    </row>
    <row r="451" spans="3:10" x14ac:dyDescent="0.25">
      <c r="C451">
        <v>448</v>
      </c>
      <c r="D451">
        <v>209250991</v>
      </c>
      <c r="E451" t="s">
        <v>1443</v>
      </c>
      <c r="F451" t="s">
        <v>2866</v>
      </c>
      <c r="G451" t="s">
        <v>2243</v>
      </c>
      <c r="H451">
        <v>9</v>
      </c>
      <c r="I451">
        <v>1</v>
      </c>
      <c r="J451" t="s">
        <v>1</v>
      </c>
    </row>
    <row r="452" spans="3:10" x14ac:dyDescent="0.25">
      <c r="C452">
        <v>449</v>
      </c>
      <c r="D452">
        <v>402860380</v>
      </c>
      <c r="E452" t="s">
        <v>1444</v>
      </c>
      <c r="F452" t="s">
        <v>2867</v>
      </c>
      <c r="G452" t="s">
        <v>2243</v>
      </c>
      <c r="H452">
        <v>9</v>
      </c>
      <c r="I452">
        <v>1</v>
      </c>
      <c r="J452" t="s">
        <v>1</v>
      </c>
    </row>
    <row r="453" spans="3:10" x14ac:dyDescent="0.25">
      <c r="C453">
        <v>450</v>
      </c>
      <c r="D453">
        <v>402890182</v>
      </c>
      <c r="E453" t="s">
        <v>1446</v>
      </c>
      <c r="F453" t="s">
        <v>2868</v>
      </c>
      <c r="G453" t="s">
        <v>2243</v>
      </c>
      <c r="H453">
        <v>9</v>
      </c>
      <c r="I453">
        <v>1</v>
      </c>
      <c r="J453" t="s">
        <v>1</v>
      </c>
    </row>
    <row r="454" spans="3:10" x14ac:dyDescent="0.25">
      <c r="C454">
        <v>451</v>
      </c>
      <c r="D454">
        <v>402890911</v>
      </c>
      <c r="E454" t="s">
        <v>1594</v>
      </c>
      <c r="F454" t="s">
        <v>2869</v>
      </c>
      <c r="G454" t="s">
        <v>2243</v>
      </c>
      <c r="H454">
        <v>9</v>
      </c>
      <c r="I454">
        <v>1</v>
      </c>
      <c r="J454" t="s">
        <v>1</v>
      </c>
    </row>
    <row r="455" spans="3:10" x14ac:dyDescent="0.25">
      <c r="C455">
        <v>452</v>
      </c>
      <c r="D455">
        <v>209320954</v>
      </c>
      <c r="E455" t="s">
        <v>1529</v>
      </c>
      <c r="F455" t="s">
        <v>2870</v>
      </c>
      <c r="G455" t="s">
        <v>2243</v>
      </c>
      <c r="H455">
        <v>9</v>
      </c>
      <c r="I455">
        <v>1</v>
      </c>
      <c r="J455" t="s">
        <v>1</v>
      </c>
    </row>
    <row r="456" spans="3:10" x14ac:dyDescent="0.25">
      <c r="C456">
        <v>453</v>
      </c>
      <c r="D456">
        <v>209190657</v>
      </c>
      <c r="E456" t="s">
        <v>1448</v>
      </c>
      <c r="F456" t="s">
        <v>2871</v>
      </c>
      <c r="G456" t="s">
        <v>2243</v>
      </c>
      <c r="H456">
        <v>9</v>
      </c>
      <c r="I456">
        <v>1</v>
      </c>
      <c r="J456" t="s">
        <v>1</v>
      </c>
    </row>
    <row r="457" spans="3:10" x14ac:dyDescent="0.25">
      <c r="C457">
        <v>454</v>
      </c>
      <c r="D457">
        <v>402850861</v>
      </c>
      <c r="E457" t="s">
        <v>1449</v>
      </c>
      <c r="F457" t="s">
        <v>2872</v>
      </c>
      <c r="G457" t="s">
        <v>2243</v>
      </c>
      <c r="H457">
        <v>9</v>
      </c>
      <c r="I457">
        <v>1</v>
      </c>
      <c r="J457" t="s">
        <v>1</v>
      </c>
    </row>
    <row r="458" spans="3:10" x14ac:dyDescent="0.25">
      <c r="C458">
        <v>455</v>
      </c>
      <c r="D458">
        <v>209300800</v>
      </c>
      <c r="E458" t="s">
        <v>1450</v>
      </c>
      <c r="F458" t="s">
        <v>2873</v>
      </c>
      <c r="G458" t="s">
        <v>2243</v>
      </c>
      <c r="H458">
        <v>9</v>
      </c>
      <c r="I458">
        <v>1</v>
      </c>
      <c r="J458" t="s">
        <v>1</v>
      </c>
    </row>
    <row r="459" spans="3:10" x14ac:dyDescent="0.25">
      <c r="C459">
        <v>456</v>
      </c>
      <c r="D459">
        <v>209100455</v>
      </c>
      <c r="E459" t="s">
        <v>2874</v>
      </c>
      <c r="F459" t="s">
        <v>2875</v>
      </c>
      <c r="G459" t="s">
        <v>2243</v>
      </c>
      <c r="H459">
        <v>9</v>
      </c>
      <c r="I459">
        <v>1</v>
      </c>
      <c r="J459" t="s">
        <v>1</v>
      </c>
    </row>
    <row r="460" spans="3:10" x14ac:dyDescent="0.25">
      <c r="C460">
        <v>457</v>
      </c>
      <c r="D460">
        <v>209280590</v>
      </c>
      <c r="E460" t="s">
        <v>1451</v>
      </c>
      <c r="F460" t="s">
        <v>2876</v>
      </c>
      <c r="G460" t="s">
        <v>2243</v>
      </c>
      <c r="H460">
        <v>9</v>
      </c>
      <c r="I460">
        <v>1</v>
      </c>
      <c r="J460" t="s">
        <v>1</v>
      </c>
    </row>
    <row r="461" spans="3:10" x14ac:dyDescent="0.25">
      <c r="C461">
        <v>458</v>
      </c>
      <c r="D461">
        <v>209330220</v>
      </c>
      <c r="E461" t="s">
        <v>1452</v>
      </c>
      <c r="F461" t="s">
        <v>2877</v>
      </c>
      <c r="G461" t="s">
        <v>2243</v>
      </c>
      <c r="H461">
        <v>9</v>
      </c>
      <c r="I461">
        <v>1</v>
      </c>
      <c r="J461" t="s">
        <v>1</v>
      </c>
    </row>
    <row r="462" spans="3:10" x14ac:dyDescent="0.25">
      <c r="C462">
        <v>459</v>
      </c>
      <c r="D462">
        <v>209050494</v>
      </c>
      <c r="E462" t="s">
        <v>1453</v>
      </c>
      <c r="F462" t="s">
        <v>2878</v>
      </c>
      <c r="G462" t="s">
        <v>2243</v>
      </c>
      <c r="H462">
        <v>9</v>
      </c>
      <c r="I462">
        <v>1</v>
      </c>
      <c r="J462" t="s">
        <v>1</v>
      </c>
    </row>
    <row r="463" spans="3:10" x14ac:dyDescent="0.25">
      <c r="C463">
        <v>460</v>
      </c>
      <c r="D463">
        <v>605270267</v>
      </c>
      <c r="E463" t="s">
        <v>1454</v>
      </c>
      <c r="F463" t="s">
        <v>2879</v>
      </c>
      <c r="G463" t="s">
        <v>2243</v>
      </c>
      <c r="H463">
        <v>9</v>
      </c>
      <c r="I463">
        <v>1</v>
      </c>
      <c r="J463" t="s">
        <v>1</v>
      </c>
    </row>
    <row r="464" spans="3:10" x14ac:dyDescent="0.25">
      <c r="C464">
        <v>461</v>
      </c>
      <c r="D464">
        <v>209120140</v>
      </c>
      <c r="E464" t="s">
        <v>2880</v>
      </c>
      <c r="F464" t="s">
        <v>2881</v>
      </c>
      <c r="G464" t="s">
        <v>2243</v>
      </c>
      <c r="H464">
        <v>9</v>
      </c>
      <c r="I464">
        <v>1</v>
      </c>
      <c r="J464" t="s">
        <v>1</v>
      </c>
    </row>
    <row r="465" spans="3:10" x14ac:dyDescent="0.25">
      <c r="C465">
        <v>462</v>
      </c>
      <c r="D465">
        <v>402890429</v>
      </c>
      <c r="E465" t="s">
        <v>1455</v>
      </c>
      <c r="F465" t="s">
        <v>2882</v>
      </c>
      <c r="G465" t="s">
        <v>2243</v>
      </c>
      <c r="H465">
        <v>9</v>
      </c>
      <c r="I465">
        <v>1</v>
      </c>
      <c r="J465" t="s">
        <v>1</v>
      </c>
    </row>
    <row r="466" spans="3:10" x14ac:dyDescent="0.25">
      <c r="C466">
        <v>463</v>
      </c>
      <c r="D466">
        <v>209130045</v>
      </c>
      <c r="E466" t="s">
        <v>1456</v>
      </c>
      <c r="F466" t="s">
        <v>2883</v>
      </c>
      <c r="G466" t="s">
        <v>2243</v>
      </c>
      <c r="H466">
        <v>9</v>
      </c>
      <c r="I466">
        <v>1</v>
      </c>
      <c r="J466" t="s">
        <v>1</v>
      </c>
    </row>
    <row r="467" spans="3:10" x14ac:dyDescent="0.25">
      <c r="C467">
        <v>464</v>
      </c>
      <c r="D467">
        <v>120770390</v>
      </c>
      <c r="E467" t="s">
        <v>1457</v>
      </c>
      <c r="F467" t="s">
        <v>2884</v>
      </c>
      <c r="G467" t="s">
        <v>2243</v>
      </c>
      <c r="H467">
        <v>9</v>
      </c>
      <c r="I467">
        <v>1</v>
      </c>
      <c r="J467" t="s">
        <v>0</v>
      </c>
    </row>
    <row r="468" spans="3:10" x14ac:dyDescent="0.25">
      <c r="C468">
        <v>465</v>
      </c>
      <c r="D468">
        <v>402870222</v>
      </c>
      <c r="E468" t="s">
        <v>1502</v>
      </c>
      <c r="F468" t="s">
        <v>2885</v>
      </c>
      <c r="G468" t="s">
        <v>2243</v>
      </c>
      <c r="H468">
        <v>9</v>
      </c>
      <c r="I468">
        <v>1</v>
      </c>
      <c r="J468" t="s">
        <v>0</v>
      </c>
    </row>
    <row r="469" spans="3:10" x14ac:dyDescent="0.25">
      <c r="C469">
        <v>466</v>
      </c>
      <c r="D469">
        <v>402880850</v>
      </c>
      <c r="E469" t="s">
        <v>1459</v>
      </c>
      <c r="F469" t="s">
        <v>2886</v>
      </c>
      <c r="G469" t="s">
        <v>2243</v>
      </c>
      <c r="H469">
        <v>9</v>
      </c>
      <c r="I469">
        <v>1</v>
      </c>
      <c r="J469" t="s">
        <v>0</v>
      </c>
    </row>
    <row r="470" spans="3:10" x14ac:dyDescent="0.25">
      <c r="C470">
        <v>467</v>
      </c>
      <c r="D470">
        <v>209370053</v>
      </c>
      <c r="E470" t="s">
        <v>1460</v>
      </c>
      <c r="F470" t="s">
        <v>2887</v>
      </c>
      <c r="G470" t="s">
        <v>2243</v>
      </c>
      <c r="H470">
        <v>9</v>
      </c>
      <c r="I470">
        <v>1</v>
      </c>
      <c r="J470" t="s">
        <v>0</v>
      </c>
    </row>
    <row r="471" spans="3:10" x14ac:dyDescent="0.25">
      <c r="C471">
        <v>468</v>
      </c>
      <c r="D471">
        <v>209360340</v>
      </c>
      <c r="E471" t="s">
        <v>1461</v>
      </c>
      <c r="F471" t="s">
        <v>2888</v>
      </c>
      <c r="G471" t="s">
        <v>2243</v>
      </c>
      <c r="H471">
        <v>9</v>
      </c>
      <c r="I471">
        <v>1</v>
      </c>
      <c r="J471" t="s">
        <v>0</v>
      </c>
    </row>
    <row r="472" spans="3:10" x14ac:dyDescent="0.25">
      <c r="C472">
        <v>469</v>
      </c>
      <c r="D472">
        <v>209340477</v>
      </c>
      <c r="E472" t="s">
        <v>1462</v>
      </c>
      <c r="F472" t="s">
        <v>2889</v>
      </c>
      <c r="G472" t="s">
        <v>2243</v>
      </c>
      <c r="H472">
        <v>9</v>
      </c>
      <c r="I472">
        <v>1</v>
      </c>
      <c r="J472" t="s">
        <v>0</v>
      </c>
    </row>
    <row r="473" spans="3:10" x14ac:dyDescent="0.25">
      <c r="C473">
        <v>470</v>
      </c>
      <c r="D473">
        <v>120370133</v>
      </c>
      <c r="E473" t="s">
        <v>1463</v>
      </c>
      <c r="F473" t="s">
        <v>2890</v>
      </c>
      <c r="G473" t="s">
        <v>2243</v>
      </c>
      <c r="H473">
        <v>9</v>
      </c>
      <c r="I473">
        <v>1</v>
      </c>
      <c r="J473" t="s">
        <v>0</v>
      </c>
    </row>
    <row r="474" spans="3:10" x14ac:dyDescent="0.25">
      <c r="C474">
        <v>471</v>
      </c>
      <c r="D474">
        <v>209340172</v>
      </c>
      <c r="E474" t="s">
        <v>1464</v>
      </c>
      <c r="F474" t="s">
        <v>2891</v>
      </c>
      <c r="G474" t="s">
        <v>2243</v>
      </c>
      <c r="H474">
        <v>9</v>
      </c>
      <c r="I474">
        <v>1</v>
      </c>
      <c r="J474" t="s">
        <v>0</v>
      </c>
    </row>
    <row r="475" spans="3:10" x14ac:dyDescent="0.25">
      <c r="C475">
        <v>472</v>
      </c>
      <c r="D475">
        <v>120860867</v>
      </c>
      <c r="E475" t="s">
        <v>1465</v>
      </c>
      <c r="F475" t="s">
        <v>2892</v>
      </c>
      <c r="G475" t="s">
        <v>2243</v>
      </c>
      <c r="H475">
        <v>9</v>
      </c>
      <c r="I475">
        <v>1</v>
      </c>
      <c r="J475" t="s">
        <v>0</v>
      </c>
    </row>
    <row r="476" spans="3:10" x14ac:dyDescent="0.25">
      <c r="C476">
        <v>473</v>
      </c>
      <c r="D476">
        <v>209020531</v>
      </c>
      <c r="E476" t="s">
        <v>2893</v>
      </c>
      <c r="F476" t="s">
        <v>2894</v>
      </c>
      <c r="G476" t="s">
        <v>2243</v>
      </c>
      <c r="H476">
        <v>9</v>
      </c>
      <c r="I476">
        <v>1</v>
      </c>
      <c r="J476" t="s">
        <v>0</v>
      </c>
    </row>
    <row r="477" spans="3:10" x14ac:dyDescent="0.25">
      <c r="C477">
        <v>474</v>
      </c>
      <c r="D477">
        <v>209170161</v>
      </c>
      <c r="E477" t="s">
        <v>1466</v>
      </c>
      <c r="F477" t="s">
        <v>2895</v>
      </c>
      <c r="G477" t="s">
        <v>2243</v>
      </c>
      <c r="H477">
        <v>9</v>
      </c>
      <c r="I477">
        <v>1</v>
      </c>
      <c r="J477" t="s">
        <v>0</v>
      </c>
    </row>
    <row r="478" spans="3:10" x14ac:dyDescent="0.25">
      <c r="C478">
        <v>475</v>
      </c>
      <c r="D478">
        <v>402850877</v>
      </c>
      <c r="E478" t="s">
        <v>1467</v>
      </c>
      <c r="F478" t="s">
        <v>2896</v>
      </c>
      <c r="G478" t="s">
        <v>2243</v>
      </c>
      <c r="H478">
        <v>9</v>
      </c>
      <c r="I478">
        <v>1</v>
      </c>
      <c r="J478" t="s">
        <v>0</v>
      </c>
    </row>
    <row r="479" spans="3:10" x14ac:dyDescent="0.25">
      <c r="C479">
        <v>476</v>
      </c>
      <c r="D479">
        <v>209250930</v>
      </c>
      <c r="E479" t="s">
        <v>1468</v>
      </c>
      <c r="F479" t="s">
        <v>2897</v>
      </c>
      <c r="G479" t="s">
        <v>2243</v>
      </c>
      <c r="H479">
        <v>9</v>
      </c>
      <c r="I479">
        <v>1</v>
      </c>
      <c r="J479" t="s">
        <v>0</v>
      </c>
    </row>
    <row r="480" spans="3:10" x14ac:dyDescent="0.25">
      <c r="C480">
        <v>477</v>
      </c>
      <c r="D480">
        <v>209250645</v>
      </c>
      <c r="E480" t="s">
        <v>1469</v>
      </c>
      <c r="F480" t="s">
        <v>2898</v>
      </c>
      <c r="G480" t="s">
        <v>2243</v>
      </c>
      <c r="H480">
        <v>9</v>
      </c>
      <c r="I480">
        <v>1</v>
      </c>
      <c r="J480" t="s">
        <v>0</v>
      </c>
    </row>
    <row r="481" spans="3:10" x14ac:dyDescent="0.25">
      <c r="C481">
        <v>478</v>
      </c>
      <c r="D481">
        <v>120930942</v>
      </c>
      <c r="E481" t="s">
        <v>1470</v>
      </c>
      <c r="F481" t="s">
        <v>2899</v>
      </c>
      <c r="G481" t="s">
        <v>2243</v>
      </c>
      <c r="H481">
        <v>9</v>
      </c>
      <c r="I481">
        <v>1</v>
      </c>
      <c r="J481" t="s">
        <v>0</v>
      </c>
    </row>
    <row r="482" spans="3:10" x14ac:dyDescent="0.25">
      <c r="C482">
        <v>479</v>
      </c>
      <c r="D482">
        <v>402860804</v>
      </c>
      <c r="E482" t="s">
        <v>1471</v>
      </c>
      <c r="F482" t="s">
        <v>2900</v>
      </c>
      <c r="G482" t="s">
        <v>2243</v>
      </c>
      <c r="H482">
        <v>9</v>
      </c>
      <c r="I482">
        <v>2</v>
      </c>
      <c r="J482" t="s">
        <v>1</v>
      </c>
    </row>
    <row r="483" spans="3:10" x14ac:dyDescent="0.25">
      <c r="C483">
        <v>480</v>
      </c>
      <c r="D483">
        <v>402870903</v>
      </c>
      <c r="E483" t="s">
        <v>1472</v>
      </c>
      <c r="F483" t="s">
        <v>2901</v>
      </c>
      <c r="G483" t="s">
        <v>2243</v>
      </c>
      <c r="H483">
        <v>9</v>
      </c>
      <c r="I483">
        <v>2</v>
      </c>
      <c r="J483" t="s">
        <v>1</v>
      </c>
    </row>
    <row r="484" spans="3:10" x14ac:dyDescent="0.25">
      <c r="C484">
        <v>481</v>
      </c>
      <c r="D484">
        <v>209110975</v>
      </c>
      <c r="E484" t="s">
        <v>1473</v>
      </c>
      <c r="F484" t="s">
        <v>2902</v>
      </c>
      <c r="G484" t="s">
        <v>2243</v>
      </c>
      <c r="H484">
        <v>9</v>
      </c>
      <c r="I484">
        <v>2</v>
      </c>
      <c r="J484" t="s">
        <v>1</v>
      </c>
    </row>
    <row r="485" spans="3:10" x14ac:dyDescent="0.25">
      <c r="C485">
        <v>482</v>
      </c>
      <c r="D485">
        <v>209370533</v>
      </c>
      <c r="E485" t="s">
        <v>1474</v>
      </c>
      <c r="F485" t="s">
        <v>2903</v>
      </c>
      <c r="G485" t="s">
        <v>2243</v>
      </c>
      <c r="H485">
        <v>9</v>
      </c>
      <c r="I485">
        <v>2</v>
      </c>
      <c r="J485" t="s">
        <v>1</v>
      </c>
    </row>
    <row r="486" spans="3:10" x14ac:dyDescent="0.25">
      <c r="C486">
        <v>483</v>
      </c>
      <c r="D486">
        <v>209370293</v>
      </c>
      <c r="E486" t="s">
        <v>1475</v>
      </c>
      <c r="F486" t="s">
        <v>2904</v>
      </c>
      <c r="G486" t="s">
        <v>2243</v>
      </c>
      <c r="H486">
        <v>9</v>
      </c>
      <c r="I486">
        <v>2</v>
      </c>
      <c r="J486" t="s">
        <v>1</v>
      </c>
    </row>
    <row r="487" spans="3:10" x14ac:dyDescent="0.25">
      <c r="C487">
        <v>484</v>
      </c>
      <c r="D487">
        <v>209350661</v>
      </c>
      <c r="E487" t="s">
        <v>1476</v>
      </c>
      <c r="F487" t="s">
        <v>2905</v>
      </c>
      <c r="G487" t="s">
        <v>2243</v>
      </c>
      <c r="H487">
        <v>9</v>
      </c>
      <c r="I487">
        <v>2</v>
      </c>
      <c r="J487" t="s">
        <v>1</v>
      </c>
    </row>
    <row r="488" spans="3:10" x14ac:dyDescent="0.25">
      <c r="C488">
        <v>485</v>
      </c>
      <c r="D488">
        <v>209280828</v>
      </c>
      <c r="E488" t="s">
        <v>1477</v>
      </c>
      <c r="F488" t="s">
        <v>2906</v>
      </c>
      <c r="G488" t="s">
        <v>2243</v>
      </c>
      <c r="H488">
        <v>9</v>
      </c>
      <c r="I488">
        <v>2</v>
      </c>
      <c r="J488" t="s">
        <v>1</v>
      </c>
    </row>
    <row r="489" spans="3:10" x14ac:dyDescent="0.25">
      <c r="C489">
        <v>486</v>
      </c>
      <c r="D489">
        <v>120320610</v>
      </c>
      <c r="E489" t="s">
        <v>1478</v>
      </c>
      <c r="F489" t="s">
        <v>2907</v>
      </c>
      <c r="G489" t="s">
        <v>2243</v>
      </c>
      <c r="H489">
        <v>9</v>
      </c>
      <c r="I489">
        <v>2</v>
      </c>
      <c r="J489" t="s">
        <v>1</v>
      </c>
    </row>
    <row r="490" spans="3:10" x14ac:dyDescent="0.25">
      <c r="C490">
        <v>487</v>
      </c>
      <c r="D490">
        <v>209260994</v>
      </c>
      <c r="E490" t="s">
        <v>1479</v>
      </c>
      <c r="F490" t="s">
        <v>2908</v>
      </c>
      <c r="G490" t="s">
        <v>2243</v>
      </c>
      <c r="H490">
        <v>9</v>
      </c>
      <c r="I490">
        <v>2</v>
      </c>
      <c r="J490" t="s">
        <v>1</v>
      </c>
    </row>
    <row r="491" spans="3:10" x14ac:dyDescent="0.25">
      <c r="C491">
        <v>488</v>
      </c>
      <c r="D491">
        <v>402890703</v>
      </c>
      <c r="E491" t="s">
        <v>1480</v>
      </c>
      <c r="F491" t="s">
        <v>2909</v>
      </c>
      <c r="G491" t="s">
        <v>2243</v>
      </c>
      <c r="H491">
        <v>9</v>
      </c>
      <c r="I491">
        <v>2</v>
      </c>
      <c r="J491" t="s">
        <v>1</v>
      </c>
    </row>
    <row r="492" spans="3:10" x14ac:dyDescent="0.25">
      <c r="C492">
        <v>489</v>
      </c>
      <c r="D492">
        <v>402880790</v>
      </c>
      <c r="E492" t="s">
        <v>1481</v>
      </c>
      <c r="F492" t="s">
        <v>2910</v>
      </c>
      <c r="G492" t="s">
        <v>2243</v>
      </c>
      <c r="H492">
        <v>9</v>
      </c>
      <c r="I492">
        <v>2</v>
      </c>
      <c r="J492" t="s">
        <v>1</v>
      </c>
    </row>
    <row r="493" spans="3:10" x14ac:dyDescent="0.25">
      <c r="C493">
        <v>490</v>
      </c>
      <c r="D493">
        <v>209300795</v>
      </c>
      <c r="E493" t="s">
        <v>1482</v>
      </c>
      <c r="F493" t="s">
        <v>2911</v>
      </c>
      <c r="G493" t="s">
        <v>2243</v>
      </c>
      <c r="H493">
        <v>9</v>
      </c>
      <c r="I493">
        <v>2</v>
      </c>
      <c r="J493" t="s">
        <v>1</v>
      </c>
    </row>
    <row r="494" spans="3:10" x14ac:dyDescent="0.25">
      <c r="C494">
        <v>491</v>
      </c>
      <c r="D494">
        <v>402870751</v>
      </c>
      <c r="E494" t="s">
        <v>1483</v>
      </c>
      <c r="F494" t="s">
        <v>2912</v>
      </c>
      <c r="G494" t="s">
        <v>2243</v>
      </c>
      <c r="H494">
        <v>9</v>
      </c>
      <c r="I494">
        <v>2</v>
      </c>
      <c r="J494" t="s">
        <v>1</v>
      </c>
    </row>
    <row r="495" spans="3:10" x14ac:dyDescent="0.25">
      <c r="C495">
        <v>492</v>
      </c>
      <c r="D495">
        <v>209340259</v>
      </c>
      <c r="E495" t="s">
        <v>1484</v>
      </c>
      <c r="F495" t="s">
        <v>2913</v>
      </c>
      <c r="G495" t="s">
        <v>2243</v>
      </c>
      <c r="H495">
        <v>9</v>
      </c>
      <c r="I495">
        <v>2</v>
      </c>
      <c r="J495" t="s">
        <v>1</v>
      </c>
    </row>
    <row r="496" spans="3:10" x14ac:dyDescent="0.25">
      <c r="C496">
        <v>493</v>
      </c>
      <c r="D496">
        <v>209320875</v>
      </c>
      <c r="E496" t="s">
        <v>1485</v>
      </c>
      <c r="F496" t="s">
        <v>2914</v>
      </c>
      <c r="G496" t="s">
        <v>2243</v>
      </c>
      <c r="H496">
        <v>9</v>
      </c>
      <c r="I496">
        <v>2</v>
      </c>
      <c r="J496" t="s">
        <v>1</v>
      </c>
    </row>
    <row r="497" spans="3:10" x14ac:dyDescent="0.25">
      <c r="C497">
        <v>494</v>
      </c>
      <c r="D497">
        <v>209320086</v>
      </c>
      <c r="E497" t="s">
        <v>1486</v>
      </c>
      <c r="F497" t="s">
        <v>2915</v>
      </c>
      <c r="G497" t="s">
        <v>2243</v>
      </c>
      <c r="H497">
        <v>9</v>
      </c>
      <c r="I497">
        <v>2</v>
      </c>
      <c r="J497" t="s">
        <v>0</v>
      </c>
    </row>
    <row r="498" spans="3:10" x14ac:dyDescent="0.25">
      <c r="C498">
        <v>495</v>
      </c>
      <c r="D498">
        <v>209340618</v>
      </c>
      <c r="E498" t="s">
        <v>1487</v>
      </c>
      <c r="F498" t="s">
        <v>2916</v>
      </c>
      <c r="G498" t="s">
        <v>2243</v>
      </c>
      <c r="H498">
        <v>9</v>
      </c>
      <c r="I498">
        <v>2</v>
      </c>
      <c r="J498" t="s">
        <v>0</v>
      </c>
    </row>
    <row r="499" spans="3:10" x14ac:dyDescent="0.25">
      <c r="C499">
        <v>496</v>
      </c>
      <c r="D499">
        <v>120730617</v>
      </c>
      <c r="E499" t="s">
        <v>1488</v>
      </c>
      <c r="F499" t="s">
        <v>2917</v>
      </c>
      <c r="G499" t="s">
        <v>2243</v>
      </c>
      <c r="H499">
        <v>9</v>
      </c>
      <c r="I499">
        <v>2</v>
      </c>
      <c r="J499" t="s">
        <v>0</v>
      </c>
    </row>
    <row r="500" spans="3:10" x14ac:dyDescent="0.25">
      <c r="C500">
        <v>497</v>
      </c>
      <c r="D500">
        <v>209260195</v>
      </c>
      <c r="E500" t="s">
        <v>1489</v>
      </c>
      <c r="F500" t="s">
        <v>2918</v>
      </c>
      <c r="G500" t="s">
        <v>2243</v>
      </c>
      <c r="H500">
        <v>9</v>
      </c>
      <c r="I500">
        <v>2</v>
      </c>
      <c r="J500" t="s">
        <v>0</v>
      </c>
    </row>
    <row r="501" spans="3:10" x14ac:dyDescent="0.25">
      <c r="C501">
        <v>498</v>
      </c>
      <c r="D501">
        <v>209290171</v>
      </c>
      <c r="E501" t="s">
        <v>2919</v>
      </c>
      <c r="F501" t="s">
        <v>2920</v>
      </c>
      <c r="G501" t="s">
        <v>2243</v>
      </c>
      <c r="H501">
        <v>9</v>
      </c>
      <c r="I501">
        <v>2</v>
      </c>
      <c r="J501" t="s">
        <v>0</v>
      </c>
    </row>
    <row r="502" spans="3:10" x14ac:dyDescent="0.25">
      <c r="C502">
        <v>499</v>
      </c>
      <c r="D502">
        <v>209300989</v>
      </c>
      <c r="E502" t="s">
        <v>1490</v>
      </c>
      <c r="F502" t="s">
        <v>2921</v>
      </c>
      <c r="G502" t="s">
        <v>2243</v>
      </c>
      <c r="H502">
        <v>9</v>
      </c>
      <c r="I502">
        <v>2</v>
      </c>
      <c r="J502" t="s">
        <v>0</v>
      </c>
    </row>
    <row r="503" spans="3:10" x14ac:dyDescent="0.25">
      <c r="C503">
        <v>500</v>
      </c>
      <c r="D503">
        <v>209310393</v>
      </c>
      <c r="E503" t="s">
        <v>1491</v>
      </c>
      <c r="F503" t="s">
        <v>2922</v>
      </c>
      <c r="G503" t="s">
        <v>2243</v>
      </c>
      <c r="H503">
        <v>9</v>
      </c>
      <c r="I503">
        <v>2</v>
      </c>
      <c r="J503" t="s">
        <v>0</v>
      </c>
    </row>
    <row r="504" spans="3:10" x14ac:dyDescent="0.25">
      <c r="C504">
        <v>501</v>
      </c>
      <c r="D504">
        <v>209280137</v>
      </c>
      <c r="E504" t="s">
        <v>1492</v>
      </c>
      <c r="F504" t="s">
        <v>2923</v>
      </c>
      <c r="G504" t="s">
        <v>2243</v>
      </c>
      <c r="H504">
        <v>9</v>
      </c>
      <c r="I504">
        <v>2</v>
      </c>
      <c r="J504" t="s">
        <v>0</v>
      </c>
    </row>
    <row r="505" spans="3:10" x14ac:dyDescent="0.25">
      <c r="C505">
        <v>502</v>
      </c>
      <c r="D505">
        <v>402890694</v>
      </c>
      <c r="E505" t="s">
        <v>1494</v>
      </c>
      <c r="F505" t="s">
        <v>2924</v>
      </c>
      <c r="G505" t="s">
        <v>2243</v>
      </c>
      <c r="H505">
        <v>9</v>
      </c>
      <c r="I505">
        <v>2</v>
      </c>
      <c r="J505" t="s">
        <v>0</v>
      </c>
    </row>
    <row r="506" spans="3:10" x14ac:dyDescent="0.25">
      <c r="C506">
        <v>503</v>
      </c>
      <c r="D506">
        <v>209270755</v>
      </c>
      <c r="E506" t="s">
        <v>1495</v>
      </c>
      <c r="F506" t="s">
        <v>2925</v>
      </c>
      <c r="G506" t="s">
        <v>2243</v>
      </c>
      <c r="H506">
        <v>9</v>
      </c>
      <c r="I506">
        <v>2</v>
      </c>
      <c r="J506" t="s">
        <v>0</v>
      </c>
    </row>
    <row r="507" spans="3:10" x14ac:dyDescent="0.25">
      <c r="C507">
        <v>504</v>
      </c>
      <c r="D507">
        <v>402870775</v>
      </c>
      <c r="E507" t="s">
        <v>1496</v>
      </c>
      <c r="F507" t="s">
        <v>2926</v>
      </c>
      <c r="G507" t="s">
        <v>2243</v>
      </c>
      <c r="H507">
        <v>9</v>
      </c>
      <c r="I507">
        <v>2</v>
      </c>
      <c r="J507" t="s">
        <v>0</v>
      </c>
    </row>
    <row r="508" spans="3:10" x14ac:dyDescent="0.25">
      <c r="C508">
        <v>505</v>
      </c>
      <c r="D508">
        <v>402870645</v>
      </c>
      <c r="E508" t="s">
        <v>1497</v>
      </c>
      <c r="F508" t="s">
        <v>2927</v>
      </c>
      <c r="G508" t="s">
        <v>2243</v>
      </c>
      <c r="H508">
        <v>9</v>
      </c>
      <c r="I508">
        <v>2</v>
      </c>
      <c r="J508" t="s">
        <v>0</v>
      </c>
    </row>
    <row r="509" spans="3:10" x14ac:dyDescent="0.25">
      <c r="C509">
        <v>506</v>
      </c>
      <c r="D509">
        <v>209340021</v>
      </c>
      <c r="E509" t="s">
        <v>1498</v>
      </c>
      <c r="F509" t="s">
        <v>2928</v>
      </c>
      <c r="G509" t="s">
        <v>2243</v>
      </c>
      <c r="H509">
        <v>9</v>
      </c>
      <c r="I509">
        <v>2</v>
      </c>
      <c r="J509" t="s">
        <v>0</v>
      </c>
    </row>
    <row r="510" spans="3:10" x14ac:dyDescent="0.25">
      <c r="C510">
        <v>507</v>
      </c>
      <c r="D510">
        <v>209260547</v>
      </c>
      <c r="E510" t="s">
        <v>1499</v>
      </c>
      <c r="F510" t="s">
        <v>2929</v>
      </c>
      <c r="G510" t="s">
        <v>2243</v>
      </c>
      <c r="H510">
        <v>9</v>
      </c>
      <c r="I510">
        <v>3</v>
      </c>
      <c r="J510" t="s">
        <v>1</v>
      </c>
    </row>
    <row r="511" spans="3:10" x14ac:dyDescent="0.25">
      <c r="C511">
        <v>508</v>
      </c>
      <c r="D511">
        <v>120990418</v>
      </c>
      <c r="E511" t="s">
        <v>1445</v>
      </c>
      <c r="F511" t="s">
        <v>2930</v>
      </c>
      <c r="G511" t="s">
        <v>2243</v>
      </c>
      <c r="H511">
        <v>9</v>
      </c>
      <c r="I511">
        <v>3</v>
      </c>
      <c r="J511" t="s">
        <v>1</v>
      </c>
    </row>
    <row r="512" spans="3:10" x14ac:dyDescent="0.25">
      <c r="C512">
        <v>509</v>
      </c>
      <c r="D512">
        <v>209310702</v>
      </c>
      <c r="E512" t="s">
        <v>1500</v>
      </c>
      <c r="F512" t="s">
        <v>2931</v>
      </c>
      <c r="G512" t="s">
        <v>2243</v>
      </c>
      <c r="H512">
        <v>9</v>
      </c>
      <c r="I512">
        <v>3</v>
      </c>
      <c r="J512" t="s">
        <v>1</v>
      </c>
    </row>
    <row r="513" spans="3:10" x14ac:dyDescent="0.25">
      <c r="C513">
        <v>510</v>
      </c>
      <c r="D513">
        <v>402880605</v>
      </c>
      <c r="E513" t="s">
        <v>1501</v>
      </c>
      <c r="F513" t="s">
        <v>2932</v>
      </c>
      <c r="G513" t="s">
        <v>2243</v>
      </c>
      <c r="H513">
        <v>9</v>
      </c>
      <c r="I513">
        <v>3</v>
      </c>
      <c r="J513" t="s">
        <v>1</v>
      </c>
    </row>
    <row r="514" spans="3:10" x14ac:dyDescent="0.25">
      <c r="C514">
        <v>511</v>
      </c>
      <c r="D514">
        <v>209330564</v>
      </c>
      <c r="E514" t="s">
        <v>1447</v>
      </c>
      <c r="F514" t="s">
        <v>2933</v>
      </c>
      <c r="G514" t="s">
        <v>2243</v>
      </c>
      <c r="H514">
        <v>9</v>
      </c>
      <c r="I514">
        <v>3</v>
      </c>
      <c r="J514" t="s">
        <v>1</v>
      </c>
    </row>
    <row r="515" spans="3:10" x14ac:dyDescent="0.25">
      <c r="C515">
        <v>512</v>
      </c>
      <c r="D515">
        <v>120830662</v>
      </c>
      <c r="E515" t="s">
        <v>1504</v>
      </c>
      <c r="F515" t="s">
        <v>2934</v>
      </c>
      <c r="G515" t="s">
        <v>2243</v>
      </c>
      <c r="H515">
        <v>9</v>
      </c>
      <c r="I515">
        <v>3</v>
      </c>
      <c r="J515" t="s">
        <v>1</v>
      </c>
    </row>
    <row r="516" spans="3:10" x14ac:dyDescent="0.25">
      <c r="C516">
        <v>513</v>
      </c>
      <c r="D516">
        <v>120530859</v>
      </c>
      <c r="E516" t="s">
        <v>1780</v>
      </c>
      <c r="F516" t="s">
        <v>2935</v>
      </c>
      <c r="G516" t="s">
        <v>2243</v>
      </c>
      <c r="H516">
        <v>9</v>
      </c>
      <c r="I516">
        <v>3</v>
      </c>
      <c r="J516" t="s">
        <v>1</v>
      </c>
    </row>
    <row r="517" spans="3:10" x14ac:dyDescent="0.25">
      <c r="C517">
        <v>514</v>
      </c>
      <c r="D517">
        <v>209290259</v>
      </c>
      <c r="E517" t="s">
        <v>1506</v>
      </c>
      <c r="F517" t="s">
        <v>2936</v>
      </c>
      <c r="G517" t="s">
        <v>2243</v>
      </c>
      <c r="H517">
        <v>9</v>
      </c>
      <c r="I517">
        <v>3</v>
      </c>
      <c r="J517" t="s">
        <v>1</v>
      </c>
    </row>
    <row r="518" spans="3:10" x14ac:dyDescent="0.25">
      <c r="C518">
        <v>515</v>
      </c>
      <c r="D518">
        <v>209290260</v>
      </c>
      <c r="E518" t="s">
        <v>1505</v>
      </c>
      <c r="F518" t="s">
        <v>2937</v>
      </c>
      <c r="G518" t="s">
        <v>2243</v>
      </c>
      <c r="H518">
        <v>9</v>
      </c>
      <c r="I518">
        <v>3</v>
      </c>
      <c r="J518" t="s">
        <v>1</v>
      </c>
    </row>
    <row r="519" spans="3:10" x14ac:dyDescent="0.25">
      <c r="C519">
        <v>516</v>
      </c>
      <c r="D519">
        <v>209340884</v>
      </c>
      <c r="E519" t="s">
        <v>1507</v>
      </c>
      <c r="F519" t="s">
        <v>2938</v>
      </c>
      <c r="G519" t="s">
        <v>2243</v>
      </c>
      <c r="H519">
        <v>9</v>
      </c>
      <c r="I519">
        <v>3</v>
      </c>
      <c r="J519" t="s">
        <v>1</v>
      </c>
    </row>
    <row r="520" spans="3:10" x14ac:dyDescent="0.25">
      <c r="C520">
        <v>517</v>
      </c>
      <c r="D520">
        <v>209310164</v>
      </c>
      <c r="E520" t="s">
        <v>1508</v>
      </c>
      <c r="F520" t="s">
        <v>2939</v>
      </c>
      <c r="G520" t="s">
        <v>2243</v>
      </c>
      <c r="H520">
        <v>9</v>
      </c>
      <c r="I520">
        <v>3</v>
      </c>
      <c r="J520" t="s">
        <v>1</v>
      </c>
    </row>
    <row r="521" spans="3:10" x14ac:dyDescent="0.25">
      <c r="C521">
        <v>518</v>
      </c>
      <c r="D521">
        <v>209350976</v>
      </c>
      <c r="E521" t="s">
        <v>2940</v>
      </c>
      <c r="F521" t="s">
        <v>2941</v>
      </c>
      <c r="G521" t="s">
        <v>2243</v>
      </c>
      <c r="H521">
        <v>9</v>
      </c>
      <c r="I521">
        <v>3</v>
      </c>
      <c r="J521" t="s">
        <v>1</v>
      </c>
    </row>
    <row r="522" spans="3:10" x14ac:dyDescent="0.25">
      <c r="C522">
        <v>519</v>
      </c>
      <c r="D522">
        <v>209290890</v>
      </c>
      <c r="E522" t="s">
        <v>1509</v>
      </c>
      <c r="F522" t="s">
        <v>2942</v>
      </c>
      <c r="G522" t="s">
        <v>2243</v>
      </c>
      <c r="H522">
        <v>9</v>
      </c>
      <c r="I522">
        <v>3</v>
      </c>
      <c r="J522" t="s">
        <v>1</v>
      </c>
    </row>
    <row r="523" spans="3:10" x14ac:dyDescent="0.25">
      <c r="C523">
        <v>520</v>
      </c>
      <c r="D523">
        <v>402890621</v>
      </c>
      <c r="E523" t="s">
        <v>1510</v>
      </c>
      <c r="F523" t="s">
        <v>2943</v>
      </c>
      <c r="G523" t="s">
        <v>2243</v>
      </c>
      <c r="H523">
        <v>9</v>
      </c>
      <c r="I523">
        <v>3</v>
      </c>
      <c r="J523" t="s">
        <v>1</v>
      </c>
    </row>
    <row r="524" spans="3:10" x14ac:dyDescent="0.25">
      <c r="C524">
        <v>521</v>
      </c>
      <c r="D524">
        <v>209320842</v>
      </c>
      <c r="E524" t="s">
        <v>1511</v>
      </c>
      <c r="F524" t="s">
        <v>2944</v>
      </c>
      <c r="G524" t="s">
        <v>2243</v>
      </c>
      <c r="H524">
        <v>9</v>
      </c>
      <c r="I524">
        <v>3</v>
      </c>
      <c r="J524" t="s">
        <v>0</v>
      </c>
    </row>
    <row r="525" spans="3:10" x14ac:dyDescent="0.25">
      <c r="C525">
        <v>522</v>
      </c>
      <c r="D525">
        <v>209370076</v>
      </c>
      <c r="E525" t="s">
        <v>1512</v>
      </c>
      <c r="F525" t="s">
        <v>2945</v>
      </c>
      <c r="G525" t="s">
        <v>2243</v>
      </c>
      <c r="H525">
        <v>9</v>
      </c>
      <c r="I525">
        <v>3</v>
      </c>
      <c r="J525" t="s">
        <v>0</v>
      </c>
    </row>
    <row r="526" spans="3:10" x14ac:dyDescent="0.25">
      <c r="C526">
        <v>523</v>
      </c>
      <c r="D526">
        <v>209280085</v>
      </c>
      <c r="E526" t="s">
        <v>2946</v>
      </c>
      <c r="F526" t="s">
        <v>2947</v>
      </c>
      <c r="G526" t="s">
        <v>2243</v>
      </c>
      <c r="H526">
        <v>9</v>
      </c>
      <c r="I526">
        <v>3</v>
      </c>
      <c r="J526" t="s">
        <v>0</v>
      </c>
    </row>
    <row r="527" spans="3:10" x14ac:dyDescent="0.25">
      <c r="C527">
        <v>524</v>
      </c>
      <c r="D527">
        <v>120790563</v>
      </c>
      <c r="E527" t="s">
        <v>1513</v>
      </c>
      <c r="F527" t="s">
        <v>2948</v>
      </c>
      <c r="G527" t="s">
        <v>2243</v>
      </c>
      <c r="H527">
        <v>9</v>
      </c>
      <c r="I527">
        <v>3</v>
      </c>
      <c r="J527" t="s">
        <v>0</v>
      </c>
    </row>
    <row r="528" spans="3:10" x14ac:dyDescent="0.25">
      <c r="C528">
        <v>525</v>
      </c>
      <c r="D528">
        <v>504780974</v>
      </c>
      <c r="E528" t="s">
        <v>1515</v>
      </c>
      <c r="F528" t="s">
        <v>2949</v>
      </c>
      <c r="G528" t="s">
        <v>2243</v>
      </c>
      <c r="H528">
        <v>9</v>
      </c>
      <c r="I528">
        <v>3</v>
      </c>
      <c r="J528" t="s">
        <v>0</v>
      </c>
    </row>
    <row r="529" spans="3:10" x14ac:dyDescent="0.25">
      <c r="C529">
        <v>526</v>
      </c>
      <c r="D529">
        <v>209300230</v>
      </c>
      <c r="E529" t="s">
        <v>1585</v>
      </c>
      <c r="F529" t="s">
        <v>2950</v>
      </c>
      <c r="G529" t="s">
        <v>2243</v>
      </c>
      <c r="H529">
        <v>9</v>
      </c>
      <c r="I529">
        <v>3</v>
      </c>
      <c r="J529" t="s">
        <v>0</v>
      </c>
    </row>
    <row r="530" spans="3:10" x14ac:dyDescent="0.25">
      <c r="C530">
        <v>527</v>
      </c>
      <c r="D530">
        <v>402890599</v>
      </c>
      <c r="E530" t="s">
        <v>1516</v>
      </c>
      <c r="F530" t="s">
        <v>2951</v>
      </c>
      <c r="G530" t="s">
        <v>2243</v>
      </c>
      <c r="H530">
        <v>9</v>
      </c>
      <c r="I530">
        <v>3</v>
      </c>
      <c r="J530" t="s">
        <v>0</v>
      </c>
    </row>
    <row r="531" spans="3:10" x14ac:dyDescent="0.25">
      <c r="C531">
        <v>528</v>
      </c>
      <c r="D531">
        <v>209370294</v>
      </c>
      <c r="E531" t="s">
        <v>1517</v>
      </c>
      <c r="F531" t="s">
        <v>2952</v>
      </c>
      <c r="G531" t="s">
        <v>2243</v>
      </c>
      <c r="H531">
        <v>9</v>
      </c>
      <c r="I531">
        <v>3</v>
      </c>
      <c r="J531" t="s">
        <v>0</v>
      </c>
    </row>
    <row r="532" spans="3:10" x14ac:dyDescent="0.25">
      <c r="C532">
        <v>529</v>
      </c>
      <c r="D532">
        <v>209260010</v>
      </c>
      <c r="E532" t="s">
        <v>1518</v>
      </c>
      <c r="F532" t="s">
        <v>2953</v>
      </c>
      <c r="G532" t="s">
        <v>2243</v>
      </c>
      <c r="H532">
        <v>9</v>
      </c>
      <c r="I532">
        <v>3</v>
      </c>
      <c r="J532" t="s">
        <v>0</v>
      </c>
    </row>
    <row r="533" spans="3:10" x14ac:dyDescent="0.25">
      <c r="C533">
        <v>530</v>
      </c>
      <c r="D533">
        <v>209280835</v>
      </c>
      <c r="E533" t="s">
        <v>1520</v>
      </c>
      <c r="F533" t="s">
        <v>2954</v>
      </c>
      <c r="G533" t="s">
        <v>2243</v>
      </c>
      <c r="H533">
        <v>9</v>
      </c>
      <c r="I533">
        <v>3</v>
      </c>
      <c r="J533" t="s">
        <v>0</v>
      </c>
    </row>
    <row r="534" spans="3:10" x14ac:dyDescent="0.25">
      <c r="C534">
        <v>531</v>
      </c>
      <c r="D534">
        <v>209350222</v>
      </c>
      <c r="E534" t="s">
        <v>1519</v>
      </c>
      <c r="F534" t="s">
        <v>2955</v>
      </c>
      <c r="G534" t="s">
        <v>2243</v>
      </c>
      <c r="H534">
        <v>9</v>
      </c>
      <c r="I534">
        <v>3</v>
      </c>
      <c r="J534" t="s">
        <v>0</v>
      </c>
    </row>
    <row r="535" spans="3:10" x14ac:dyDescent="0.25">
      <c r="C535">
        <v>532</v>
      </c>
      <c r="D535">
        <v>209370186</v>
      </c>
      <c r="E535" t="s">
        <v>1521</v>
      </c>
      <c r="F535" t="s">
        <v>2956</v>
      </c>
      <c r="G535" t="s">
        <v>2243</v>
      </c>
      <c r="H535">
        <v>9</v>
      </c>
      <c r="I535">
        <v>3</v>
      </c>
      <c r="J535" t="s">
        <v>0</v>
      </c>
    </row>
    <row r="536" spans="3:10" x14ac:dyDescent="0.25">
      <c r="C536">
        <v>533</v>
      </c>
      <c r="D536">
        <v>209260768</v>
      </c>
      <c r="E536" t="s">
        <v>1522</v>
      </c>
      <c r="F536" t="s">
        <v>2957</v>
      </c>
      <c r="G536" t="s">
        <v>2243</v>
      </c>
      <c r="H536">
        <v>9</v>
      </c>
      <c r="I536">
        <v>3</v>
      </c>
      <c r="J536" t="s">
        <v>0</v>
      </c>
    </row>
    <row r="537" spans="3:10" x14ac:dyDescent="0.25">
      <c r="C537">
        <v>534</v>
      </c>
      <c r="D537">
        <v>209080473</v>
      </c>
      <c r="E537" t="s">
        <v>1523</v>
      </c>
      <c r="F537" t="s">
        <v>2958</v>
      </c>
      <c r="G537" t="s">
        <v>2243</v>
      </c>
      <c r="H537">
        <v>9</v>
      </c>
      <c r="I537">
        <v>3</v>
      </c>
      <c r="J537" t="s">
        <v>0</v>
      </c>
    </row>
    <row r="538" spans="3:10" x14ac:dyDescent="0.25">
      <c r="C538">
        <v>535</v>
      </c>
      <c r="D538">
        <v>209080172</v>
      </c>
      <c r="E538" t="s">
        <v>1524</v>
      </c>
      <c r="F538" t="s">
        <v>2959</v>
      </c>
      <c r="G538" t="s">
        <v>2243</v>
      </c>
      <c r="H538">
        <v>9</v>
      </c>
      <c r="I538">
        <v>3</v>
      </c>
      <c r="J538" t="s">
        <v>0</v>
      </c>
    </row>
    <row r="539" spans="3:10" x14ac:dyDescent="0.25">
      <c r="C539">
        <v>536</v>
      </c>
      <c r="D539">
        <v>209320253</v>
      </c>
      <c r="E539" t="s">
        <v>1525</v>
      </c>
      <c r="F539" t="s">
        <v>2960</v>
      </c>
      <c r="G539" t="s">
        <v>2243</v>
      </c>
      <c r="H539">
        <v>9</v>
      </c>
      <c r="I539">
        <v>4</v>
      </c>
      <c r="J539" t="s">
        <v>1</v>
      </c>
    </row>
    <row r="540" spans="3:10" x14ac:dyDescent="0.25">
      <c r="C540">
        <v>537</v>
      </c>
      <c r="D540">
        <v>209270427</v>
      </c>
      <c r="E540" t="s">
        <v>1526</v>
      </c>
      <c r="F540" t="s">
        <v>2961</v>
      </c>
      <c r="G540" t="s">
        <v>2243</v>
      </c>
      <c r="H540">
        <v>9</v>
      </c>
      <c r="I540">
        <v>4</v>
      </c>
      <c r="J540" t="s">
        <v>1</v>
      </c>
    </row>
    <row r="541" spans="3:10" x14ac:dyDescent="0.25">
      <c r="C541">
        <v>538</v>
      </c>
      <c r="D541">
        <v>209340614</v>
      </c>
      <c r="E541" t="s">
        <v>1527</v>
      </c>
      <c r="F541" t="s">
        <v>2962</v>
      </c>
      <c r="G541" t="s">
        <v>2243</v>
      </c>
      <c r="H541">
        <v>9</v>
      </c>
      <c r="I541">
        <v>4</v>
      </c>
      <c r="J541" t="s">
        <v>1</v>
      </c>
    </row>
    <row r="542" spans="3:10" x14ac:dyDescent="0.25">
      <c r="C542">
        <v>539</v>
      </c>
      <c r="D542">
        <v>210930405</v>
      </c>
      <c r="E542" t="s">
        <v>1528</v>
      </c>
      <c r="F542" t="s">
        <v>2963</v>
      </c>
      <c r="G542" t="s">
        <v>2243</v>
      </c>
      <c r="H542">
        <v>9</v>
      </c>
      <c r="I542">
        <v>4</v>
      </c>
      <c r="J542" t="s">
        <v>1</v>
      </c>
    </row>
    <row r="543" spans="3:10" x14ac:dyDescent="0.25">
      <c r="C543">
        <v>540</v>
      </c>
      <c r="D543">
        <v>402850338</v>
      </c>
      <c r="E543" t="s">
        <v>1749</v>
      </c>
      <c r="F543" t="s">
        <v>2964</v>
      </c>
      <c r="G543" t="s">
        <v>2243</v>
      </c>
      <c r="H543">
        <v>9</v>
      </c>
      <c r="I543">
        <v>4</v>
      </c>
      <c r="J543" t="s">
        <v>1</v>
      </c>
    </row>
    <row r="544" spans="3:10" x14ac:dyDescent="0.25">
      <c r="C544">
        <v>541</v>
      </c>
      <c r="D544">
        <v>209280830</v>
      </c>
      <c r="E544" t="s">
        <v>1530</v>
      </c>
      <c r="F544" t="s">
        <v>2965</v>
      </c>
      <c r="G544" t="s">
        <v>2243</v>
      </c>
      <c r="H544">
        <v>9</v>
      </c>
      <c r="I544">
        <v>4</v>
      </c>
      <c r="J544" t="s">
        <v>1</v>
      </c>
    </row>
    <row r="545" spans="3:10" x14ac:dyDescent="0.25">
      <c r="C545">
        <v>542</v>
      </c>
      <c r="D545">
        <v>120950326</v>
      </c>
      <c r="E545" t="s">
        <v>1531</v>
      </c>
      <c r="F545" t="s">
        <v>2966</v>
      </c>
      <c r="G545" t="s">
        <v>2243</v>
      </c>
      <c r="H545">
        <v>9</v>
      </c>
      <c r="I545">
        <v>4</v>
      </c>
      <c r="J545" t="s">
        <v>1</v>
      </c>
    </row>
    <row r="546" spans="3:10" x14ac:dyDescent="0.25">
      <c r="C546">
        <v>543</v>
      </c>
      <c r="D546">
        <v>209320360</v>
      </c>
      <c r="E546" t="s">
        <v>1532</v>
      </c>
      <c r="F546" t="s">
        <v>2967</v>
      </c>
      <c r="G546" t="s">
        <v>2243</v>
      </c>
      <c r="H546">
        <v>9</v>
      </c>
      <c r="I546">
        <v>4</v>
      </c>
      <c r="J546" t="s">
        <v>1</v>
      </c>
    </row>
    <row r="547" spans="3:10" x14ac:dyDescent="0.25">
      <c r="C547">
        <v>544</v>
      </c>
      <c r="D547">
        <v>402870396</v>
      </c>
      <c r="E547" t="s">
        <v>1533</v>
      </c>
      <c r="F547" t="s">
        <v>2968</v>
      </c>
      <c r="G547" t="s">
        <v>2243</v>
      </c>
      <c r="H547">
        <v>9</v>
      </c>
      <c r="I547">
        <v>4</v>
      </c>
      <c r="J547" t="s">
        <v>1</v>
      </c>
    </row>
    <row r="548" spans="3:10" x14ac:dyDescent="0.25">
      <c r="C548">
        <v>545</v>
      </c>
      <c r="D548">
        <v>402880283</v>
      </c>
      <c r="E548" t="s">
        <v>1534</v>
      </c>
      <c r="F548" t="s">
        <v>2969</v>
      </c>
      <c r="G548" t="s">
        <v>2243</v>
      </c>
      <c r="H548">
        <v>9</v>
      </c>
      <c r="I548">
        <v>4</v>
      </c>
      <c r="J548" t="s">
        <v>1</v>
      </c>
    </row>
    <row r="549" spans="3:10" x14ac:dyDescent="0.25">
      <c r="C549">
        <v>546</v>
      </c>
      <c r="D549">
        <v>209280960</v>
      </c>
      <c r="E549" t="s">
        <v>1535</v>
      </c>
      <c r="F549" t="s">
        <v>2970</v>
      </c>
      <c r="G549" t="s">
        <v>2243</v>
      </c>
      <c r="H549">
        <v>9</v>
      </c>
      <c r="I549">
        <v>4</v>
      </c>
      <c r="J549" t="s">
        <v>1</v>
      </c>
    </row>
    <row r="550" spans="3:10" x14ac:dyDescent="0.25">
      <c r="C550">
        <v>547</v>
      </c>
      <c r="D550">
        <v>209070502</v>
      </c>
      <c r="E550" t="s">
        <v>1536</v>
      </c>
      <c r="F550" t="s">
        <v>2971</v>
      </c>
      <c r="G550" t="s">
        <v>2243</v>
      </c>
      <c r="H550">
        <v>9</v>
      </c>
      <c r="I550">
        <v>4</v>
      </c>
      <c r="J550" t="s">
        <v>1</v>
      </c>
    </row>
    <row r="551" spans="3:10" x14ac:dyDescent="0.25">
      <c r="C551">
        <v>548</v>
      </c>
      <c r="D551">
        <v>402850979</v>
      </c>
      <c r="E551" t="s">
        <v>1537</v>
      </c>
      <c r="F551" t="s">
        <v>2972</v>
      </c>
      <c r="G551" t="s">
        <v>2243</v>
      </c>
      <c r="H551">
        <v>9</v>
      </c>
      <c r="I551">
        <v>4</v>
      </c>
      <c r="J551" t="s">
        <v>1</v>
      </c>
    </row>
    <row r="552" spans="3:10" x14ac:dyDescent="0.25">
      <c r="C552">
        <v>549</v>
      </c>
      <c r="D552">
        <v>120910054</v>
      </c>
      <c r="E552" t="s">
        <v>1538</v>
      </c>
      <c r="F552" t="s">
        <v>2973</v>
      </c>
      <c r="G552" t="s">
        <v>2243</v>
      </c>
      <c r="H552">
        <v>9</v>
      </c>
      <c r="I552">
        <v>4</v>
      </c>
      <c r="J552" t="s">
        <v>1</v>
      </c>
    </row>
    <row r="553" spans="3:10" x14ac:dyDescent="0.25">
      <c r="C553">
        <v>550</v>
      </c>
      <c r="D553">
        <v>901250616</v>
      </c>
      <c r="E553" t="s">
        <v>1539</v>
      </c>
      <c r="F553" t="s">
        <v>2974</v>
      </c>
      <c r="G553" t="s">
        <v>2243</v>
      </c>
      <c r="H553">
        <v>9</v>
      </c>
      <c r="I553">
        <v>4</v>
      </c>
      <c r="J553" t="s">
        <v>1</v>
      </c>
    </row>
    <row r="554" spans="3:10" x14ac:dyDescent="0.25">
      <c r="C554">
        <v>551</v>
      </c>
      <c r="D554">
        <v>209280071</v>
      </c>
      <c r="E554" t="s">
        <v>1540</v>
      </c>
      <c r="F554" t="s">
        <v>2975</v>
      </c>
      <c r="G554" t="s">
        <v>2243</v>
      </c>
      <c r="H554">
        <v>9</v>
      </c>
      <c r="I554">
        <v>4</v>
      </c>
      <c r="J554" t="s">
        <v>0</v>
      </c>
    </row>
    <row r="555" spans="3:10" x14ac:dyDescent="0.25">
      <c r="C555">
        <v>552</v>
      </c>
      <c r="D555">
        <v>209280842</v>
      </c>
      <c r="E555" t="s">
        <v>1542</v>
      </c>
      <c r="F555" t="s">
        <v>2976</v>
      </c>
      <c r="G555" t="s">
        <v>2243</v>
      </c>
      <c r="H555">
        <v>9</v>
      </c>
      <c r="I555">
        <v>4</v>
      </c>
      <c r="J555" t="s">
        <v>0</v>
      </c>
    </row>
    <row r="556" spans="3:10" x14ac:dyDescent="0.25">
      <c r="C556">
        <v>553</v>
      </c>
      <c r="D556">
        <v>120860657</v>
      </c>
      <c r="E556" t="s">
        <v>1543</v>
      </c>
      <c r="F556" t="s">
        <v>2977</v>
      </c>
      <c r="G556" t="s">
        <v>2243</v>
      </c>
      <c r="H556">
        <v>9</v>
      </c>
      <c r="I556">
        <v>4</v>
      </c>
      <c r="J556" t="s">
        <v>0</v>
      </c>
    </row>
    <row r="557" spans="3:10" x14ac:dyDescent="0.25">
      <c r="C557">
        <v>554</v>
      </c>
      <c r="D557">
        <v>402870015</v>
      </c>
      <c r="E557" t="s">
        <v>1544</v>
      </c>
      <c r="F557" t="s">
        <v>2978</v>
      </c>
      <c r="G557" t="s">
        <v>2243</v>
      </c>
      <c r="H557">
        <v>9</v>
      </c>
      <c r="I557">
        <v>4</v>
      </c>
      <c r="J557" t="s">
        <v>0</v>
      </c>
    </row>
    <row r="558" spans="3:10" x14ac:dyDescent="0.25">
      <c r="C558">
        <v>555</v>
      </c>
      <c r="D558">
        <v>402860091</v>
      </c>
      <c r="E558" t="s">
        <v>1545</v>
      </c>
      <c r="F558" t="s">
        <v>2979</v>
      </c>
      <c r="G558" t="s">
        <v>2243</v>
      </c>
      <c r="H558">
        <v>9</v>
      </c>
      <c r="I558">
        <v>4</v>
      </c>
      <c r="J558" t="s">
        <v>0</v>
      </c>
    </row>
    <row r="559" spans="3:10" x14ac:dyDescent="0.25">
      <c r="C559">
        <v>556</v>
      </c>
      <c r="D559">
        <v>209360642</v>
      </c>
      <c r="E559" t="s">
        <v>1546</v>
      </c>
      <c r="F559" t="s">
        <v>2980</v>
      </c>
      <c r="G559" t="s">
        <v>2243</v>
      </c>
      <c r="H559">
        <v>9</v>
      </c>
      <c r="I559">
        <v>4</v>
      </c>
      <c r="J559" t="s">
        <v>0</v>
      </c>
    </row>
    <row r="560" spans="3:10" x14ac:dyDescent="0.25">
      <c r="C560">
        <v>557</v>
      </c>
      <c r="D560">
        <v>209270800</v>
      </c>
      <c r="E560" t="s">
        <v>1547</v>
      </c>
      <c r="F560" t="s">
        <v>2981</v>
      </c>
      <c r="G560" t="s">
        <v>2243</v>
      </c>
      <c r="H560">
        <v>9</v>
      </c>
      <c r="I560">
        <v>4</v>
      </c>
      <c r="J560" t="s">
        <v>0</v>
      </c>
    </row>
    <row r="561" spans="3:10" x14ac:dyDescent="0.25">
      <c r="C561">
        <v>558</v>
      </c>
      <c r="D561">
        <v>209210075</v>
      </c>
      <c r="E561" t="s">
        <v>1548</v>
      </c>
      <c r="F561" t="s">
        <v>2982</v>
      </c>
      <c r="G561" t="s">
        <v>2243</v>
      </c>
      <c r="H561">
        <v>9</v>
      </c>
      <c r="I561">
        <v>4</v>
      </c>
      <c r="J561" t="s">
        <v>0</v>
      </c>
    </row>
    <row r="562" spans="3:10" x14ac:dyDescent="0.25">
      <c r="C562">
        <v>559</v>
      </c>
      <c r="D562">
        <v>402870611</v>
      </c>
      <c r="E562" t="s">
        <v>1549</v>
      </c>
      <c r="F562" t="s">
        <v>2983</v>
      </c>
      <c r="G562" t="s">
        <v>2243</v>
      </c>
      <c r="H562">
        <v>9</v>
      </c>
      <c r="I562">
        <v>4</v>
      </c>
      <c r="J562" t="s">
        <v>0</v>
      </c>
    </row>
    <row r="563" spans="3:10" x14ac:dyDescent="0.25">
      <c r="C563">
        <v>560</v>
      </c>
      <c r="D563">
        <v>605200585</v>
      </c>
      <c r="E563" t="s">
        <v>1550</v>
      </c>
      <c r="F563" t="s">
        <v>2984</v>
      </c>
      <c r="G563" t="s">
        <v>2243</v>
      </c>
      <c r="H563">
        <v>9</v>
      </c>
      <c r="I563">
        <v>4</v>
      </c>
      <c r="J563" t="s">
        <v>0</v>
      </c>
    </row>
    <row r="564" spans="3:10" x14ac:dyDescent="0.25">
      <c r="C564">
        <v>561</v>
      </c>
      <c r="D564">
        <v>120790084</v>
      </c>
      <c r="E564" t="s">
        <v>1551</v>
      </c>
      <c r="F564" t="s">
        <v>2985</v>
      </c>
      <c r="G564" t="s">
        <v>2243</v>
      </c>
      <c r="H564">
        <v>9</v>
      </c>
      <c r="I564">
        <v>4</v>
      </c>
      <c r="J564" t="s">
        <v>0</v>
      </c>
    </row>
    <row r="565" spans="3:10" x14ac:dyDescent="0.25">
      <c r="C565">
        <v>562</v>
      </c>
      <c r="D565">
        <v>209250593</v>
      </c>
      <c r="E565" t="s">
        <v>1580</v>
      </c>
      <c r="F565" t="s">
        <v>2986</v>
      </c>
      <c r="G565" t="s">
        <v>2243</v>
      </c>
      <c r="H565">
        <v>9</v>
      </c>
      <c r="I565">
        <v>4</v>
      </c>
      <c r="J565" t="s">
        <v>0</v>
      </c>
    </row>
    <row r="566" spans="3:10" x14ac:dyDescent="0.25">
      <c r="C566">
        <v>563</v>
      </c>
      <c r="D566">
        <v>209320328</v>
      </c>
      <c r="E566" t="s">
        <v>1552</v>
      </c>
      <c r="F566" t="s">
        <v>2987</v>
      </c>
      <c r="G566" t="s">
        <v>2243</v>
      </c>
      <c r="H566">
        <v>9</v>
      </c>
      <c r="I566">
        <v>4</v>
      </c>
      <c r="J566" t="s">
        <v>0</v>
      </c>
    </row>
    <row r="567" spans="3:10" x14ac:dyDescent="0.25">
      <c r="C567">
        <v>564</v>
      </c>
      <c r="D567">
        <v>402880711</v>
      </c>
      <c r="E567" t="s">
        <v>1553</v>
      </c>
      <c r="F567" t="s">
        <v>2988</v>
      </c>
      <c r="G567" t="s">
        <v>2243</v>
      </c>
      <c r="H567">
        <v>9</v>
      </c>
      <c r="I567">
        <v>5</v>
      </c>
      <c r="J567" t="s">
        <v>1</v>
      </c>
    </row>
    <row r="568" spans="3:10" x14ac:dyDescent="0.25">
      <c r="C568">
        <v>565</v>
      </c>
      <c r="D568">
        <v>402860614</v>
      </c>
      <c r="E568" t="s">
        <v>1555</v>
      </c>
      <c r="F568" t="s">
        <v>2989</v>
      </c>
      <c r="G568" t="s">
        <v>2243</v>
      </c>
      <c r="H568">
        <v>9</v>
      </c>
      <c r="I568">
        <v>5</v>
      </c>
      <c r="J568" t="s">
        <v>1</v>
      </c>
    </row>
    <row r="569" spans="3:10" x14ac:dyDescent="0.25">
      <c r="C569">
        <v>566</v>
      </c>
      <c r="D569">
        <v>209220845</v>
      </c>
      <c r="E569" t="s">
        <v>1514</v>
      </c>
      <c r="F569" t="s">
        <v>2990</v>
      </c>
      <c r="G569" t="s">
        <v>2243</v>
      </c>
      <c r="H569">
        <v>9</v>
      </c>
      <c r="I569">
        <v>5</v>
      </c>
      <c r="J569" t="s">
        <v>1</v>
      </c>
    </row>
    <row r="570" spans="3:10" x14ac:dyDescent="0.25">
      <c r="C570">
        <v>567</v>
      </c>
      <c r="D570">
        <v>605170622</v>
      </c>
      <c r="E570" t="s">
        <v>1556</v>
      </c>
      <c r="F570" t="s">
        <v>2991</v>
      </c>
      <c r="G570" t="s">
        <v>2243</v>
      </c>
      <c r="H570">
        <v>9</v>
      </c>
      <c r="I570">
        <v>5</v>
      </c>
      <c r="J570" t="s">
        <v>1</v>
      </c>
    </row>
    <row r="571" spans="3:10" x14ac:dyDescent="0.25">
      <c r="C571">
        <v>568</v>
      </c>
      <c r="D571">
        <v>209280780</v>
      </c>
      <c r="E571" t="s">
        <v>1559</v>
      </c>
      <c r="F571" t="s">
        <v>2992</v>
      </c>
      <c r="G571" t="s">
        <v>2243</v>
      </c>
      <c r="H571">
        <v>9</v>
      </c>
      <c r="I571">
        <v>5</v>
      </c>
      <c r="J571" t="s">
        <v>1</v>
      </c>
    </row>
    <row r="572" spans="3:10" x14ac:dyDescent="0.25">
      <c r="C572">
        <v>569</v>
      </c>
      <c r="D572">
        <v>402880893</v>
      </c>
      <c r="E572" t="s">
        <v>1560</v>
      </c>
      <c r="F572" t="s">
        <v>2993</v>
      </c>
      <c r="G572" t="s">
        <v>2243</v>
      </c>
      <c r="H572">
        <v>9</v>
      </c>
      <c r="I572">
        <v>5</v>
      </c>
      <c r="J572" t="s">
        <v>1</v>
      </c>
    </row>
    <row r="573" spans="3:10" x14ac:dyDescent="0.25">
      <c r="C573">
        <v>570</v>
      </c>
      <c r="D573">
        <v>120340317</v>
      </c>
      <c r="E573" t="s">
        <v>1561</v>
      </c>
      <c r="F573" t="s">
        <v>2994</v>
      </c>
      <c r="G573" t="s">
        <v>2243</v>
      </c>
      <c r="H573">
        <v>9</v>
      </c>
      <c r="I573">
        <v>5</v>
      </c>
      <c r="J573" t="s">
        <v>1</v>
      </c>
    </row>
    <row r="574" spans="3:10" x14ac:dyDescent="0.25">
      <c r="C574">
        <v>571</v>
      </c>
      <c r="D574">
        <v>402870519</v>
      </c>
      <c r="E574" t="s">
        <v>1493</v>
      </c>
      <c r="F574" t="s">
        <v>2995</v>
      </c>
      <c r="G574" t="s">
        <v>2243</v>
      </c>
      <c r="H574">
        <v>9</v>
      </c>
      <c r="I574">
        <v>5</v>
      </c>
      <c r="J574" t="s">
        <v>1</v>
      </c>
    </row>
    <row r="575" spans="3:10" x14ac:dyDescent="0.25">
      <c r="C575">
        <v>572</v>
      </c>
      <c r="D575">
        <v>402860817</v>
      </c>
      <c r="E575" t="s">
        <v>1562</v>
      </c>
      <c r="F575" t="s">
        <v>2996</v>
      </c>
      <c r="G575" t="s">
        <v>2243</v>
      </c>
      <c r="H575">
        <v>9</v>
      </c>
      <c r="I575">
        <v>5</v>
      </c>
      <c r="J575" t="s">
        <v>1</v>
      </c>
    </row>
    <row r="576" spans="3:10" x14ac:dyDescent="0.25">
      <c r="C576">
        <v>573</v>
      </c>
      <c r="D576">
        <v>209250284</v>
      </c>
      <c r="E576" t="s">
        <v>1563</v>
      </c>
      <c r="F576" t="s">
        <v>2997</v>
      </c>
      <c r="G576" t="s">
        <v>2243</v>
      </c>
      <c r="H576">
        <v>9</v>
      </c>
      <c r="I576">
        <v>5</v>
      </c>
      <c r="J576" t="s">
        <v>1</v>
      </c>
    </row>
    <row r="577" spans="3:10" x14ac:dyDescent="0.25">
      <c r="C577">
        <v>574</v>
      </c>
      <c r="D577">
        <v>209290507</v>
      </c>
      <c r="E577" t="s">
        <v>1564</v>
      </c>
      <c r="F577" t="s">
        <v>2998</v>
      </c>
      <c r="G577" t="s">
        <v>2243</v>
      </c>
      <c r="H577">
        <v>9</v>
      </c>
      <c r="I577">
        <v>5</v>
      </c>
      <c r="J577" t="s">
        <v>1</v>
      </c>
    </row>
    <row r="578" spans="3:10" x14ac:dyDescent="0.25">
      <c r="C578">
        <v>575</v>
      </c>
      <c r="D578">
        <v>209240262</v>
      </c>
      <c r="E578" t="s">
        <v>1565</v>
      </c>
      <c r="F578" t="s">
        <v>2999</v>
      </c>
      <c r="G578" t="s">
        <v>2243</v>
      </c>
      <c r="H578">
        <v>9</v>
      </c>
      <c r="I578">
        <v>5</v>
      </c>
      <c r="J578" t="s">
        <v>1</v>
      </c>
    </row>
    <row r="579" spans="3:10" x14ac:dyDescent="0.25">
      <c r="C579">
        <v>576</v>
      </c>
      <c r="D579">
        <v>402890187</v>
      </c>
      <c r="E579" t="s">
        <v>1566</v>
      </c>
      <c r="F579" t="s">
        <v>3000</v>
      </c>
      <c r="G579" t="s">
        <v>2243</v>
      </c>
      <c r="H579">
        <v>9</v>
      </c>
      <c r="I579">
        <v>5</v>
      </c>
      <c r="J579" t="s">
        <v>1</v>
      </c>
    </row>
    <row r="580" spans="3:10" x14ac:dyDescent="0.25">
      <c r="C580">
        <v>577</v>
      </c>
      <c r="D580">
        <v>402890186</v>
      </c>
      <c r="E580" t="s">
        <v>1567</v>
      </c>
      <c r="F580" t="s">
        <v>3001</v>
      </c>
      <c r="G580" t="s">
        <v>2243</v>
      </c>
      <c r="H580">
        <v>9</v>
      </c>
      <c r="I580">
        <v>5</v>
      </c>
      <c r="J580" t="s">
        <v>1</v>
      </c>
    </row>
    <row r="581" spans="3:10" x14ac:dyDescent="0.25">
      <c r="C581">
        <v>578</v>
      </c>
      <c r="D581">
        <v>209310546</v>
      </c>
      <c r="E581" t="s">
        <v>1568</v>
      </c>
      <c r="F581" t="s">
        <v>3002</v>
      </c>
      <c r="G581" t="s">
        <v>2243</v>
      </c>
      <c r="H581">
        <v>9</v>
      </c>
      <c r="I581">
        <v>5</v>
      </c>
      <c r="J581" t="s">
        <v>0</v>
      </c>
    </row>
    <row r="582" spans="3:10" x14ac:dyDescent="0.25">
      <c r="C582">
        <v>579</v>
      </c>
      <c r="D582">
        <v>209290997</v>
      </c>
      <c r="E582" t="s">
        <v>3003</v>
      </c>
      <c r="F582" t="s">
        <v>3004</v>
      </c>
      <c r="G582" t="s">
        <v>2243</v>
      </c>
      <c r="H582">
        <v>9</v>
      </c>
      <c r="I582">
        <v>5</v>
      </c>
      <c r="J582" t="s">
        <v>0</v>
      </c>
    </row>
    <row r="583" spans="3:10" x14ac:dyDescent="0.25">
      <c r="C583">
        <v>580</v>
      </c>
      <c r="D583">
        <v>209310643</v>
      </c>
      <c r="E583" t="s">
        <v>1569</v>
      </c>
      <c r="F583" t="s">
        <v>3005</v>
      </c>
      <c r="G583" t="s">
        <v>2243</v>
      </c>
      <c r="H583">
        <v>9</v>
      </c>
      <c r="I583">
        <v>5</v>
      </c>
      <c r="J583" t="s">
        <v>0</v>
      </c>
    </row>
    <row r="584" spans="3:10" x14ac:dyDescent="0.25">
      <c r="C584">
        <v>581</v>
      </c>
      <c r="D584">
        <v>209330631</v>
      </c>
      <c r="E584" t="s">
        <v>1570</v>
      </c>
      <c r="F584" t="s">
        <v>3006</v>
      </c>
      <c r="G584" t="s">
        <v>2243</v>
      </c>
      <c r="H584">
        <v>9</v>
      </c>
      <c r="I584">
        <v>5</v>
      </c>
      <c r="J584" t="s">
        <v>0</v>
      </c>
    </row>
    <row r="585" spans="3:10" x14ac:dyDescent="0.25">
      <c r="C585">
        <v>582</v>
      </c>
      <c r="D585">
        <v>402870083</v>
      </c>
      <c r="E585" t="s">
        <v>1571</v>
      </c>
      <c r="F585" t="s">
        <v>3007</v>
      </c>
      <c r="G585" t="s">
        <v>2243</v>
      </c>
      <c r="H585">
        <v>9</v>
      </c>
      <c r="I585">
        <v>5</v>
      </c>
      <c r="J585" t="s">
        <v>0</v>
      </c>
    </row>
    <row r="586" spans="3:10" x14ac:dyDescent="0.25">
      <c r="C586">
        <v>583</v>
      </c>
      <c r="D586">
        <v>209370004</v>
      </c>
      <c r="E586" t="s">
        <v>1572</v>
      </c>
      <c r="F586" t="s">
        <v>3008</v>
      </c>
      <c r="G586" t="s">
        <v>2243</v>
      </c>
      <c r="H586">
        <v>9</v>
      </c>
      <c r="I586">
        <v>5</v>
      </c>
      <c r="J586" t="s">
        <v>0</v>
      </c>
    </row>
    <row r="587" spans="3:10" x14ac:dyDescent="0.25">
      <c r="C587">
        <v>584</v>
      </c>
      <c r="D587">
        <v>209350282</v>
      </c>
      <c r="E587" t="s">
        <v>1573</v>
      </c>
      <c r="F587" t="s">
        <v>3009</v>
      </c>
      <c r="G587" t="s">
        <v>2243</v>
      </c>
      <c r="H587">
        <v>9</v>
      </c>
      <c r="I587">
        <v>5</v>
      </c>
      <c r="J587" t="s">
        <v>0</v>
      </c>
    </row>
    <row r="588" spans="3:10" x14ac:dyDescent="0.25">
      <c r="C588">
        <v>585</v>
      </c>
      <c r="D588">
        <v>209280278</v>
      </c>
      <c r="E588" t="s">
        <v>1574</v>
      </c>
      <c r="F588" t="s">
        <v>3010</v>
      </c>
      <c r="G588" t="s">
        <v>2243</v>
      </c>
      <c r="H588">
        <v>9</v>
      </c>
      <c r="I588">
        <v>5</v>
      </c>
      <c r="J588" t="s">
        <v>0</v>
      </c>
    </row>
    <row r="589" spans="3:10" x14ac:dyDescent="0.25">
      <c r="C589">
        <v>586</v>
      </c>
      <c r="D589">
        <v>305930160</v>
      </c>
      <c r="E589" t="s">
        <v>1575</v>
      </c>
      <c r="F589" t="s">
        <v>3011</v>
      </c>
      <c r="G589" t="s">
        <v>2243</v>
      </c>
      <c r="H589">
        <v>9</v>
      </c>
      <c r="I589">
        <v>5</v>
      </c>
      <c r="J589" t="s">
        <v>0</v>
      </c>
    </row>
    <row r="590" spans="3:10" x14ac:dyDescent="0.25">
      <c r="C590">
        <v>587</v>
      </c>
      <c r="D590">
        <v>402850715</v>
      </c>
      <c r="E590" t="s">
        <v>1576</v>
      </c>
      <c r="F590" t="s">
        <v>3012</v>
      </c>
      <c r="G590" t="s">
        <v>2243</v>
      </c>
      <c r="H590">
        <v>9</v>
      </c>
      <c r="I590">
        <v>5</v>
      </c>
      <c r="J590" t="s">
        <v>0</v>
      </c>
    </row>
    <row r="591" spans="3:10" x14ac:dyDescent="0.25">
      <c r="C591">
        <v>588</v>
      </c>
      <c r="D591">
        <v>120820979</v>
      </c>
      <c r="E591" t="s">
        <v>1577</v>
      </c>
      <c r="F591" t="s">
        <v>3013</v>
      </c>
      <c r="G591" t="s">
        <v>2243</v>
      </c>
      <c r="H591">
        <v>9</v>
      </c>
      <c r="I591">
        <v>5</v>
      </c>
      <c r="J591" t="s">
        <v>0</v>
      </c>
    </row>
    <row r="592" spans="3:10" x14ac:dyDescent="0.25">
      <c r="C592">
        <v>589</v>
      </c>
      <c r="D592">
        <v>209280628</v>
      </c>
      <c r="E592" t="s">
        <v>1578</v>
      </c>
      <c r="F592" t="s">
        <v>3014</v>
      </c>
      <c r="G592" t="s">
        <v>2243</v>
      </c>
      <c r="H592">
        <v>9</v>
      </c>
      <c r="I592">
        <v>5</v>
      </c>
      <c r="J592" t="s">
        <v>0</v>
      </c>
    </row>
    <row r="593" spans="3:10" x14ac:dyDescent="0.25">
      <c r="C593">
        <v>590</v>
      </c>
      <c r="D593">
        <v>209330097</v>
      </c>
      <c r="E593" t="s">
        <v>1579</v>
      </c>
      <c r="F593" t="s">
        <v>3015</v>
      </c>
      <c r="G593" t="s">
        <v>2243</v>
      </c>
      <c r="H593">
        <v>9</v>
      </c>
      <c r="I593">
        <v>5</v>
      </c>
      <c r="J593" t="s">
        <v>0</v>
      </c>
    </row>
    <row r="594" spans="3:10" x14ac:dyDescent="0.25">
      <c r="C594">
        <v>591</v>
      </c>
      <c r="D594">
        <v>209320107</v>
      </c>
      <c r="E594" t="s">
        <v>1581</v>
      </c>
      <c r="F594" t="s">
        <v>3016</v>
      </c>
      <c r="G594" t="s">
        <v>2243</v>
      </c>
      <c r="H594">
        <v>9</v>
      </c>
      <c r="I594">
        <v>6</v>
      </c>
      <c r="J594" t="s">
        <v>1</v>
      </c>
    </row>
    <row r="595" spans="3:10" x14ac:dyDescent="0.25">
      <c r="C595">
        <v>592</v>
      </c>
      <c r="D595">
        <v>209280470</v>
      </c>
      <c r="E595" t="s">
        <v>1582</v>
      </c>
      <c r="F595" t="s">
        <v>3017</v>
      </c>
      <c r="G595" t="s">
        <v>2243</v>
      </c>
      <c r="H595">
        <v>9</v>
      </c>
      <c r="I595">
        <v>6</v>
      </c>
      <c r="J595" t="s">
        <v>1</v>
      </c>
    </row>
    <row r="596" spans="3:10" x14ac:dyDescent="0.25">
      <c r="C596">
        <v>593</v>
      </c>
      <c r="D596">
        <v>120720903</v>
      </c>
      <c r="E596" t="s">
        <v>3018</v>
      </c>
      <c r="F596" t="s">
        <v>3019</v>
      </c>
      <c r="G596" t="s">
        <v>2243</v>
      </c>
      <c r="H596">
        <v>9</v>
      </c>
      <c r="I596">
        <v>6</v>
      </c>
      <c r="J596" t="s">
        <v>1</v>
      </c>
    </row>
    <row r="597" spans="3:10" x14ac:dyDescent="0.25">
      <c r="C597">
        <v>594</v>
      </c>
      <c r="D597">
        <v>209360408</v>
      </c>
      <c r="E597" t="s">
        <v>1583</v>
      </c>
      <c r="F597" t="s">
        <v>3020</v>
      </c>
      <c r="G597" t="s">
        <v>2243</v>
      </c>
      <c r="H597">
        <v>9</v>
      </c>
      <c r="I597">
        <v>6</v>
      </c>
      <c r="J597" t="s">
        <v>1</v>
      </c>
    </row>
    <row r="598" spans="3:10" x14ac:dyDescent="0.25">
      <c r="C598">
        <v>595</v>
      </c>
      <c r="D598">
        <v>402880338</v>
      </c>
      <c r="E598" t="s">
        <v>1584</v>
      </c>
      <c r="F598" t="s">
        <v>3021</v>
      </c>
      <c r="G598" t="s">
        <v>2243</v>
      </c>
      <c r="H598">
        <v>9</v>
      </c>
      <c r="I598">
        <v>6</v>
      </c>
      <c r="J598" t="s">
        <v>1</v>
      </c>
    </row>
    <row r="599" spans="3:10" x14ac:dyDescent="0.25">
      <c r="C599">
        <v>596</v>
      </c>
      <c r="D599">
        <v>209310159</v>
      </c>
      <c r="E599" t="s">
        <v>1586</v>
      </c>
      <c r="F599" t="s">
        <v>3022</v>
      </c>
      <c r="G599" t="s">
        <v>2243</v>
      </c>
      <c r="H599">
        <v>9</v>
      </c>
      <c r="I599">
        <v>6</v>
      </c>
      <c r="J599" t="s">
        <v>1</v>
      </c>
    </row>
    <row r="600" spans="3:10" x14ac:dyDescent="0.25">
      <c r="C600">
        <v>597</v>
      </c>
      <c r="D600">
        <v>209210911</v>
      </c>
      <c r="E600" t="s">
        <v>1587</v>
      </c>
      <c r="F600" t="s">
        <v>3023</v>
      </c>
      <c r="G600" t="s">
        <v>2243</v>
      </c>
      <c r="H600">
        <v>9</v>
      </c>
      <c r="I600">
        <v>6</v>
      </c>
      <c r="J600" t="s">
        <v>1</v>
      </c>
    </row>
    <row r="601" spans="3:10" x14ac:dyDescent="0.25">
      <c r="C601">
        <v>598</v>
      </c>
      <c r="D601">
        <v>209330639</v>
      </c>
      <c r="E601" t="s">
        <v>1588</v>
      </c>
      <c r="F601" t="s">
        <v>3024</v>
      </c>
      <c r="G601" t="s">
        <v>2243</v>
      </c>
      <c r="H601">
        <v>9</v>
      </c>
      <c r="I601">
        <v>6</v>
      </c>
      <c r="J601" t="s">
        <v>1</v>
      </c>
    </row>
    <row r="602" spans="3:10" x14ac:dyDescent="0.25">
      <c r="C602">
        <v>599</v>
      </c>
      <c r="D602">
        <v>402890723</v>
      </c>
      <c r="E602" t="s">
        <v>1589</v>
      </c>
      <c r="F602" t="s">
        <v>3025</v>
      </c>
      <c r="G602" t="s">
        <v>2243</v>
      </c>
      <c r="H602">
        <v>9</v>
      </c>
      <c r="I602">
        <v>6</v>
      </c>
      <c r="J602" t="s">
        <v>1</v>
      </c>
    </row>
    <row r="603" spans="3:10" x14ac:dyDescent="0.25">
      <c r="C603">
        <v>600</v>
      </c>
      <c r="D603">
        <v>209310432</v>
      </c>
      <c r="E603" t="s">
        <v>1590</v>
      </c>
      <c r="F603" t="s">
        <v>3026</v>
      </c>
      <c r="G603" t="s">
        <v>2243</v>
      </c>
      <c r="H603">
        <v>9</v>
      </c>
      <c r="I603">
        <v>6</v>
      </c>
      <c r="J603" t="s">
        <v>1</v>
      </c>
    </row>
    <row r="604" spans="3:10" x14ac:dyDescent="0.25">
      <c r="C604">
        <v>601</v>
      </c>
      <c r="D604">
        <v>209260622</v>
      </c>
      <c r="E604" t="s">
        <v>1591</v>
      </c>
      <c r="F604" t="s">
        <v>3027</v>
      </c>
      <c r="G604" t="s">
        <v>2243</v>
      </c>
      <c r="H604">
        <v>9</v>
      </c>
      <c r="I604">
        <v>6</v>
      </c>
      <c r="J604" t="s">
        <v>1</v>
      </c>
    </row>
    <row r="605" spans="3:10" x14ac:dyDescent="0.25">
      <c r="C605">
        <v>602</v>
      </c>
      <c r="D605">
        <v>209370958</v>
      </c>
      <c r="E605" t="s">
        <v>1592</v>
      </c>
      <c r="F605" t="s">
        <v>3028</v>
      </c>
      <c r="G605" t="s">
        <v>2243</v>
      </c>
      <c r="H605">
        <v>9</v>
      </c>
      <c r="I605">
        <v>6</v>
      </c>
      <c r="J605" t="s">
        <v>1</v>
      </c>
    </row>
    <row r="606" spans="3:10" x14ac:dyDescent="0.25">
      <c r="C606">
        <v>603</v>
      </c>
      <c r="D606">
        <v>209260630</v>
      </c>
      <c r="E606" t="s">
        <v>1593</v>
      </c>
      <c r="F606" t="s">
        <v>3029</v>
      </c>
      <c r="G606" t="s">
        <v>2243</v>
      </c>
      <c r="H606">
        <v>9</v>
      </c>
      <c r="I606">
        <v>6</v>
      </c>
      <c r="J606" t="s">
        <v>1</v>
      </c>
    </row>
    <row r="607" spans="3:10" x14ac:dyDescent="0.25">
      <c r="C607">
        <v>604</v>
      </c>
      <c r="D607">
        <v>209260771</v>
      </c>
      <c r="E607" t="s">
        <v>1595</v>
      </c>
      <c r="F607" t="s">
        <v>3030</v>
      </c>
      <c r="G607" t="s">
        <v>2243</v>
      </c>
      <c r="H607">
        <v>9</v>
      </c>
      <c r="I607">
        <v>6</v>
      </c>
      <c r="J607" t="s">
        <v>0</v>
      </c>
    </row>
    <row r="608" spans="3:10" x14ac:dyDescent="0.25">
      <c r="C608">
        <v>605</v>
      </c>
      <c r="D608">
        <v>120790042</v>
      </c>
      <c r="E608" t="s">
        <v>1596</v>
      </c>
      <c r="F608" t="s">
        <v>3031</v>
      </c>
      <c r="G608" t="s">
        <v>2243</v>
      </c>
      <c r="H608">
        <v>9</v>
      </c>
      <c r="I608">
        <v>6</v>
      </c>
      <c r="J608" t="s">
        <v>0</v>
      </c>
    </row>
    <row r="609" spans="3:10" x14ac:dyDescent="0.25">
      <c r="C609">
        <v>606</v>
      </c>
      <c r="D609">
        <v>402880214</v>
      </c>
      <c r="E609" t="s">
        <v>3032</v>
      </c>
      <c r="F609" t="s">
        <v>3033</v>
      </c>
      <c r="G609" t="s">
        <v>2243</v>
      </c>
      <c r="H609">
        <v>9</v>
      </c>
      <c r="I609">
        <v>6</v>
      </c>
      <c r="J609" t="s">
        <v>0</v>
      </c>
    </row>
    <row r="610" spans="3:10" x14ac:dyDescent="0.25">
      <c r="C610">
        <v>607</v>
      </c>
      <c r="D610">
        <v>209250797</v>
      </c>
      <c r="E610" t="s">
        <v>1597</v>
      </c>
      <c r="F610" t="s">
        <v>3034</v>
      </c>
      <c r="G610" t="s">
        <v>2243</v>
      </c>
      <c r="H610">
        <v>9</v>
      </c>
      <c r="I610">
        <v>6</v>
      </c>
      <c r="J610" t="s">
        <v>0</v>
      </c>
    </row>
    <row r="611" spans="3:10" x14ac:dyDescent="0.25">
      <c r="C611">
        <v>608</v>
      </c>
      <c r="D611">
        <v>402890955</v>
      </c>
      <c r="E611" t="s">
        <v>1598</v>
      </c>
      <c r="F611" t="s">
        <v>3035</v>
      </c>
      <c r="G611" t="s">
        <v>2243</v>
      </c>
      <c r="H611">
        <v>9</v>
      </c>
      <c r="I611">
        <v>6</v>
      </c>
      <c r="J611" t="s">
        <v>0</v>
      </c>
    </row>
    <row r="612" spans="3:10" x14ac:dyDescent="0.25">
      <c r="C612">
        <v>609</v>
      </c>
      <c r="D612">
        <v>209310056</v>
      </c>
      <c r="E612" t="s">
        <v>1599</v>
      </c>
      <c r="F612" t="s">
        <v>3036</v>
      </c>
      <c r="G612" t="s">
        <v>2243</v>
      </c>
      <c r="H612">
        <v>9</v>
      </c>
      <c r="I612">
        <v>6</v>
      </c>
      <c r="J612" t="s">
        <v>0</v>
      </c>
    </row>
    <row r="613" spans="3:10" x14ac:dyDescent="0.25">
      <c r="C613">
        <v>610</v>
      </c>
      <c r="D613">
        <v>209270766</v>
      </c>
      <c r="E613" t="s">
        <v>1600</v>
      </c>
      <c r="F613" t="s">
        <v>3037</v>
      </c>
      <c r="G613" t="s">
        <v>2243</v>
      </c>
      <c r="H613">
        <v>9</v>
      </c>
      <c r="I613">
        <v>6</v>
      </c>
      <c r="J613" t="s">
        <v>0</v>
      </c>
    </row>
    <row r="614" spans="3:10" x14ac:dyDescent="0.25">
      <c r="C614">
        <v>611</v>
      </c>
      <c r="D614">
        <v>209340974</v>
      </c>
      <c r="E614" t="s">
        <v>1601</v>
      </c>
      <c r="F614" t="s">
        <v>3038</v>
      </c>
      <c r="G614" t="s">
        <v>2243</v>
      </c>
      <c r="H614">
        <v>9</v>
      </c>
      <c r="I614">
        <v>6</v>
      </c>
      <c r="J614" t="s">
        <v>0</v>
      </c>
    </row>
    <row r="615" spans="3:10" x14ac:dyDescent="0.25">
      <c r="C615">
        <v>612</v>
      </c>
      <c r="D615">
        <v>209250840</v>
      </c>
      <c r="E615" t="s">
        <v>1602</v>
      </c>
      <c r="F615" t="s">
        <v>3039</v>
      </c>
      <c r="G615" t="s">
        <v>2243</v>
      </c>
      <c r="H615">
        <v>9</v>
      </c>
      <c r="I615">
        <v>6</v>
      </c>
      <c r="J615" t="s">
        <v>0</v>
      </c>
    </row>
    <row r="616" spans="3:10" x14ac:dyDescent="0.25">
      <c r="C616">
        <v>613</v>
      </c>
      <c r="D616">
        <v>209250986</v>
      </c>
      <c r="E616" t="s">
        <v>1603</v>
      </c>
      <c r="F616" t="s">
        <v>3040</v>
      </c>
      <c r="G616" t="s">
        <v>2243</v>
      </c>
      <c r="H616">
        <v>9</v>
      </c>
      <c r="I616">
        <v>6</v>
      </c>
      <c r="J616" t="s">
        <v>0</v>
      </c>
    </row>
    <row r="617" spans="3:10" x14ac:dyDescent="0.25">
      <c r="C617">
        <v>614</v>
      </c>
      <c r="D617">
        <v>209260769</v>
      </c>
      <c r="E617" t="s">
        <v>1604</v>
      </c>
      <c r="F617" t="s">
        <v>3041</v>
      </c>
      <c r="G617" t="s">
        <v>2243</v>
      </c>
      <c r="H617">
        <v>9</v>
      </c>
      <c r="I617">
        <v>6</v>
      </c>
      <c r="J617" t="s">
        <v>0</v>
      </c>
    </row>
    <row r="618" spans="3:10" x14ac:dyDescent="0.25">
      <c r="C618">
        <v>615</v>
      </c>
      <c r="D618">
        <v>120810440</v>
      </c>
      <c r="E618" t="s">
        <v>1605</v>
      </c>
      <c r="F618" t="s">
        <v>3042</v>
      </c>
      <c r="G618" t="s">
        <v>2243</v>
      </c>
      <c r="H618">
        <v>9</v>
      </c>
      <c r="I618">
        <v>6</v>
      </c>
      <c r="J618" t="s">
        <v>0</v>
      </c>
    </row>
    <row r="619" spans="3:10" x14ac:dyDescent="0.25">
      <c r="C619">
        <v>616</v>
      </c>
      <c r="D619">
        <v>120810439</v>
      </c>
      <c r="E619" t="s">
        <v>1606</v>
      </c>
      <c r="F619" t="s">
        <v>3043</v>
      </c>
      <c r="G619" t="s">
        <v>2243</v>
      </c>
      <c r="H619">
        <v>9</v>
      </c>
      <c r="I619">
        <v>6</v>
      </c>
      <c r="J619" t="s">
        <v>0</v>
      </c>
    </row>
    <row r="620" spans="3:10" x14ac:dyDescent="0.25">
      <c r="C620">
        <v>617</v>
      </c>
      <c r="D620">
        <v>402860445</v>
      </c>
      <c r="E620" t="s">
        <v>1607</v>
      </c>
      <c r="F620" t="s">
        <v>3044</v>
      </c>
      <c r="G620" t="s">
        <v>2243</v>
      </c>
      <c r="H620">
        <v>9</v>
      </c>
      <c r="I620">
        <v>7</v>
      </c>
      <c r="J620" t="s">
        <v>1</v>
      </c>
    </row>
    <row r="621" spans="3:10" x14ac:dyDescent="0.25">
      <c r="C621">
        <v>618</v>
      </c>
      <c r="D621">
        <v>402870064</v>
      </c>
      <c r="E621" t="s">
        <v>1608</v>
      </c>
      <c r="F621" t="s">
        <v>3045</v>
      </c>
      <c r="G621" t="s">
        <v>2243</v>
      </c>
      <c r="H621">
        <v>9</v>
      </c>
      <c r="I621">
        <v>7</v>
      </c>
      <c r="J621" t="s">
        <v>1</v>
      </c>
    </row>
    <row r="622" spans="3:10" x14ac:dyDescent="0.25">
      <c r="C622">
        <v>619</v>
      </c>
      <c r="D622">
        <v>120800295</v>
      </c>
      <c r="E622" t="s">
        <v>1609</v>
      </c>
      <c r="F622" t="s">
        <v>3046</v>
      </c>
      <c r="G622" t="s">
        <v>2243</v>
      </c>
      <c r="H622">
        <v>9</v>
      </c>
      <c r="I622">
        <v>7</v>
      </c>
      <c r="J622" t="s">
        <v>1</v>
      </c>
    </row>
    <row r="623" spans="3:10" x14ac:dyDescent="0.25">
      <c r="C623">
        <v>620</v>
      </c>
      <c r="D623">
        <v>402870932</v>
      </c>
      <c r="E623" t="s">
        <v>1610</v>
      </c>
      <c r="F623" t="s">
        <v>3047</v>
      </c>
      <c r="G623" t="s">
        <v>2243</v>
      </c>
      <c r="H623">
        <v>9</v>
      </c>
      <c r="I623">
        <v>7</v>
      </c>
      <c r="J623" t="s">
        <v>1</v>
      </c>
    </row>
    <row r="624" spans="3:10" x14ac:dyDescent="0.25">
      <c r="C624">
        <v>621</v>
      </c>
      <c r="D624">
        <v>209260827</v>
      </c>
      <c r="E624" t="s">
        <v>1611</v>
      </c>
      <c r="F624" t="s">
        <v>3048</v>
      </c>
      <c r="G624" t="s">
        <v>2243</v>
      </c>
      <c r="H624">
        <v>9</v>
      </c>
      <c r="I624">
        <v>7</v>
      </c>
      <c r="J624" t="s">
        <v>1</v>
      </c>
    </row>
    <row r="625" spans="3:10" x14ac:dyDescent="0.25">
      <c r="C625">
        <v>622</v>
      </c>
      <c r="D625">
        <v>209250051</v>
      </c>
      <c r="E625" t="s">
        <v>1612</v>
      </c>
      <c r="F625" t="s">
        <v>3049</v>
      </c>
      <c r="G625" t="s">
        <v>2243</v>
      </c>
      <c r="H625">
        <v>9</v>
      </c>
      <c r="I625">
        <v>7</v>
      </c>
      <c r="J625" t="s">
        <v>1</v>
      </c>
    </row>
    <row r="626" spans="3:10" x14ac:dyDescent="0.25">
      <c r="C626">
        <v>623</v>
      </c>
      <c r="D626">
        <v>703560514</v>
      </c>
      <c r="E626" t="s">
        <v>1613</v>
      </c>
      <c r="F626" t="s">
        <v>3050</v>
      </c>
      <c r="G626" t="s">
        <v>2243</v>
      </c>
      <c r="H626">
        <v>9</v>
      </c>
      <c r="I626">
        <v>7</v>
      </c>
      <c r="J626" t="s">
        <v>1</v>
      </c>
    </row>
    <row r="627" spans="3:10" x14ac:dyDescent="0.25">
      <c r="C627">
        <v>624</v>
      </c>
      <c r="D627">
        <v>209130871</v>
      </c>
      <c r="E627" t="s">
        <v>1614</v>
      </c>
      <c r="F627" t="s">
        <v>3051</v>
      </c>
      <c r="G627" t="s">
        <v>2243</v>
      </c>
      <c r="H627">
        <v>9</v>
      </c>
      <c r="I627">
        <v>7</v>
      </c>
      <c r="J627" t="s">
        <v>1</v>
      </c>
    </row>
    <row r="628" spans="3:10" x14ac:dyDescent="0.25">
      <c r="C628">
        <v>625</v>
      </c>
      <c r="D628">
        <v>209120357</v>
      </c>
      <c r="E628" t="s">
        <v>1615</v>
      </c>
      <c r="F628" t="s">
        <v>3052</v>
      </c>
      <c r="G628" t="s">
        <v>2243</v>
      </c>
      <c r="H628">
        <v>9</v>
      </c>
      <c r="I628">
        <v>7</v>
      </c>
      <c r="J628" t="s">
        <v>1</v>
      </c>
    </row>
    <row r="629" spans="3:10" x14ac:dyDescent="0.25">
      <c r="C629">
        <v>626</v>
      </c>
      <c r="D629">
        <v>209260948</v>
      </c>
      <c r="E629" t="s">
        <v>1616</v>
      </c>
      <c r="F629" t="s">
        <v>3053</v>
      </c>
      <c r="G629" t="s">
        <v>2243</v>
      </c>
      <c r="H629">
        <v>9</v>
      </c>
      <c r="I629">
        <v>7</v>
      </c>
      <c r="J629" t="s">
        <v>1</v>
      </c>
    </row>
    <row r="630" spans="3:10" x14ac:dyDescent="0.25">
      <c r="C630">
        <v>627</v>
      </c>
      <c r="D630">
        <v>209310210</v>
      </c>
      <c r="E630" t="s">
        <v>1617</v>
      </c>
      <c r="F630" t="s">
        <v>3054</v>
      </c>
      <c r="G630" t="s">
        <v>2243</v>
      </c>
      <c r="H630">
        <v>9</v>
      </c>
      <c r="I630">
        <v>7</v>
      </c>
      <c r="J630" t="s">
        <v>1</v>
      </c>
    </row>
    <row r="631" spans="3:10" x14ac:dyDescent="0.25">
      <c r="C631">
        <v>628</v>
      </c>
      <c r="D631">
        <v>120750967</v>
      </c>
      <c r="E631" t="s">
        <v>1618</v>
      </c>
      <c r="F631" t="s">
        <v>3055</v>
      </c>
      <c r="G631" t="s">
        <v>2243</v>
      </c>
      <c r="H631">
        <v>9</v>
      </c>
      <c r="I631">
        <v>7</v>
      </c>
      <c r="J631" t="s">
        <v>1</v>
      </c>
    </row>
    <row r="632" spans="3:10" x14ac:dyDescent="0.25">
      <c r="C632">
        <v>629</v>
      </c>
      <c r="D632">
        <v>402870301</v>
      </c>
      <c r="E632" t="s">
        <v>3056</v>
      </c>
      <c r="F632" t="s">
        <v>3057</v>
      </c>
      <c r="G632" t="s">
        <v>2243</v>
      </c>
      <c r="H632">
        <v>9</v>
      </c>
      <c r="I632">
        <v>7</v>
      </c>
      <c r="J632" t="s">
        <v>1</v>
      </c>
    </row>
    <row r="633" spans="3:10" x14ac:dyDescent="0.25">
      <c r="C633">
        <v>630</v>
      </c>
      <c r="D633">
        <v>402860034</v>
      </c>
      <c r="E633" t="s">
        <v>1619</v>
      </c>
      <c r="F633" t="s">
        <v>3058</v>
      </c>
      <c r="G633" t="s">
        <v>2243</v>
      </c>
      <c r="H633">
        <v>9</v>
      </c>
      <c r="I633">
        <v>7</v>
      </c>
      <c r="J633" t="s">
        <v>0</v>
      </c>
    </row>
    <row r="634" spans="3:10" x14ac:dyDescent="0.25">
      <c r="C634">
        <v>631</v>
      </c>
      <c r="D634">
        <v>402860607</v>
      </c>
      <c r="E634" t="s">
        <v>1621</v>
      </c>
      <c r="F634" t="s">
        <v>3059</v>
      </c>
      <c r="G634" t="s">
        <v>2243</v>
      </c>
      <c r="H634">
        <v>9</v>
      </c>
      <c r="I634">
        <v>7</v>
      </c>
      <c r="J634" t="s">
        <v>0</v>
      </c>
    </row>
    <row r="635" spans="3:10" x14ac:dyDescent="0.25">
      <c r="C635">
        <v>632</v>
      </c>
      <c r="D635">
        <v>402860608</v>
      </c>
      <c r="E635" t="s">
        <v>1620</v>
      </c>
      <c r="F635" t="s">
        <v>3060</v>
      </c>
      <c r="G635" t="s">
        <v>2243</v>
      </c>
      <c r="H635">
        <v>9</v>
      </c>
      <c r="I635">
        <v>7</v>
      </c>
      <c r="J635" t="s">
        <v>0</v>
      </c>
    </row>
    <row r="636" spans="3:10" x14ac:dyDescent="0.25">
      <c r="C636">
        <v>633</v>
      </c>
      <c r="D636">
        <v>209290852</v>
      </c>
      <c r="E636" t="s">
        <v>1622</v>
      </c>
      <c r="F636" t="s">
        <v>3061</v>
      </c>
      <c r="G636" t="s">
        <v>2243</v>
      </c>
      <c r="H636">
        <v>9</v>
      </c>
      <c r="I636">
        <v>7</v>
      </c>
      <c r="J636" t="s">
        <v>0</v>
      </c>
    </row>
    <row r="637" spans="3:10" x14ac:dyDescent="0.25">
      <c r="C637">
        <v>634</v>
      </c>
      <c r="D637">
        <v>209260879</v>
      </c>
      <c r="E637" t="s">
        <v>1623</v>
      </c>
      <c r="F637" t="s">
        <v>3062</v>
      </c>
      <c r="G637" t="s">
        <v>2243</v>
      </c>
      <c r="H637">
        <v>9</v>
      </c>
      <c r="I637">
        <v>7</v>
      </c>
      <c r="J637" t="s">
        <v>0</v>
      </c>
    </row>
    <row r="638" spans="3:10" x14ac:dyDescent="0.25">
      <c r="C638">
        <v>635</v>
      </c>
      <c r="D638">
        <v>209150359</v>
      </c>
      <c r="E638" t="s">
        <v>1624</v>
      </c>
      <c r="F638" t="s">
        <v>3063</v>
      </c>
      <c r="G638" t="s">
        <v>2243</v>
      </c>
      <c r="H638">
        <v>9</v>
      </c>
      <c r="I638">
        <v>7</v>
      </c>
      <c r="J638" t="s">
        <v>0</v>
      </c>
    </row>
    <row r="639" spans="3:10" x14ac:dyDescent="0.25">
      <c r="C639">
        <v>636</v>
      </c>
      <c r="D639">
        <v>402870497</v>
      </c>
      <c r="E639" t="s">
        <v>1625</v>
      </c>
      <c r="F639" t="s">
        <v>3064</v>
      </c>
      <c r="G639" t="s">
        <v>2243</v>
      </c>
      <c r="H639">
        <v>9</v>
      </c>
      <c r="I639">
        <v>7</v>
      </c>
      <c r="J639" t="s">
        <v>0</v>
      </c>
    </row>
    <row r="640" spans="3:10" x14ac:dyDescent="0.25">
      <c r="C640">
        <v>637</v>
      </c>
      <c r="D640">
        <v>209340906</v>
      </c>
      <c r="E640" t="s">
        <v>1626</v>
      </c>
      <c r="F640" t="s">
        <v>3065</v>
      </c>
      <c r="G640" t="s">
        <v>2243</v>
      </c>
      <c r="H640">
        <v>9</v>
      </c>
      <c r="I640">
        <v>7</v>
      </c>
      <c r="J640" t="s">
        <v>0</v>
      </c>
    </row>
    <row r="641" spans="3:10" x14ac:dyDescent="0.25">
      <c r="C641">
        <v>638</v>
      </c>
      <c r="D641">
        <v>209120338</v>
      </c>
      <c r="E641" t="s">
        <v>1627</v>
      </c>
      <c r="F641" t="s">
        <v>3066</v>
      </c>
      <c r="G641" t="s">
        <v>2243</v>
      </c>
      <c r="H641">
        <v>9</v>
      </c>
      <c r="I641">
        <v>7</v>
      </c>
      <c r="J641" t="s">
        <v>0</v>
      </c>
    </row>
    <row r="642" spans="3:10" x14ac:dyDescent="0.25">
      <c r="C642">
        <v>639</v>
      </c>
      <c r="D642">
        <v>402860421</v>
      </c>
      <c r="E642" t="s">
        <v>1628</v>
      </c>
      <c r="F642" t="s">
        <v>3067</v>
      </c>
      <c r="G642" t="s">
        <v>2243</v>
      </c>
      <c r="H642">
        <v>9</v>
      </c>
      <c r="I642">
        <v>7</v>
      </c>
      <c r="J642" t="s">
        <v>0</v>
      </c>
    </row>
    <row r="643" spans="3:10" x14ac:dyDescent="0.25">
      <c r="C643">
        <v>640</v>
      </c>
      <c r="D643">
        <v>402870728</v>
      </c>
      <c r="E643" t="s">
        <v>1629</v>
      </c>
      <c r="F643" t="s">
        <v>3068</v>
      </c>
      <c r="G643" t="s">
        <v>2243</v>
      </c>
      <c r="H643">
        <v>9</v>
      </c>
      <c r="I643">
        <v>7</v>
      </c>
      <c r="J643" t="s">
        <v>0</v>
      </c>
    </row>
    <row r="644" spans="3:10" x14ac:dyDescent="0.25">
      <c r="C644">
        <v>641</v>
      </c>
      <c r="D644">
        <v>402850443</v>
      </c>
      <c r="E644" t="s">
        <v>1802</v>
      </c>
      <c r="F644" t="s">
        <v>3069</v>
      </c>
      <c r="G644" t="s">
        <v>2243</v>
      </c>
      <c r="H644">
        <v>9</v>
      </c>
      <c r="I644">
        <v>7</v>
      </c>
      <c r="J644" t="s">
        <v>0</v>
      </c>
    </row>
    <row r="645" spans="3:10" x14ac:dyDescent="0.25">
      <c r="C645">
        <v>642</v>
      </c>
      <c r="D645">
        <v>209360213</v>
      </c>
      <c r="E645" t="s">
        <v>1630</v>
      </c>
      <c r="F645" t="s">
        <v>3070</v>
      </c>
      <c r="G645" t="s">
        <v>2243</v>
      </c>
      <c r="H645">
        <v>9</v>
      </c>
      <c r="I645">
        <v>7</v>
      </c>
      <c r="J645" t="s">
        <v>0</v>
      </c>
    </row>
    <row r="646" spans="3:10" x14ac:dyDescent="0.25">
      <c r="C646">
        <v>643</v>
      </c>
      <c r="D646">
        <v>209610413</v>
      </c>
      <c r="E646" t="s">
        <v>1631</v>
      </c>
      <c r="F646" t="s">
        <v>3071</v>
      </c>
      <c r="G646" t="s">
        <v>546</v>
      </c>
      <c r="H646">
        <v>10</v>
      </c>
      <c r="I646">
        <v>1</v>
      </c>
      <c r="J646" t="s">
        <v>1</v>
      </c>
    </row>
    <row r="647" spans="3:10" x14ac:dyDescent="0.25">
      <c r="C647">
        <v>644</v>
      </c>
      <c r="D647">
        <v>120610270</v>
      </c>
      <c r="E647" t="s">
        <v>1632</v>
      </c>
      <c r="F647" t="s">
        <v>3072</v>
      </c>
      <c r="G647" t="s">
        <v>546</v>
      </c>
      <c r="H647">
        <v>10</v>
      </c>
      <c r="I647">
        <v>1</v>
      </c>
      <c r="J647" t="s">
        <v>1</v>
      </c>
    </row>
    <row r="648" spans="3:10" x14ac:dyDescent="0.25">
      <c r="C648">
        <v>645</v>
      </c>
      <c r="D648">
        <v>209160684</v>
      </c>
      <c r="E648" t="s">
        <v>1633</v>
      </c>
      <c r="F648" t="s">
        <v>3073</v>
      </c>
      <c r="G648" t="s">
        <v>546</v>
      </c>
      <c r="H648">
        <v>10</v>
      </c>
      <c r="I648">
        <v>1</v>
      </c>
      <c r="J648" t="s">
        <v>1</v>
      </c>
    </row>
    <row r="649" spans="3:10" x14ac:dyDescent="0.25">
      <c r="C649">
        <v>646</v>
      </c>
      <c r="D649">
        <v>120460521</v>
      </c>
      <c r="E649" t="s">
        <v>1634</v>
      </c>
      <c r="F649" t="s">
        <v>3074</v>
      </c>
      <c r="G649" t="s">
        <v>546</v>
      </c>
      <c r="H649">
        <v>10</v>
      </c>
      <c r="I649">
        <v>1</v>
      </c>
      <c r="J649" t="s">
        <v>1</v>
      </c>
    </row>
    <row r="650" spans="3:10" x14ac:dyDescent="0.25">
      <c r="C650">
        <v>647</v>
      </c>
      <c r="D650">
        <v>402820540</v>
      </c>
      <c r="E650" t="s">
        <v>1635</v>
      </c>
      <c r="F650" t="s">
        <v>3075</v>
      </c>
      <c r="G650" t="s">
        <v>546</v>
      </c>
      <c r="H650">
        <v>10</v>
      </c>
      <c r="I650">
        <v>1</v>
      </c>
      <c r="J650" t="s">
        <v>1</v>
      </c>
    </row>
    <row r="651" spans="3:10" x14ac:dyDescent="0.25">
      <c r="C651">
        <v>648</v>
      </c>
      <c r="D651">
        <v>402850469</v>
      </c>
      <c r="E651" t="s">
        <v>1636</v>
      </c>
      <c r="F651" t="s">
        <v>3076</v>
      </c>
      <c r="G651" t="s">
        <v>546</v>
      </c>
      <c r="H651">
        <v>10</v>
      </c>
      <c r="I651">
        <v>1</v>
      </c>
      <c r="J651" t="s">
        <v>1</v>
      </c>
    </row>
    <row r="652" spans="3:10" x14ac:dyDescent="0.25">
      <c r="C652">
        <v>649</v>
      </c>
      <c r="D652">
        <v>209180957</v>
      </c>
      <c r="E652" t="s">
        <v>1637</v>
      </c>
      <c r="F652" t="s">
        <v>3077</v>
      </c>
      <c r="G652" t="s">
        <v>546</v>
      </c>
      <c r="H652">
        <v>10</v>
      </c>
      <c r="I652">
        <v>1</v>
      </c>
      <c r="J652" t="s">
        <v>1</v>
      </c>
    </row>
    <row r="653" spans="3:10" x14ac:dyDescent="0.25">
      <c r="C653">
        <v>650</v>
      </c>
      <c r="D653">
        <v>402840898</v>
      </c>
      <c r="E653" t="s">
        <v>1638</v>
      </c>
      <c r="F653" t="s">
        <v>3078</v>
      </c>
      <c r="G653" t="s">
        <v>546</v>
      </c>
      <c r="H653">
        <v>10</v>
      </c>
      <c r="I653">
        <v>1</v>
      </c>
      <c r="J653" t="s">
        <v>1</v>
      </c>
    </row>
    <row r="654" spans="3:10" x14ac:dyDescent="0.25">
      <c r="C654">
        <v>651</v>
      </c>
      <c r="D654">
        <v>209240382</v>
      </c>
      <c r="E654" t="s">
        <v>1639</v>
      </c>
      <c r="F654" t="s">
        <v>3079</v>
      </c>
      <c r="G654" t="s">
        <v>550</v>
      </c>
      <c r="H654">
        <v>10</v>
      </c>
      <c r="I654">
        <v>1</v>
      </c>
      <c r="J654" t="s">
        <v>0</v>
      </c>
    </row>
    <row r="655" spans="3:10" x14ac:dyDescent="0.25">
      <c r="C655">
        <v>652</v>
      </c>
      <c r="D655">
        <v>209210914</v>
      </c>
      <c r="E655" t="s">
        <v>1640</v>
      </c>
      <c r="F655" t="s">
        <v>3080</v>
      </c>
      <c r="G655" t="s">
        <v>550</v>
      </c>
      <c r="H655">
        <v>10</v>
      </c>
      <c r="I655">
        <v>1</v>
      </c>
      <c r="J655" t="s">
        <v>0</v>
      </c>
    </row>
    <row r="656" spans="3:10" x14ac:dyDescent="0.25">
      <c r="C656">
        <v>653</v>
      </c>
      <c r="D656">
        <v>402830886</v>
      </c>
      <c r="E656" t="s">
        <v>1641</v>
      </c>
      <c r="F656" t="s">
        <v>3081</v>
      </c>
      <c r="G656" t="s">
        <v>550</v>
      </c>
      <c r="H656">
        <v>10</v>
      </c>
      <c r="I656">
        <v>1</v>
      </c>
      <c r="J656" t="s">
        <v>0</v>
      </c>
    </row>
    <row r="657" spans="3:10" x14ac:dyDescent="0.25">
      <c r="C657">
        <v>654</v>
      </c>
      <c r="D657" t="s">
        <v>551</v>
      </c>
      <c r="E657" t="s">
        <v>551</v>
      </c>
      <c r="F657" t="s">
        <v>3082</v>
      </c>
      <c r="G657" t="s">
        <v>550</v>
      </c>
      <c r="H657">
        <v>10</v>
      </c>
      <c r="I657">
        <v>1</v>
      </c>
      <c r="J657" t="s">
        <v>0</v>
      </c>
    </row>
    <row r="658" spans="3:10" x14ac:dyDescent="0.25">
      <c r="C658">
        <v>655</v>
      </c>
      <c r="D658">
        <v>209080436</v>
      </c>
      <c r="E658" t="s">
        <v>3083</v>
      </c>
      <c r="F658" t="s">
        <v>3084</v>
      </c>
      <c r="G658" t="s">
        <v>629</v>
      </c>
      <c r="H658">
        <v>10</v>
      </c>
      <c r="I658">
        <v>1</v>
      </c>
      <c r="J658" t="s">
        <v>0</v>
      </c>
    </row>
    <row r="659" spans="3:10" x14ac:dyDescent="0.25">
      <c r="C659">
        <v>656</v>
      </c>
      <c r="D659">
        <v>120140031</v>
      </c>
      <c r="E659" t="s">
        <v>1642</v>
      </c>
      <c r="F659" t="s">
        <v>3085</v>
      </c>
      <c r="G659" t="s">
        <v>550</v>
      </c>
      <c r="H659">
        <v>10</v>
      </c>
      <c r="I659">
        <v>1</v>
      </c>
      <c r="J659" t="s">
        <v>0</v>
      </c>
    </row>
    <row r="660" spans="3:10" x14ac:dyDescent="0.25">
      <c r="C660">
        <v>657</v>
      </c>
      <c r="D660">
        <v>209200439</v>
      </c>
      <c r="E660" t="s">
        <v>1643</v>
      </c>
      <c r="F660" t="s">
        <v>3086</v>
      </c>
      <c r="G660" t="s">
        <v>550</v>
      </c>
      <c r="H660">
        <v>10</v>
      </c>
      <c r="I660">
        <v>1</v>
      </c>
      <c r="J660" t="s">
        <v>0</v>
      </c>
    </row>
    <row r="661" spans="3:10" x14ac:dyDescent="0.25">
      <c r="C661">
        <v>658</v>
      </c>
      <c r="D661">
        <v>120660217</v>
      </c>
      <c r="E661" t="s">
        <v>1644</v>
      </c>
      <c r="F661" t="s">
        <v>3087</v>
      </c>
      <c r="G661" t="s">
        <v>550</v>
      </c>
      <c r="H661">
        <v>10</v>
      </c>
      <c r="I661">
        <v>1</v>
      </c>
      <c r="J661" t="s">
        <v>0</v>
      </c>
    </row>
    <row r="662" spans="3:10" x14ac:dyDescent="0.25">
      <c r="C662">
        <v>659</v>
      </c>
      <c r="D662">
        <v>155852146619</v>
      </c>
      <c r="E662" t="s">
        <v>3088</v>
      </c>
      <c r="F662" t="s">
        <v>3089</v>
      </c>
      <c r="G662" t="s">
        <v>656</v>
      </c>
      <c r="H662">
        <v>10</v>
      </c>
      <c r="I662">
        <v>1</v>
      </c>
      <c r="J662" t="s">
        <v>0</v>
      </c>
    </row>
    <row r="663" spans="3:10" x14ac:dyDescent="0.25">
      <c r="C663">
        <v>660</v>
      </c>
      <c r="D663">
        <v>155831612811</v>
      </c>
      <c r="E663" t="s">
        <v>553</v>
      </c>
      <c r="F663" t="s">
        <v>3090</v>
      </c>
      <c r="G663" t="s">
        <v>550</v>
      </c>
      <c r="H663">
        <v>10</v>
      </c>
      <c r="I663">
        <v>1</v>
      </c>
      <c r="J663" t="s">
        <v>0</v>
      </c>
    </row>
    <row r="664" spans="3:10" x14ac:dyDescent="0.25">
      <c r="C664">
        <v>661</v>
      </c>
      <c r="D664">
        <v>209130031</v>
      </c>
      <c r="E664" t="s">
        <v>1645</v>
      </c>
      <c r="F664" t="s">
        <v>3091</v>
      </c>
      <c r="G664" t="s">
        <v>550</v>
      </c>
      <c r="H664">
        <v>10</v>
      </c>
      <c r="I664">
        <v>1</v>
      </c>
      <c r="J664" t="s">
        <v>0</v>
      </c>
    </row>
    <row r="665" spans="3:10" x14ac:dyDescent="0.25">
      <c r="C665">
        <v>662</v>
      </c>
      <c r="D665">
        <v>120230190</v>
      </c>
      <c r="E665" t="s">
        <v>1879</v>
      </c>
      <c r="F665" t="s">
        <v>3092</v>
      </c>
      <c r="G665" t="s">
        <v>656</v>
      </c>
      <c r="H665">
        <v>10</v>
      </c>
      <c r="I665">
        <v>1</v>
      </c>
      <c r="J665" t="s">
        <v>0</v>
      </c>
    </row>
    <row r="666" spans="3:10" x14ac:dyDescent="0.25">
      <c r="C666">
        <v>663</v>
      </c>
      <c r="D666">
        <v>402830481</v>
      </c>
      <c r="E666" t="s">
        <v>1646</v>
      </c>
      <c r="F666" t="s">
        <v>3093</v>
      </c>
      <c r="G666" t="s">
        <v>550</v>
      </c>
      <c r="H666">
        <v>10</v>
      </c>
      <c r="I666">
        <v>1</v>
      </c>
      <c r="J666" t="s">
        <v>0</v>
      </c>
    </row>
    <row r="667" spans="3:10" x14ac:dyDescent="0.25">
      <c r="C667">
        <v>664</v>
      </c>
      <c r="D667">
        <v>402840913</v>
      </c>
      <c r="E667" t="s">
        <v>1647</v>
      </c>
      <c r="F667" t="s">
        <v>3094</v>
      </c>
      <c r="G667" t="s">
        <v>550</v>
      </c>
      <c r="H667">
        <v>10</v>
      </c>
      <c r="I667">
        <v>1</v>
      </c>
      <c r="J667" t="s">
        <v>0</v>
      </c>
    </row>
    <row r="668" spans="3:10" x14ac:dyDescent="0.25">
      <c r="C668">
        <v>665</v>
      </c>
      <c r="D668">
        <v>209190523</v>
      </c>
      <c r="E668" t="s">
        <v>1648</v>
      </c>
      <c r="F668" t="s">
        <v>3095</v>
      </c>
      <c r="G668" t="s">
        <v>550</v>
      </c>
      <c r="H668">
        <v>10</v>
      </c>
      <c r="I668">
        <v>1</v>
      </c>
      <c r="J668" t="s">
        <v>0</v>
      </c>
    </row>
    <row r="669" spans="3:10" x14ac:dyDescent="0.25">
      <c r="C669">
        <v>666</v>
      </c>
      <c r="D669">
        <v>209120711</v>
      </c>
      <c r="E669" t="s">
        <v>1649</v>
      </c>
      <c r="F669" t="s">
        <v>3096</v>
      </c>
      <c r="G669" t="s">
        <v>550</v>
      </c>
      <c r="H669">
        <v>10</v>
      </c>
      <c r="I669">
        <v>1</v>
      </c>
      <c r="J669" t="s">
        <v>0</v>
      </c>
    </row>
    <row r="670" spans="3:10" x14ac:dyDescent="0.25">
      <c r="C670">
        <v>667</v>
      </c>
      <c r="D670">
        <v>209180083</v>
      </c>
      <c r="E670" t="s">
        <v>1650</v>
      </c>
      <c r="F670" t="s">
        <v>3097</v>
      </c>
      <c r="G670" t="s">
        <v>550</v>
      </c>
      <c r="H670">
        <v>10</v>
      </c>
      <c r="I670">
        <v>1</v>
      </c>
      <c r="J670" t="s">
        <v>0</v>
      </c>
    </row>
    <row r="671" spans="3:10" x14ac:dyDescent="0.25">
      <c r="C671">
        <v>668</v>
      </c>
      <c r="D671">
        <v>209110382</v>
      </c>
      <c r="E671" t="s">
        <v>1651</v>
      </c>
      <c r="F671" t="s">
        <v>3098</v>
      </c>
      <c r="G671" t="s">
        <v>550</v>
      </c>
      <c r="H671">
        <v>10</v>
      </c>
      <c r="I671">
        <v>1</v>
      </c>
      <c r="J671" t="s">
        <v>0</v>
      </c>
    </row>
    <row r="672" spans="3:10" x14ac:dyDescent="0.25">
      <c r="C672">
        <v>669</v>
      </c>
      <c r="D672">
        <v>208920633</v>
      </c>
      <c r="E672" t="s">
        <v>1652</v>
      </c>
      <c r="F672" t="s">
        <v>3099</v>
      </c>
      <c r="G672" t="s">
        <v>550</v>
      </c>
      <c r="H672">
        <v>10</v>
      </c>
      <c r="I672">
        <v>1</v>
      </c>
      <c r="J672" t="s">
        <v>0</v>
      </c>
    </row>
    <row r="673" spans="3:10" x14ac:dyDescent="0.25">
      <c r="C673">
        <v>670</v>
      </c>
      <c r="D673">
        <v>209200731</v>
      </c>
      <c r="E673" t="s">
        <v>1653</v>
      </c>
      <c r="F673" t="s">
        <v>3100</v>
      </c>
      <c r="G673" t="s">
        <v>550</v>
      </c>
      <c r="H673">
        <v>10</v>
      </c>
      <c r="I673">
        <v>1</v>
      </c>
      <c r="J673" t="s">
        <v>0</v>
      </c>
    </row>
    <row r="674" spans="3:10" x14ac:dyDescent="0.25">
      <c r="C674">
        <v>671</v>
      </c>
      <c r="D674">
        <v>402840459</v>
      </c>
      <c r="E674" t="s">
        <v>1654</v>
      </c>
      <c r="F674" t="s">
        <v>3101</v>
      </c>
      <c r="G674" t="s">
        <v>559</v>
      </c>
      <c r="H674">
        <v>10</v>
      </c>
      <c r="I674">
        <v>2</v>
      </c>
      <c r="J674" t="s">
        <v>1</v>
      </c>
    </row>
    <row r="675" spans="3:10" x14ac:dyDescent="0.25">
      <c r="C675">
        <v>672</v>
      </c>
      <c r="D675">
        <v>209150384</v>
      </c>
      <c r="E675" t="s">
        <v>1655</v>
      </c>
      <c r="F675" t="s">
        <v>3102</v>
      </c>
      <c r="G675" t="s">
        <v>559</v>
      </c>
      <c r="H675">
        <v>10</v>
      </c>
      <c r="I675">
        <v>2</v>
      </c>
      <c r="J675" t="s">
        <v>1</v>
      </c>
    </row>
    <row r="676" spans="3:10" x14ac:dyDescent="0.25">
      <c r="C676">
        <v>673</v>
      </c>
      <c r="D676">
        <v>209160804</v>
      </c>
      <c r="E676" t="s">
        <v>1656</v>
      </c>
      <c r="F676" t="s">
        <v>3103</v>
      </c>
      <c r="G676" t="s">
        <v>559</v>
      </c>
      <c r="H676">
        <v>10</v>
      </c>
      <c r="I676">
        <v>2</v>
      </c>
      <c r="J676" t="s">
        <v>1</v>
      </c>
    </row>
    <row r="677" spans="3:10" x14ac:dyDescent="0.25">
      <c r="C677">
        <v>674</v>
      </c>
      <c r="D677">
        <v>209080143</v>
      </c>
      <c r="E677" t="s">
        <v>3104</v>
      </c>
      <c r="F677" t="s">
        <v>3105</v>
      </c>
      <c r="G677" t="s">
        <v>1043</v>
      </c>
      <c r="H677">
        <v>10</v>
      </c>
      <c r="I677">
        <v>2</v>
      </c>
      <c r="J677" t="s">
        <v>1</v>
      </c>
    </row>
    <row r="678" spans="3:10" x14ac:dyDescent="0.25">
      <c r="C678">
        <v>675</v>
      </c>
      <c r="D678">
        <v>208980050</v>
      </c>
      <c r="E678" t="s">
        <v>1657</v>
      </c>
      <c r="F678" t="s">
        <v>3106</v>
      </c>
      <c r="G678" t="s">
        <v>559</v>
      </c>
      <c r="H678">
        <v>10</v>
      </c>
      <c r="I678">
        <v>2</v>
      </c>
      <c r="J678" t="s">
        <v>1</v>
      </c>
    </row>
    <row r="679" spans="3:10" x14ac:dyDescent="0.25">
      <c r="C679">
        <v>676</v>
      </c>
      <c r="D679">
        <v>209120834</v>
      </c>
      <c r="E679" t="s">
        <v>1658</v>
      </c>
      <c r="F679" t="s">
        <v>3107</v>
      </c>
      <c r="G679" t="s">
        <v>559</v>
      </c>
      <c r="H679">
        <v>10</v>
      </c>
      <c r="I679">
        <v>2</v>
      </c>
      <c r="J679" t="s">
        <v>1</v>
      </c>
    </row>
    <row r="680" spans="3:10" x14ac:dyDescent="0.25">
      <c r="C680">
        <v>677</v>
      </c>
      <c r="D680">
        <v>120700522</v>
      </c>
      <c r="E680" t="s">
        <v>1659</v>
      </c>
      <c r="F680" t="s">
        <v>3108</v>
      </c>
      <c r="G680" t="s">
        <v>559</v>
      </c>
      <c r="H680">
        <v>10</v>
      </c>
      <c r="I680">
        <v>2</v>
      </c>
      <c r="J680" t="s">
        <v>1</v>
      </c>
    </row>
    <row r="681" spans="3:10" x14ac:dyDescent="0.25">
      <c r="C681">
        <v>678</v>
      </c>
      <c r="D681">
        <v>402850785</v>
      </c>
      <c r="E681" t="s">
        <v>1660</v>
      </c>
      <c r="F681" t="s">
        <v>3109</v>
      </c>
      <c r="G681" t="s">
        <v>559</v>
      </c>
      <c r="H681">
        <v>10</v>
      </c>
      <c r="I681">
        <v>2</v>
      </c>
      <c r="J681" t="s">
        <v>1</v>
      </c>
    </row>
    <row r="682" spans="3:10" x14ac:dyDescent="0.25">
      <c r="C682">
        <v>679</v>
      </c>
      <c r="D682">
        <v>402810207</v>
      </c>
      <c r="E682" t="s">
        <v>1661</v>
      </c>
      <c r="F682" t="s">
        <v>3110</v>
      </c>
      <c r="G682" t="s">
        <v>559</v>
      </c>
      <c r="H682">
        <v>10</v>
      </c>
      <c r="I682">
        <v>2</v>
      </c>
      <c r="J682" t="s">
        <v>1</v>
      </c>
    </row>
    <row r="683" spans="3:10" x14ac:dyDescent="0.25">
      <c r="C683">
        <v>680</v>
      </c>
      <c r="D683">
        <v>120620411</v>
      </c>
      <c r="E683" t="s">
        <v>1662</v>
      </c>
      <c r="F683" t="s">
        <v>3111</v>
      </c>
      <c r="G683" t="s">
        <v>550</v>
      </c>
      <c r="H683">
        <v>10</v>
      </c>
      <c r="I683">
        <v>2</v>
      </c>
      <c r="J683" t="s">
        <v>0</v>
      </c>
    </row>
    <row r="684" spans="3:10" x14ac:dyDescent="0.25">
      <c r="C684">
        <v>681</v>
      </c>
      <c r="D684">
        <v>209170537</v>
      </c>
      <c r="E684" t="s">
        <v>1663</v>
      </c>
      <c r="F684" t="s">
        <v>3112</v>
      </c>
      <c r="G684" t="s">
        <v>550</v>
      </c>
      <c r="H684">
        <v>10</v>
      </c>
      <c r="I684">
        <v>2</v>
      </c>
      <c r="J684" t="s">
        <v>0</v>
      </c>
    </row>
    <row r="685" spans="3:10" x14ac:dyDescent="0.25">
      <c r="C685">
        <v>682</v>
      </c>
      <c r="D685">
        <v>209220536</v>
      </c>
      <c r="E685" t="s">
        <v>1664</v>
      </c>
      <c r="F685" t="s">
        <v>3113</v>
      </c>
      <c r="G685" t="s">
        <v>550</v>
      </c>
      <c r="H685">
        <v>10</v>
      </c>
      <c r="I685">
        <v>2</v>
      </c>
      <c r="J685" t="s">
        <v>0</v>
      </c>
    </row>
    <row r="686" spans="3:10" x14ac:dyDescent="0.25">
      <c r="C686">
        <v>683</v>
      </c>
      <c r="D686">
        <v>402840458</v>
      </c>
      <c r="E686" t="s">
        <v>1665</v>
      </c>
      <c r="F686" t="s">
        <v>3114</v>
      </c>
      <c r="G686" t="s">
        <v>550</v>
      </c>
      <c r="H686">
        <v>10</v>
      </c>
      <c r="I686">
        <v>2</v>
      </c>
      <c r="J686" t="s">
        <v>0</v>
      </c>
    </row>
    <row r="687" spans="3:10" x14ac:dyDescent="0.25">
      <c r="C687">
        <v>684</v>
      </c>
      <c r="D687">
        <v>120710232</v>
      </c>
      <c r="E687" t="s">
        <v>1666</v>
      </c>
      <c r="F687" t="s">
        <v>3115</v>
      </c>
      <c r="G687" t="s">
        <v>550</v>
      </c>
      <c r="H687">
        <v>10</v>
      </c>
      <c r="I687">
        <v>2</v>
      </c>
      <c r="J687" t="s">
        <v>0</v>
      </c>
    </row>
    <row r="688" spans="3:10" x14ac:dyDescent="0.25">
      <c r="C688">
        <v>685</v>
      </c>
      <c r="D688">
        <v>402790538</v>
      </c>
      <c r="E688" t="s">
        <v>1903</v>
      </c>
      <c r="F688" t="s">
        <v>3116</v>
      </c>
      <c r="G688" t="s">
        <v>550</v>
      </c>
      <c r="H688">
        <v>10</v>
      </c>
      <c r="I688">
        <v>2</v>
      </c>
      <c r="J688" t="s">
        <v>0</v>
      </c>
    </row>
    <row r="689" spans="3:10" x14ac:dyDescent="0.25">
      <c r="C689">
        <v>686</v>
      </c>
      <c r="D689">
        <v>120540581</v>
      </c>
      <c r="E689" t="s">
        <v>1667</v>
      </c>
      <c r="F689" t="s">
        <v>3117</v>
      </c>
      <c r="G689" t="s">
        <v>550</v>
      </c>
      <c r="H689">
        <v>10</v>
      </c>
      <c r="I689">
        <v>2</v>
      </c>
      <c r="J689" t="s">
        <v>0</v>
      </c>
    </row>
    <row r="690" spans="3:10" x14ac:dyDescent="0.25">
      <c r="C690">
        <v>687</v>
      </c>
      <c r="D690">
        <v>402830329</v>
      </c>
      <c r="E690" t="s">
        <v>1668</v>
      </c>
      <c r="F690" t="s">
        <v>3118</v>
      </c>
      <c r="G690" t="s">
        <v>550</v>
      </c>
      <c r="H690">
        <v>10</v>
      </c>
      <c r="I690">
        <v>2</v>
      </c>
      <c r="J690" t="s">
        <v>0</v>
      </c>
    </row>
    <row r="691" spans="3:10" x14ac:dyDescent="0.25">
      <c r="C691">
        <v>688</v>
      </c>
      <c r="D691">
        <v>209190247</v>
      </c>
      <c r="E691" t="s">
        <v>1669</v>
      </c>
      <c r="F691" t="s">
        <v>3119</v>
      </c>
      <c r="G691" t="s">
        <v>550</v>
      </c>
      <c r="H691">
        <v>10</v>
      </c>
      <c r="I691">
        <v>2</v>
      </c>
      <c r="J691" t="s">
        <v>0</v>
      </c>
    </row>
    <row r="692" spans="3:10" x14ac:dyDescent="0.25">
      <c r="C692">
        <v>689</v>
      </c>
      <c r="D692">
        <v>402850639</v>
      </c>
      <c r="E692" t="s">
        <v>1670</v>
      </c>
      <c r="F692" t="s">
        <v>3120</v>
      </c>
      <c r="G692" t="s">
        <v>550</v>
      </c>
      <c r="H692">
        <v>10</v>
      </c>
      <c r="I692">
        <v>2</v>
      </c>
      <c r="J692" t="s">
        <v>0</v>
      </c>
    </row>
    <row r="693" spans="3:10" x14ac:dyDescent="0.25">
      <c r="C693">
        <v>690</v>
      </c>
      <c r="D693">
        <v>402850732</v>
      </c>
      <c r="E693" t="s">
        <v>1671</v>
      </c>
      <c r="F693" t="s">
        <v>3121</v>
      </c>
      <c r="G693" t="s">
        <v>550</v>
      </c>
      <c r="H693">
        <v>10</v>
      </c>
      <c r="I693">
        <v>2</v>
      </c>
      <c r="J693" t="s">
        <v>0</v>
      </c>
    </row>
    <row r="694" spans="3:10" x14ac:dyDescent="0.25">
      <c r="C694">
        <v>691</v>
      </c>
      <c r="D694">
        <v>120670388</v>
      </c>
      <c r="E694" t="s">
        <v>1672</v>
      </c>
      <c r="F694" t="s">
        <v>3122</v>
      </c>
      <c r="G694" t="s">
        <v>550</v>
      </c>
      <c r="H694">
        <v>10</v>
      </c>
      <c r="I694">
        <v>2</v>
      </c>
      <c r="J694" t="s">
        <v>0</v>
      </c>
    </row>
    <row r="695" spans="3:10" x14ac:dyDescent="0.25">
      <c r="C695">
        <v>692</v>
      </c>
      <c r="D695">
        <v>209220835</v>
      </c>
      <c r="E695" t="s">
        <v>1673</v>
      </c>
      <c r="F695" t="s">
        <v>3123</v>
      </c>
      <c r="G695" t="s">
        <v>550</v>
      </c>
      <c r="H695">
        <v>10</v>
      </c>
      <c r="I695">
        <v>2</v>
      </c>
      <c r="J695" t="s">
        <v>0</v>
      </c>
    </row>
    <row r="696" spans="3:10" x14ac:dyDescent="0.25">
      <c r="C696">
        <v>693</v>
      </c>
      <c r="D696">
        <v>209170546</v>
      </c>
      <c r="E696" t="s">
        <v>1674</v>
      </c>
      <c r="F696" t="s">
        <v>3124</v>
      </c>
      <c r="G696" t="s">
        <v>550</v>
      </c>
      <c r="H696">
        <v>10</v>
      </c>
      <c r="I696">
        <v>2</v>
      </c>
      <c r="J696" t="s">
        <v>0</v>
      </c>
    </row>
    <row r="697" spans="3:10" x14ac:dyDescent="0.25">
      <c r="C697">
        <v>694</v>
      </c>
      <c r="D697">
        <v>209060669</v>
      </c>
      <c r="E697" t="s">
        <v>1912</v>
      </c>
      <c r="F697" t="s">
        <v>3125</v>
      </c>
      <c r="G697" t="s">
        <v>550</v>
      </c>
      <c r="H697">
        <v>10</v>
      </c>
      <c r="I697">
        <v>2</v>
      </c>
      <c r="J697" t="s">
        <v>0</v>
      </c>
    </row>
    <row r="698" spans="3:10" x14ac:dyDescent="0.25">
      <c r="C698">
        <v>695</v>
      </c>
      <c r="D698">
        <v>402810859</v>
      </c>
      <c r="E698" t="s">
        <v>3126</v>
      </c>
      <c r="F698" t="s">
        <v>3127</v>
      </c>
      <c r="G698" t="s">
        <v>550</v>
      </c>
      <c r="H698">
        <v>10</v>
      </c>
      <c r="I698">
        <v>2</v>
      </c>
      <c r="J698" t="s">
        <v>0</v>
      </c>
    </row>
    <row r="699" spans="3:10" x14ac:dyDescent="0.25">
      <c r="C699">
        <v>696</v>
      </c>
      <c r="D699">
        <v>402830061</v>
      </c>
      <c r="E699" t="s">
        <v>1675</v>
      </c>
      <c r="F699" t="s">
        <v>3128</v>
      </c>
      <c r="G699" t="s">
        <v>550</v>
      </c>
      <c r="H699">
        <v>10</v>
      </c>
      <c r="I699">
        <v>2</v>
      </c>
      <c r="J699" t="s">
        <v>0</v>
      </c>
    </row>
    <row r="700" spans="3:10" x14ac:dyDescent="0.25">
      <c r="C700">
        <v>697</v>
      </c>
      <c r="D700">
        <v>208980525</v>
      </c>
      <c r="E700" t="s">
        <v>1676</v>
      </c>
      <c r="F700" t="s">
        <v>3129</v>
      </c>
      <c r="G700" t="s">
        <v>550</v>
      </c>
      <c r="H700">
        <v>10</v>
      </c>
      <c r="I700">
        <v>2</v>
      </c>
      <c r="J700" t="s">
        <v>0</v>
      </c>
    </row>
    <row r="701" spans="3:10" x14ac:dyDescent="0.25">
      <c r="C701">
        <v>698</v>
      </c>
      <c r="D701">
        <v>120230559</v>
      </c>
      <c r="E701" t="s">
        <v>1677</v>
      </c>
      <c r="F701" t="s">
        <v>3130</v>
      </c>
      <c r="G701" t="s">
        <v>550</v>
      </c>
      <c r="H701">
        <v>10</v>
      </c>
      <c r="I701">
        <v>2</v>
      </c>
      <c r="J701" t="s">
        <v>0</v>
      </c>
    </row>
    <row r="702" spans="3:10" x14ac:dyDescent="0.25">
      <c r="C702">
        <v>699</v>
      </c>
      <c r="D702">
        <v>209220773</v>
      </c>
      <c r="E702" t="s">
        <v>1682</v>
      </c>
      <c r="F702" t="s">
        <v>3131</v>
      </c>
      <c r="G702" t="s">
        <v>2241</v>
      </c>
      <c r="H702">
        <v>10</v>
      </c>
      <c r="I702">
        <v>3</v>
      </c>
      <c r="J702" t="s">
        <v>1</v>
      </c>
    </row>
    <row r="703" spans="3:10" x14ac:dyDescent="0.25">
      <c r="C703">
        <v>700</v>
      </c>
      <c r="D703">
        <v>209110628</v>
      </c>
      <c r="E703" t="s">
        <v>1681</v>
      </c>
      <c r="F703" t="s">
        <v>3132</v>
      </c>
      <c r="G703" t="s">
        <v>2241</v>
      </c>
      <c r="H703">
        <v>10</v>
      </c>
      <c r="I703">
        <v>3</v>
      </c>
      <c r="J703" t="s">
        <v>1</v>
      </c>
    </row>
    <row r="704" spans="3:10" x14ac:dyDescent="0.25">
      <c r="C704">
        <v>701</v>
      </c>
      <c r="D704">
        <v>402820341</v>
      </c>
      <c r="E704" t="s">
        <v>1694</v>
      </c>
      <c r="F704" t="s">
        <v>3133</v>
      </c>
      <c r="G704" t="s">
        <v>2241</v>
      </c>
      <c r="H704">
        <v>10</v>
      </c>
      <c r="I704">
        <v>3</v>
      </c>
      <c r="J704" t="s">
        <v>1</v>
      </c>
    </row>
    <row r="705" spans="3:10" x14ac:dyDescent="0.25">
      <c r="C705">
        <v>702</v>
      </c>
      <c r="D705">
        <v>209130895</v>
      </c>
      <c r="E705" t="s">
        <v>1678</v>
      </c>
      <c r="F705" t="s">
        <v>3134</v>
      </c>
      <c r="G705" t="s">
        <v>2241</v>
      </c>
      <c r="H705">
        <v>10</v>
      </c>
      <c r="I705">
        <v>3</v>
      </c>
      <c r="J705" t="s">
        <v>1</v>
      </c>
    </row>
    <row r="706" spans="3:10" x14ac:dyDescent="0.25">
      <c r="C706">
        <v>703</v>
      </c>
      <c r="D706">
        <v>209160683</v>
      </c>
      <c r="E706" t="s">
        <v>1680</v>
      </c>
      <c r="F706" t="s">
        <v>3135</v>
      </c>
      <c r="G706" t="s">
        <v>2241</v>
      </c>
      <c r="H706">
        <v>10</v>
      </c>
      <c r="I706">
        <v>3</v>
      </c>
      <c r="J706" t="s">
        <v>1</v>
      </c>
    </row>
    <row r="707" spans="3:10" x14ac:dyDescent="0.25">
      <c r="C707">
        <v>704</v>
      </c>
      <c r="D707">
        <v>402850685</v>
      </c>
      <c r="E707" t="s">
        <v>3136</v>
      </c>
      <c r="F707" t="s">
        <v>3137</v>
      </c>
      <c r="G707" t="s">
        <v>2241</v>
      </c>
      <c r="H707">
        <v>10</v>
      </c>
      <c r="I707">
        <v>3</v>
      </c>
      <c r="J707" t="s">
        <v>1</v>
      </c>
    </row>
    <row r="708" spans="3:10" x14ac:dyDescent="0.25">
      <c r="C708">
        <v>705</v>
      </c>
      <c r="D708" t="s">
        <v>570</v>
      </c>
      <c r="E708" t="s">
        <v>3138</v>
      </c>
      <c r="F708" t="s">
        <v>3139</v>
      </c>
      <c r="G708" t="s">
        <v>2241</v>
      </c>
      <c r="H708">
        <v>10</v>
      </c>
      <c r="I708">
        <v>3</v>
      </c>
      <c r="J708" t="s">
        <v>1</v>
      </c>
    </row>
    <row r="709" spans="3:10" x14ac:dyDescent="0.25">
      <c r="C709">
        <v>706</v>
      </c>
      <c r="D709">
        <v>402840548</v>
      </c>
      <c r="E709" t="s">
        <v>1679</v>
      </c>
      <c r="F709" t="s">
        <v>3140</v>
      </c>
      <c r="G709" t="s">
        <v>2241</v>
      </c>
      <c r="H709">
        <v>10</v>
      </c>
      <c r="I709">
        <v>3</v>
      </c>
      <c r="J709" t="s">
        <v>1</v>
      </c>
    </row>
    <row r="710" spans="3:10" x14ac:dyDescent="0.25">
      <c r="C710">
        <v>707</v>
      </c>
      <c r="D710">
        <v>209200561</v>
      </c>
      <c r="E710" t="s">
        <v>1683</v>
      </c>
      <c r="F710" t="s">
        <v>3141</v>
      </c>
      <c r="G710" t="s">
        <v>2241</v>
      </c>
      <c r="H710">
        <v>10</v>
      </c>
      <c r="I710">
        <v>3</v>
      </c>
      <c r="J710" t="s">
        <v>1</v>
      </c>
    </row>
    <row r="711" spans="3:10" x14ac:dyDescent="0.25">
      <c r="C711">
        <v>708</v>
      </c>
      <c r="D711">
        <v>402830381</v>
      </c>
      <c r="E711" t="s">
        <v>1684</v>
      </c>
      <c r="F711" t="s">
        <v>3142</v>
      </c>
      <c r="G711" t="s">
        <v>2241</v>
      </c>
      <c r="H711">
        <v>10</v>
      </c>
      <c r="I711">
        <v>3</v>
      </c>
      <c r="J711" t="s">
        <v>1</v>
      </c>
    </row>
    <row r="712" spans="3:10" x14ac:dyDescent="0.25">
      <c r="C712">
        <v>709</v>
      </c>
      <c r="D712">
        <v>209220655</v>
      </c>
      <c r="E712" t="s">
        <v>1685</v>
      </c>
      <c r="F712" t="s">
        <v>3143</v>
      </c>
      <c r="G712" t="s">
        <v>2241</v>
      </c>
      <c r="H712">
        <v>10</v>
      </c>
      <c r="I712">
        <v>3</v>
      </c>
      <c r="J712" t="s">
        <v>1</v>
      </c>
    </row>
    <row r="713" spans="3:10" x14ac:dyDescent="0.25">
      <c r="C713">
        <v>710</v>
      </c>
      <c r="D713">
        <v>209220238</v>
      </c>
      <c r="E713" t="s">
        <v>1686</v>
      </c>
      <c r="F713" t="s">
        <v>3144</v>
      </c>
      <c r="G713" t="s">
        <v>2241</v>
      </c>
      <c r="H713">
        <v>10</v>
      </c>
      <c r="I713">
        <v>3</v>
      </c>
      <c r="J713" t="s">
        <v>1</v>
      </c>
    </row>
    <row r="714" spans="3:10" x14ac:dyDescent="0.25">
      <c r="C714">
        <v>711</v>
      </c>
      <c r="D714">
        <v>209150521</v>
      </c>
      <c r="E714" t="s">
        <v>1687</v>
      </c>
      <c r="F714" t="s">
        <v>3145</v>
      </c>
      <c r="G714" t="s">
        <v>2241</v>
      </c>
      <c r="H714">
        <v>10</v>
      </c>
      <c r="I714">
        <v>3</v>
      </c>
      <c r="J714" t="s">
        <v>1</v>
      </c>
    </row>
    <row r="715" spans="3:10" x14ac:dyDescent="0.25">
      <c r="C715">
        <v>712</v>
      </c>
      <c r="D715">
        <v>209130893</v>
      </c>
      <c r="E715" t="s">
        <v>1688</v>
      </c>
      <c r="F715" t="s">
        <v>3146</v>
      </c>
      <c r="G715" t="s">
        <v>2241</v>
      </c>
      <c r="H715">
        <v>10</v>
      </c>
      <c r="I715">
        <v>3</v>
      </c>
      <c r="J715" t="s">
        <v>1</v>
      </c>
    </row>
    <row r="716" spans="3:10" x14ac:dyDescent="0.25">
      <c r="C716">
        <v>713</v>
      </c>
      <c r="D716">
        <v>209190545</v>
      </c>
      <c r="E716" t="s">
        <v>1689</v>
      </c>
      <c r="F716" t="s">
        <v>3147</v>
      </c>
      <c r="G716" t="s">
        <v>2241</v>
      </c>
      <c r="H716">
        <v>10</v>
      </c>
      <c r="I716">
        <v>3</v>
      </c>
      <c r="J716" t="s">
        <v>1</v>
      </c>
    </row>
    <row r="717" spans="3:10" x14ac:dyDescent="0.25">
      <c r="C717">
        <v>714</v>
      </c>
      <c r="D717">
        <v>402830388</v>
      </c>
      <c r="E717" t="s">
        <v>1690</v>
      </c>
      <c r="F717" t="s">
        <v>3148</v>
      </c>
      <c r="G717" t="s">
        <v>2241</v>
      </c>
      <c r="H717">
        <v>10</v>
      </c>
      <c r="I717">
        <v>3</v>
      </c>
      <c r="J717" t="s">
        <v>1</v>
      </c>
    </row>
    <row r="718" spans="3:10" x14ac:dyDescent="0.25">
      <c r="C718">
        <v>715</v>
      </c>
      <c r="D718">
        <v>209140970</v>
      </c>
      <c r="E718" t="s">
        <v>1691</v>
      </c>
      <c r="F718" t="s">
        <v>3149</v>
      </c>
      <c r="G718" t="s">
        <v>2241</v>
      </c>
      <c r="H718">
        <v>10</v>
      </c>
      <c r="I718">
        <v>3</v>
      </c>
      <c r="J718" t="s">
        <v>1</v>
      </c>
    </row>
    <row r="719" spans="3:10" x14ac:dyDescent="0.25">
      <c r="C719">
        <v>716</v>
      </c>
      <c r="D719">
        <v>120530836</v>
      </c>
      <c r="E719" t="s">
        <v>1692</v>
      </c>
      <c r="F719" t="s">
        <v>3150</v>
      </c>
      <c r="G719" t="s">
        <v>2241</v>
      </c>
      <c r="H719">
        <v>10</v>
      </c>
      <c r="I719">
        <v>3</v>
      </c>
      <c r="J719" t="s">
        <v>1</v>
      </c>
    </row>
    <row r="720" spans="3:10" x14ac:dyDescent="0.25">
      <c r="C720">
        <v>717</v>
      </c>
      <c r="D720">
        <v>208920937</v>
      </c>
      <c r="E720" t="s">
        <v>1881</v>
      </c>
      <c r="F720" t="s">
        <v>3151</v>
      </c>
      <c r="G720" t="s">
        <v>656</v>
      </c>
      <c r="H720">
        <v>10</v>
      </c>
      <c r="I720">
        <v>3</v>
      </c>
      <c r="J720" t="s">
        <v>1</v>
      </c>
    </row>
    <row r="721" spans="3:10" x14ac:dyDescent="0.25">
      <c r="C721">
        <v>718</v>
      </c>
      <c r="D721">
        <v>209100720</v>
      </c>
      <c r="E721" t="s">
        <v>1693</v>
      </c>
      <c r="F721" t="s">
        <v>3152</v>
      </c>
      <c r="G721" t="s">
        <v>2241</v>
      </c>
      <c r="H721">
        <v>10</v>
      </c>
      <c r="I721">
        <v>3</v>
      </c>
      <c r="J721" t="s">
        <v>1</v>
      </c>
    </row>
    <row r="722" spans="3:10" x14ac:dyDescent="0.25">
      <c r="C722">
        <v>719</v>
      </c>
      <c r="D722">
        <v>402810836</v>
      </c>
      <c r="E722" t="s">
        <v>1695</v>
      </c>
      <c r="F722" t="s">
        <v>3153</v>
      </c>
      <c r="G722" t="s">
        <v>582</v>
      </c>
      <c r="H722">
        <v>10</v>
      </c>
      <c r="I722">
        <v>3</v>
      </c>
      <c r="J722" t="s">
        <v>0</v>
      </c>
    </row>
    <row r="723" spans="3:10" x14ac:dyDescent="0.25">
      <c r="C723">
        <v>720</v>
      </c>
      <c r="D723">
        <v>209120844</v>
      </c>
      <c r="E723" t="s">
        <v>1696</v>
      </c>
      <c r="F723" t="s">
        <v>3154</v>
      </c>
      <c r="G723" t="s">
        <v>582</v>
      </c>
      <c r="H723">
        <v>10</v>
      </c>
      <c r="I723">
        <v>3</v>
      </c>
      <c r="J723" t="s">
        <v>0</v>
      </c>
    </row>
    <row r="724" spans="3:10" x14ac:dyDescent="0.25">
      <c r="C724">
        <v>721</v>
      </c>
      <c r="D724">
        <v>209240937</v>
      </c>
      <c r="E724" t="s">
        <v>1697</v>
      </c>
      <c r="F724" t="s">
        <v>3155</v>
      </c>
      <c r="G724" t="s">
        <v>582</v>
      </c>
      <c r="H724">
        <v>10</v>
      </c>
      <c r="I724">
        <v>3</v>
      </c>
      <c r="J724" t="s">
        <v>0</v>
      </c>
    </row>
    <row r="725" spans="3:10" x14ac:dyDescent="0.25">
      <c r="C725">
        <v>722</v>
      </c>
      <c r="D725">
        <v>209220045</v>
      </c>
      <c r="E725" t="s">
        <v>1698</v>
      </c>
      <c r="F725" t="s">
        <v>3156</v>
      </c>
      <c r="G725" t="s">
        <v>582</v>
      </c>
      <c r="H725">
        <v>10</v>
      </c>
      <c r="I725">
        <v>3</v>
      </c>
      <c r="J725" t="s">
        <v>0</v>
      </c>
    </row>
    <row r="726" spans="3:10" x14ac:dyDescent="0.25">
      <c r="C726">
        <v>723</v>
      </c>
      <c r="D726">
        <v>208980901</v>
      </c>
      <c r="E726" t="s">
        <v>1699</v>
      </c>
      <c r="F726" t="s">
        <v>3157</v>
      </c>
      <c r="G726" t="s">
        <v>582</v>
      </c>
      <c r="H726">
        <v>10</v>
      </c>
      <c r="I726">
        <v>3</v>
      </c>
      <c r="J726" t="s">
        <v>0</v>
      </c>
    </row>
    <row r="727" spans="3:10" x14ac:dyDescent="0.25">
      <c r="C727">
        <v>724</v>
      </c>
      <c r="D727">
        <v>120640048</v>
      </c>
      <c r="E727" t="s">
        <v>1700</v>
      </c>
      <c r="F727" t="s">
        <v>3158</v>
      </c>
      <c r="G727" t="s">
        <v>582</v>
      </c>
      <c r="H727">
        <v>10</v>
      </c>
      <c r="I727">
        <v>3</v>
      </c>
      <c r="J727" t="s">
        <v>0</v>
      </c>
    </row>
    <row r="728" spans="3:10" x14ac:dyDescent="0.25">
      <c r="C728">
        <v>725</v>
      </c>
      <c r="D728">
        <v>209170164</v>
      </c>
      <c r="E728" t="s">
        <v>1701</v>
      </c>
      <c r="F728" t="s">
        <v>3159</v>
      </c>
      <c r="G728" t="s">
        <v>582</v>
      </c>
      <c r="H728">
        <v>10</v>
      </c>
      <c r="I728">
        <v>3</v>
      </c>
      <c r="J728" t="s">
        <v>0</v>
      </c>
    </row>
    <row r="729" spans="3:10" x14ac:dyDescent="0.25">
      <c r="C729">
        <v>726</v>
      </c>
      <c r="D729">
        <v>119940619</v>
      </c>
      <c r="E729" t="s">
        <v>1702</v>
      </c>
      <c r="F729" t="s">
        <v>3160</v>
      </c>
      <c r="G729" t="s">
        <v>582</v>
      </c>
      <c r="H729">
        <v>10</v>
      </c>
      <c r="I729">
        <v>3</v>
      </c>
      <c r="J729" t="s">
        <v>0</v>
      </c>
    </row>
    <row r="730" spans="3:10" x14ac:dyDescent="0.25">
      <c r="C730">
        <v>727</v>
      </c>
      <c r="D730">
        <v>305880841</v>
      </c>
      <c r="E730" t="s">
        <v>1703</v>
      </c>
      <c r="F730" t="s">
        <v>3161</v>
      </c>
      <c r="G730" t="s">
        <v>582</v>
      </c>
      <c r="H730">
        <v>10</v>
      </c>
      <c r="I730">
        <v>3</v>
      </c>
      <c r="J730" t="s">
        <v>0</v>
      </c>
    </row>
    <row r="731" spans="3:10" x14ac:dyDescent="0.25">
      <c r="C731">
        <v>728</v>
      </c>
      <c r="D731">
        <v>209140064</v>
      </c>
      <c r="E731" t="s">
        <v>1704</v>
      </c>
      <c r="F731" t="s">
        <v>3162</v>
      </c>
      <c r="G731" t="s">
        <v>582</v>
      </c>
      <c r="H731">
        <v>10</v>
      </c>
      <c r="I731">
        <v>3</v>
      </c>
      <c r="J731" t="s">
        <v>0</v>
      </c>
    </row>
    <row r="732" spans="3:10" x14ac:dyDescent="0.25">
      <c r="C732">
        <v>729</v>
      </c>
      <c r="D732">
        <v>402830059</v>
      </c>
      <c r="E732" t="s">
        <v>1705</v>
      </c>
      <c r="F732" t="s">
        <v>3163</v>
      </c>
      <c r="G732" t="s">
        <v>582</v>
      </c>
      <c r="H732">
        <v>10</v>
      </c>
      <c r="I732">
        <v>3</v>
      </c>
      <c r="J732" t="s">
        <v>0</v>
      </c>
    </row>
    <row r="733" spans="3:10" x14ac:dyDescent="0.25">
      <c r="C733">
        <v>730</v>
      </c>
      <c r="D733">
        <v>209190568</v>
      </c>
      <c r="E733" t="s">
        <v>1706</v>
      </c>
      <c r="F733" t="s">
        <v>3164</v>
      </c>
      <c r="G733" t="s">
        <v>582</v>
      </c>
      <c r="H733">
        <v>10</v>
      </c>
      <c r="I733">
        <v>3</v>
      </c>
      <c r="J733" t="s">
        <v>0</v>
      </c>
    </row>
    <row r="734" spans="3:10" x14ac:dyDescent="0.25">
      <c r="C734">
        <v>731</v>
      </c>
      <c r="D734">
        <v>209150524</v>
      </c>
      <c r="E734" t="s">
        <v>1707</v>
      </c>
      <c r="F734" t="s">
        <v>3165</v>
      </c>
      <c r="G734" t="s">
        <v>582</v>
      </c>
      <c r="H734">
        <v>10</v>
      </c>
      <c r="I734">
        <v>3</v>
      </c>
      <c r="J734" t="s">
        <v>0</v>
      </c>
    </row>
    <row r="735" spans="3:10" x14ac:dyDescent="0.25">
      <c r="C735">
        <v>732</v>
      </c>
      <c r="D735">
        <v>402810302</v>
      </c>
      <c r="E735" t="s">
        <v>1954</v>
      </c>
      <c r="F735" t="s">
        <v>3166</v>
      </c>
      <c r="G735" t="s">
        <v>582</v>
      </c>
      <c r="H735">
        <v>10</v>
      </c>
      <c r="I735">
        <v>3</v>
      </c>
      <c r="J735" t="s">
        <v>0</v>
      </c>
    </row>
    <row r="736" spans="3:10" x14ac:dyDescent="0.25">
      <c r="C736">
        <v>733</v>
      </c>
      <c r="D736">
        <v>120140302</v>
      </c>
      <c r="E736" t="s">
        <v>1708</v>
      </c>
      <c r="F736" t="s">
        <v>3167</v>
      </c>
      <c r="G736" t="s">
        <v>582</v>
      </c>
      <c r="H736">
        <v>10</v>
      </c>
      <c r="I736">
        <v>3</v>
      </c>
      <c r="J736" t="s">
        <v>0</v>
      </c>
    </row>
    <row r="737" spans="3:10" x14ac:dyDescent="0.25">
      <c r="C737">
        <v>734</v>
      </c>
      <c r="D737">
        <v>402820862</v>
      </c>
      <c r="E737" t="s">
        <v>1709</v>
      </c>
      <c r="F737" t="s">
        <v>3168</v>
      </c>
      <c r="G737" t="s">
        <v>582</v>
      </c>
      <c r="H737">
        <v>10</v>
      </c>
      <c r="I737">
        <v>3</v>
      </c>
      <c r="J737" t="s">
        <v>0</v>
      </c>
    </row>
    <row r="738" spans="3:10" x14ac:dyDescent="0.25">
      <c r="C738">
        <v>735</v>
      </c>
      <c r="D738">
        <v>120120048</v>
      </c>
      <c r="E738" t="s">
        <v>1928</v>
      </c>
      <c r="F738" t="s">
        <v>3169</v>
      </c>
      <c r="G738" t="s">
        <v>582</v>
      </c>
      <c r="H738">
        <v>10</v>
      </c>
      <c r="I738">
        <v>3</v>
      </c>
      <c r="J738" t="s">
        <v>0</v>
      </c>
    </row>
    <row r="739" spans="3:10" x14ac:dyDescent="0.25">
      <c r="C739">
        <v>736</v>
      </c>
      <c r="D739">
        <v>402830307</v>
      </c>
      <c r="E739" t="s">
        <v>1710</v>
      </c>
      <c r="F739" t="s">
        <v>3170</v>
      </c>
      <c r="G739" t="s">
        <v>582</v>
      </c>
      <c r="H739">
        <v>10</v>
      </c>
      <c r="I739">
        <v>3</v>
      </c>
      <c r="J739" t="s">
        <v>0</v>
      </c>
    </row>
    <row r="740" spans="3:10" x14ac:dyDescent="0.25">
      <c r="C740">
        <v>737</v>
      </c>
      <c r="D740">
        <v>120660706</v>
      </c>
      <c r="E740" t="s">
        <v>1711</v>
      </c>
      <c r="F740" t="s">
        <v>3171</v>
      </c>
      <c r="G740" t="s">
        <v>582</v>
      </c>
      <c r="H740">
        <v>10</v>
      </c>
      <c r="I740">
        <v>3</v>
      </c>
      <c r="J740" t="s">
        <v>0</v>
      </c>
    </row>
    <row r="741" spans="3:10" x14ac:dyDescent="0.25">
      <c r="C741">
        <v>738</v>
      </c>
      <c r="D741">
        <v>402830486</v>
      </c>
      <c r="E741" t="s">
        <v>1712</v>
      </c>
      <c r="F741" t="s">
        <v>3172</v>
      </c>
      <c r="G741" t="s">
        <v>582</v>
      </c>
      <c r="H741">
        <v>10</v>
      </c>
      <c r="I741">
        <v>3</v>
      </c>
      <c r="J741" t="s">
        <v>0</v>
      </c>
    </row>
    <row r="742" spans="3:10" x14ac:dyDescent="0.25">
      <c r="C742">
        <v>739</v>
      </c>
      <c r="D742">
        <v>209160506</v>
      </c>
      <c r="E742" t="s">
        <v>1713</v>
      </c>
      <c r="F742" t="s">
        <v>3173</v>
      </c>
      <c r="G742" t="s">
        <v>2241</v>
      </c>
      <c r="H742">
        <v>10</v>
      </c>
      <c r="I742">
        <v>4</v>
      </c>
      <c r="J742" t="s">
        <v>1</v>
      </c>
    </row>
    <row r="743" spans="3:10" x14ac:dyDescent="0.25">
      <c r="C743">
        <v>740</v>
      </c>
      <c r="D743">
        <v>120690319</v>
      </c>
      <c r="E743" t="s">
        <v>1714</v>
      </c>
      <c r="F743" t="s">
        <v>3174</v>
      </c>
      <c r="G743" t="s">
        <v>2241</v>
      </c>
      <c r="H743">
        <v>10</v>
      </c>
      <c r="I743">
        <v>4</v>
      </c>
      <c r="J743" t="s">
        <v>1</v>
      </c>
    </row>
    <row r="744" spans="3:10" x14ac:dyDescent="0.25">
      <c r="C744">
        <v>741</v>
      </c>
      <c r="D744">
        <v>209220521</v>
      </c>
      <c r="E744" t="s">
        <v>1715</v>
      </c>
      <c r="F744" t="s">
        <v>3175</v>
      </c>
      <c r="G744" t="s">
        <v>2241</v>
      </c>
      <c r="H744">
        <v>10</v>
      </c>
      <c r="I744">
        <v>4</v>
      </c>
      <c r="J744" t="s">
        <v>1</v>
      </c>
    </row>
    <row r="745" spans="3:10" x14ac:dyDescent="0.25">
      <c r="C745">
        <v>742</v>
      </c>
      <c r="D745">
        <v>120590868</v>
      </c>
      <c r="E745" t="s">
        <v>1717</v>
      </c>
      <c r="F745" t="s">
        <v>3176</v>
      </c>
      <c r="G745" t="s">
        <v>2241</v>
      </c>
      <c r="H745">
        <v>10</v>
      </c>
      <c r="I745">
        <v>4</v>
      </c>
      <c r="J745" t="s">
        <v>1</v>
      </c>
    </row>
    <row r="746" spans="3:10" x14ac:dyDescent="0.25">
      <c r="C746">
        <v>743</v>
      </c>
      <c r="D746">
        <v>209160227</v>
      </c>
      <c r="E746" t="s">
        <v>1718</v>
      </c>
      <c r="F746" t="s">
        <v>3177</v>
      </c>
      <c r="G746" t="s">
        <v>2241</v>
      </c>
      <c r="H746">
        <v>10</v>
      </c>
      <c r="I746">
        <v>4</v>
      </c>
      <c r="J746" t="s">
        <v>1</v>
      </c>
    </row>
    <row r="747" spans="3:10" x14ac:dyDescent="0.25">
      <c r="C747">
        <v>744</v>
      </c>
      <c r="D747">
        <v>209170586</v>
      </c>
      <c r="E747" t="s">
        <v>1719</v>
      </c>
      <c r="F747" t="s">
        <v>3178</v>
      </c>
      <c r="G747" t="s">
        <v>2241</v>
      </c>
      <c r="H747">
        <v>10</v>
      </c>
      <c r="I747">
        <v>4</v>
      </c>
      <c r="J747" t="s">
        <v>1</v>
      </c>
    </row>
    <row r="748" spans="3:10" x14ac:dyDescent="0.25">
      <c r="C748">
        <v>745</v>
      </c>
      <c r="D748">
        <v>402840526</v>
      </c>
      <c r="E748" t="s">
        <v>1720</v>
      </c>
      <c r="F748" t="s">
        <v>3179</v>
      </c>
      <c r="G748" t="s">
        <v>2241</v>
      </c>
      <c r="H748">
        <v>10</v>
      </c>
      <c r="I748">
        <v>4</v>
      </c>
      <c r="J748" t="s">
        <v>1</v>
      </c>
    </row>
    <row r="749" spans="3:10" x14ac:dyDescent="0.25">
      <c r="C749">
        <v>746</v>
      </c>
      <c r="D749">
        <v>209030853</v>
      </c>
      <c r="E749" t="s">
        <v>1721</v>
      </c>
      <c r="F749" t="s">
        <v>3180</v>
      </c>
      <c r="G749" t="s">
        <v>2241</v>
      </c>
      <c r="H749">
        <v>10</v>
      </c>
      <c r="I749">
        <v>4</v>
      </c>
      <c r="J749" t="s">
        <v>1</v>
      </c>
    </row>
    <row r="750" spans="3:10" x14ac:dyDescent="0.25">
      <c r="C750">
        <v>747</v>
      </c>
      <c r="D750">
        <v>209240997</v>
      </c>
      <c r="E750" t="s">
        <v>1722</v>
      </c>
      <c r="F750" t="s">
        <v>3181</v>
      </c>
      <c r="G750" t="s">
        <v>2241</v>
      </c>
      <c r="H750">
        <v>10</v>
      </c>
      <c r="I750">
        <v>4</v>
      </c>
      <c r="J750" t="s">
        <v>1</v>
      </c>
    </row>
    <row r="751" spans="3:10" x14ac:dyDescent="0.25">
      <c r="C751">
        <v>748</v>
      </c>
      <c r="D751">
        <v>504820838</v>
      </c>
      <c r="E751" t="s">
        <v>1723</v>
      </c>
      <c r="F751" t="s">
        <v>3182</v>
      </c>
      <c r="G751" t="s">
        <v>2241</v>
      </c>
      <c r="H751">
        <v>10</v>
      </c>
      <c r="I751">
        <v>4</v>
      </c>
      <c r="J751" t="s">
        <v>1</v>
      </c>
    </row>
    <row r="752" spans="3:10" x14ac:dyDescent="0.25">
      <c r="C752">
        <v>749</v>
      </c>
      <c r="D752">
        <v>209180677</v>
      </c>
      <c r="E752" t="s">
        <v>1724</v>
      </c>
      <c r="F752" t="s">
        <v>2499</v>
      </c>
      <c r="G752" t="s">
        <v>2241</v>
      </c>
      <c r="H752">
        <v>10</v>
      </c>
      <c r="I752">
        <v>4</v>
      </c>
      <c r="J752" t="s">
        <v>1</v>
      </c>
    </row>
    <row r="753" spans="3:10" x14ac:dyDescent="0.25">
      <c r="C753">
        <v>750</v>
      </c>
      <c r="D753">
        <v>209130088</v>
      </c>
      <c r="E753" t="s">
        <v>1725</v>
      </c>
      <c r="F753" t="s">
        <v>3183</v>
      </c>
      <c r="G753" t="s">
        <v>2241</v>
      </c>
      <c r="H753">
        <v>10</v>
      </c>
      <c r="I753">
        <v>4</v>
      </c>
      <c r="J753" t="s">
        <v>1</v>
      </c>
    </row>
    <row r="754" spans="3:10" x14ac:dyDescent="0.25">
      <c r="C754">
        <v>751</v>
      </c>
      <c r="D754">
        <v>402820078</v>
      </c>
      <c r="E754" t="s">
        <v>1729</v>
      </c>
      <c r="F754" t="s">
        <v>3184</v>
      </c>
      <c r="G754" t="s">
        <v>2241</v>
      </c>
      <c r="H754">
        <v>10</v>
      </c>
      <c r="I754">
        <v>4</v>
      </c>
      <c r="J754" t="s">
        <v>1</v>
      </c>
    </row>
    <row r="755" spans="3:10" x14ac:dyDescent="0.25">
      <c r="C755">
        <v>752</v>
      </c>
      <c r="D755">
        <v>120710042</v>
      </c>
      <c r="E755" t="s">
        <v>1726</v>
      </c>
      <c r="F755" t="s">
        <v>3185</v>
      </c>
      <c r="G755" t="s">
        <v>2241</v>
      </c>
      <c r="H755">
        <v>10</v>
      </c>
      <c r="I755">
        <v>4</v>
      </c>
      <c r="J755" t="s">
        <v>1</v>
      </c>
    </row>
    <row r="756" spans="3:10" x14ac:dyDescent="0.25">
      <c r="C756">
        <v>753</v>
      </c>
      <c r="D756">
        <v>120500707</v>
      </c>
      <c r="E756" t="s">
        <v>1727</v>
      </c>
      <c r="F756" t="s">
        <v>3186</v>
      </c>
      <c r="G756" t="s">
        <v>2241</v>
      </c>
      <c r="H756">
        <v>10</v>
      </c>
      <c r="I756">
        <v>4</v>
      </c>
      <c r="J756" t="s">
        <v>1</v>
      </c>
    </row>
    <row r="757" spans="3:10" x14ac:dyDescent="0.25">
      <c r="C757">
        <v>754</v>
      </c>
      <c r="D757">
        <v>209020562</v>
      </c>
      <c r="E757" t="s">
        <v>1728</v>
      </c>
      <c r="F757" t="s">
        <v>3187</v>
      </c>
      <c r="G757" t="s">
        <v>2241</v>
      </c>
      <c r="H757">
        <v>10</v>
      </c>
      <c r="I757">
        <v>4</v>
      </c>
      <c r="J757" t="s">
        <v>1</v>
      </c>
    </row>
    <row r="758" spans="3:10" x14ac:dyDescent="0.25">
      <c r="C758">
        <v>755</v>
      </c>
      <c r="D758">
        <v>209070941</v>
      </c>
      <c r="E758" t="s">
        <v>3188</v>
      </c>
      <c r="F758" t="s">
        <v>3189</v>
      </c>
      <c r="G758" t="s">
        <v>2241</v>
      </c>
      <c r="H758">
        <v>10</v>
      </c>
      <c r="I758">
        <v>4</v>
      </c>
      <c r="J758" t="s">
        <v>1</v>
      </c>
    </row>
    <row r="759" spans="3:10" x14ac:dyDescent="0.25">
      <c r="C759">
        <v>756</v>
      </c>
      <c r="D759">
        <v>209150074</v>
      </c>
      <c r="E759" t="s">
        <v>1730</v>
      </c>
      <c r="F759" t="s">
        <v>3190</v>
      </c>
      <c r="G759" t="s">
        <v>2241</v>
      </c>
      <c r="H759">
        <v>10</v>
      </c>
      <c r="I759">
        <v>4</v>
      </c>
      <c r="J759" t="s">
        <v>1</v>
      </c>
    </row>
    <row r="760" spans="3:10" x14ac:dyDescent="0.25">
      <c r="C760">
        <v>757</v>
      </c>
      <c r="D760">
        <v>402850174</v>
      </c>
      <c r="E760" t="s">
        <v>1716</v>
      </c>
      <c r="F760" t="s">
        <v>3191</v>
      </c>
      <c r="G760" t="s">
        <v>2241</v>
      </c>
      <c r="H760">
        <v>10</v>
      </c>
      <c r="I760">
        <v>4</v>
      </c>
      <c r="J760" t="s">
        <v>1</v>
      </c>
    </row>
    <row r="761" spans="3:10" x14ac:dyDescent="0.25">
      <c r="C761">
        <v>758</v>
      </c>
      <c r="D761">
        <v>120490481</v>
      </c>
      <c r="E761" t="s">
        <v>1731</v>
      </c>
      <c r="F761" t="s">
        <v>3192</v>
      </c>
      <c r="G761" t="s">
        <v>741</v>
      </c>
      <c r="H761">
        <v>10</v>
      </c>
      <c r="I761">
        <v>4</v>
      </c>
      <c r="J761" t="s">
        <v>0</v>
      </c>
    </row>
    <row r="762" spans="3:10" x14ac:dyDescent="0.25">
      <c r="C762">
        <v>759</v>
      </c>
      <c r="D762">
        <v>209200764</v>
      </c>
      <c r="E762" t="s">
        <v>1732</v>
      </c>
      <c r="F762" t="s">
        <v>3193</v>
      </c>
      <c r="G762" t="s">
        <v>741</v>
      </c>
      <c r="H762">
        <v>10</v>
      </c>
      <c r="I762">
        <v>4</v>
      </c>
      <c r="J762" t="s">
        <v>0</v>
      </c>
    </row>
    <row r="763" spans="3:10" x14ac:dyDescent="0.25">
      <c r="C763">
        <v>760</v>
      </c>
      <c r="D763">
        <v>209250031</v>
      </c>
      <c r="E763" t="s">
        <v>1733</v>
      </c>
      <c r="F763" t="s">
        <v>3194</v>
      </c>
      <c r="G763" t="s">
        <v>741</v>
      </c>
      <c r="H763">
        <v>10</v>
      </c>
      <c r="I763">
        <v>4</v>
      </c>
      <c r="J763" t="s">
        <v>0</v>
      </c>
    </row>
    <row r="764" spans="3:10" x14ac:dyDescent="0.25">
      <c r="C764">
        <v>761</v>
      </c>
      <c r="D764">
        <v>209200094</v>
      </c>
      <c r="E764" t="s">
        <v>1734</v>
      </c>
      <c r="F764" t="s">
        <v>3195</v>
      </c>
      <c r="G764" t="s">
        <v>741</v>
      </c>
      <c r="H764">
        <v>10</v>
      </c>
      <c r="I764">
        <v>4</v>
      </c>
      <c r="J764" t="s">
        <v>0</v>
      </c>
    </row>
    <row r="765" spans="3:10" x14ac:dyDescent="0.25">
      <c r="C765">
        <v>762</v>
      </c>
      <c r="D765">
        <v>209140628</v>
      </c>
      <c r="E765" t="s">
        <v>1735</v>
      </c>
      <c r="F765" t="s">
        <v>3196</v>
      </c>
      <c r="G765" t="s">
        <v>741</v>
      </c>
      <c r="H765">
        <v>10</v>
      </c>
      <c r="I765">
        <v>4</v>
      </c>
      <c r="J765" t="s">
        <v>0</v>
      </c>
    </row>
    <row r="766" spans="3:10" x14ac:dyDescent="0.25">
      <c r="C766">
        <v>763</v>
      </c>
      <c r="D766">
        <v>402810841</v>
      </c>
      <c r="E766" t="s">
        <v>1736</v>
      </c>
      <c r="F766" t="s">
        <v>3197</v>
      </c>
      <c r="G766" t="s">
        <v>741</v>
      </c>
      <c r="H766">
        <v>10</v>
      </c>
      <c r="I766">
        <v>4</v>
      </c>
      <c r="J766" t="s">
        <v>0</v>
      </c>
    </row>
    <row r="767" spans="3:10" x14ac:dyDescent="0.25">
      <c r="C767">
        <v>764</v>
      </c>
      <c r="D767">
        <v>209140516</v>
      </c>
      <c r="E767" t="s">
        <v>1737</v>
      </c>
      <c r="F767" t="s">
        <v>3198</v>
      </c>
      <c r="G767" t="s">
        <v>741</v>
      </c>
      <c r="H767">
        <v>10</v>
      </c>
      <c r="I767">
        <v>4</v>
      </c>
      <c r="J767" t="s">
        <v>0</v>
      </c>
    </row>
    <row r="768" spans="3:10" x14ac:dyDescent="0.25">
      <c r="C768">
        <v>765</v>
      </c>
      <c r="D768">
        <v>402840182</v>
      </c>
      <c r="E768" t="s">
        <v>1738</v>
      </c>
      <c r="F768" t="s">
        <v>3199</v>
      </c>
      <c r="G768" t="s">
        <v>741</v>
      </c>
      <c r="H768">
        <v>10</v>
      </c>
      <c r="I768">
        <v>4</v>
      </c>
      <c r="J768" t="s">
        <v>0</v>
      </c>
    </row>
    <row r="769" spans="3:10" x14ac:dyDescent="0.25">
      <c r="C769">
        <v>766</v>
      </c>
      <c r="D769">
        <v>209200205</v>
      </c>
      <c r="E769" t="s">
        <v>1739</v>
      </c>
      <c r="F769" t="s">
        <v>3200</v>
      </c>
      <c r="G769" t="s">
        <v>741</v>
      </c>
      <c r="H769">
        <v>10</v>
      </c>
      <c r="I769">
        <v>4</v>
      </c>
      <c r="J769" t="s">
        <v>0</v>
      </c>
    </row>
    <row r="770" spans="3:10" x14ac:dyDescent="0.25">
      <c r="C770">
        <v>767</v>
      </c>
      <c r="D770">
        <v>209190502</v>
      </c>
      <c r="E770" t="s">
        <v>1740</v>
      </c>
      <c r="F770" t="s">
        <v>3201</v>
      </c>
      <c r="G770" t="s">
        <v>741</v>
      </c>
      <c r="H770">
        <v>10</v>
      </c>
      <c r="I770">
        <v>4</v>
      </c>
      <c r="J770" t="s">
        <v>0</v>
      </c>
    </row>
    <row r="771" spans="3:10" x14ac:dyDescent="0.25">
      <c r="C771">
        <v>768</v>
      </c>
      <c r="D771" t="s">
        <v>2326</v>
      </c>
      <c r="E771" t="s">
        <v>2326</v>
      </c>
      <c r="F771" t="s">
        <v>3202</v>
      </c>
      <c r="G771" t="s">
        <v>741</v>
      </c>
      <c r="H771">
        <v>10</v>
      </c>
      <c r="I771">
        <v>4</v>
      </c>
      <c r="J771" t="s">
        <v>0</v>
      </c>
    </row>
    <row r="772" spans="3:10" x14ac:dyDescent="0.25">
      <c r="C772">
        <v>769</v>
      </c>
      <c r="D772">
        <v>209120360</v>
      </c>
      <c r="E772" t="s">
        <v>1741</v>
      </c>
      <c r="F772" t="s">
        <v>3203</v>
      </c>
      <c r="G772" t="s">
        <v>741</v>
      </c>
      <c r="H772">
        <v>10</v>
      </c>
      <c r="I772">
        <v>4</v>
      </c>
      <c r="J772" t="s">
        <v>0</v>
      </c>
    </row>
    <row r="773" spans="3:10" x14ac:dyDescent="0.25">
      <c r="C773">
        <v>770</v>
      </c>
      <c r="D773">
        <v>209090475</v>
      </c>
      <c r="E773" t="s">
        <v>1742</v>
      </c>
      <c r="F773" t="s">
        <v>3204</v>
      </c>
      <c r="G773" t="s">
        <v>741</v>
      </c>
      <c r="H773">
        <v>10</v>
      </c>
      <c r="I773">
        <v>4</v>
      </c>
      <c r="J773" t="s">
        <v>0</v>
      </c>
    </row>
    <row r="774" spans="3:10" x14ac:dyDescent="0.25">
      <c r="C774">
        <v>771</v>
      </c>
      <c r="D774" t="s">
        <v>623</v>
      </c>
      <c r="E774" t="s">
        <v>623</v>
      </c>
      <c r="F774" t="s">
        <v>3205</v>
      </c>
      <c r="G774" t="s">
        <v>741</v>
      </c>
      <c r="H774">
        <v>10</v>
      </c>
      <c r="I774">
        <v>4</v>
      </c>
      <c r="J774" t="s">
        <v>0</v>
      </c>
    </row>
    <row r="775" spans="3:10" x14ac:dyDescent="0.25">
      <c r="C775">
        <v>772</v>
      </c>
      <c r="D775">
        <v>120090091</v>
      </c>
      <c r="E775" t="s">
        <v>1743</v>
      </c>
      <c r="F775" t="s">
        <v>3206</v>
      </c>
      <c r="G775" t="s">
        <v>741</v>
      </c>
      <c r="H775">
        <v>10</v>
      </c>
      <c r="I775">
        <v>4</v>
      </c>
      <c r="J775" t="s">
        <v>0</v>
      </c>
    </row>
    <row r="776" spans="3:10" x14ac:dyDescent="0.25">
      <c r="C776">
        <v>773</v>
      </c>
      <c r="D776">
        <v>120320498</v>
      </c>
      <c r="E776" t="s">
        <v>1744</v>
      </c>
      <c r="F776" t="s">
        <v>3207</v>
      </c>
      <c r="G776" t="s">
        <v>741</v>
      </c>
      <c r="H776">
        <v>10</v>
      </c>
      <c r="I776">
        <v>4</v>
      </c>
      <c r="J776" t="s">
        <v>0</v>
      </c>
    </row>
    <row r="777" spans="3:10" x14ac:dyDescent="0.25">
      <c r="C777">
        <v>774</v>
      </c>
      <c r="D777">
        <v>402770617</v>
      </c>
      <c r="E777" t="s">
        <v>1745</v>
      </c>
      <c r="F777" t="s">
        <v>3208</v>
      </c>
      <c r="G777" t="s">
        <v>741</v>
      </c>
      <c r="H777">
        <v>10</v>
      </c>
      <c r="I777">
        <v>4</v>
      </c>
      <c r="J777" t="s">
        <v>0</v>
      </c>
    </row>
    <row r="778" spans="3:10" x14ac:dyDescent="0.25">
      <c r="C778">
        <v>775</v>
      </c>
      <c r="D778">
        <v>209050444</v>
      </c>
      <c r="E778" t="s">
        <v>1746</v>
      </c>
      <c r="F778" t="s">
        <v>3209</v>
      </c>
      <c r="G778" t="s">
        <v>629</v>
      </c>
      <c r="H778">
        <v>10</v>
      </c>
      <c r="I778">
        <v>5</v>
      </c>
      <c r="J778" t="s">
        <v>1</v>
      </c>
    </row>
    <row r="779" spans="3:10" x14ac:dyDescent="0.25">
      <c r="C779">
        <v>776</v>
      </c>
      <c r="D779">
        <v>402840382</v>
      </c>
      <c r="E779" t="s">
        <v>1747</v>
      </c>
      <c r="F779" t="s">
        <v>3210</v>
      </c>
      <c r="G779" t="s">
        <v>629</v>
      </c>
      <c r="H779">
        <v>10</v>
      </c>
      <c r="I779">
        <v>5</v>
      </c>
      <c r="J779" t="s">
        <v>1</v>
      </c>
    </row>
    <row r="780" spans="3:10" x14ac:dyDescent="0.25">
      <c r="C780">
        <v>777</v>
      </c>
      <c r="D780">
        <v>402840263</v>
      </c>
      <c r="E780" t="s">
        <v>1748</v>
      </c>
      <c r="F780" t="s">
        <v>3211</v>
      </c>
      <c r="G780" t="s">
        <v>629</v>
      </c>
      <c r="H780">
        <v>10</v>
      </c>
      <c r="I780">
        <v>5</v>
      </c>
      <c r="J780" t="s">
        <v>1</v>
      </c>
    </row>
    <row r="781" spans="3:10" x14ac:dyDescent="0.25">
      <c r="C781">
        <v>778</v>
      </c>
      <c r="D781">
        <v>402850401</v>
      </c>
      <c r="E781" t="s">
        <v>1750</v>
      </c>
      <c r="F781" t="s">
        <v>3212</v>
      </c>
      <c r="G781" t="s">
        <v>629</v>
      </c>
      <c r="H781">
        <v>10</v>
      </c>
      <c r="I781">
        <v>5</v>
      </c>
      <c r="J781" t="s">
        <v>1</v>
      </c>
    </row>
    <row r="782" spans="3:10" x14ac:dyDescent="0.25">
      <c r="C782">
        <v>779</v>
      </c>
      <c r="D782">
        <v>402840163</v>
      </c>
      <c r="E782" t="s">
        <v>1751</v>
      </c>
      <c r="F782" t="s">
        <v>3213</v>
      </c>
      <c r="G782" t="s">
        <v>629</v>
      </c>
      <c r="H782">
        <v>10</v>
      </c>
      <c r="I782">
        <v>5</v>
      </c>
      <c r="J782" t="s">
        <v>1</v>
      </c>
    </row>
    <row r="783" spans="3:10" x14ac:dyDescent="0.25">
      <c r="C783">
        <v>780</v>
      </c>
      <c r="D783">
        <v>209170664</v>
      </c>
      <c r="E783" t="s">
        <v>1752</v>
      </c>
      <c r="F783" t="s">
        <v>3214</v>
      </c>
      <c r="G783" t="s">
        <v>629</v>
      </c>
      <c r="H783">
        <v>10</v>
      </c>
      <c r="I783">
        <v>5</v>
      </c>
      <c r="J783" t="s">
        <v>1</v>
      </c>
    </row>
    <row r="784" spans="3:10" x14ac:dyDescent="0.25">
      <c r="C784">
        <v>781</v>
      </c>
      <c r="D784">
        <v>209140556</v>
      </c>
      <c r="E784" t="s">
        <v>1753</v>
      </c>
      <c r="F784" t="s">
        <v>3215</v>
      </c>
      <c r="G784" t="s">
        <v>629</v>
      </c>
      <c r="H784">
        <v>10</v>
      </c>
      <c r="I784">
        <v>5</v>
      </c>
      <c r="J784" t="s">
        <v>1</v>
      </c>
    </row>
    <row r="785" spans="3:10" x14ac:dyDescent="0.25">
      <c r="C785">
        <v>782</v>
      </c>
      <c r="D785">
        <v>120500922</v>
      </c>
      <c r="E785" t="s">
        <v>1754</v>
      </c>
      <c r="F785" t="s">
        <v>3216</v>
      </c>
      <c r="G785" t="s">
        <v>629</v>
      </c>
      <c r="H785">
        <v>10</v>
      </c>
      <c r="I785">
        <v>5</v>
      </c>
      <c r="J785" t="s">
        <v>1</v>
      </c>
    </row>
    <row r="786" spans="3:10" x14ac:dyDescent="0.25">
      <c r="C786">
        <v>783</v>
      </c>
      <c r="D786">
        <v>209190511</v>
      </c>
      <c r="E786" t="s">
        <v>1755</v>
      </c>
      <c r="F786" t="s">
        <v>3217</v>
      </c>
      <c r="G786" t="s">
        <v>629</v>
      </c>
      <c r="H786">
        <v>10</v>
      </c>
      <c r="I786">
        <v>5</v>
      </c>
      <c r="J786" t="s">
        <v>1</v>
      </c>
    </row>
    <row r="787" spans="3:10" x14ac:dyDescent="0.25">
      <c r="C787">
        <v>784</v>
      </c>
      <c r="D787">
        <v>209220058</v>
      </c>
      <c r="E787" t="s">
        <v>1756</v>
      </c>
      <c r="F787" t="s">
        <v>3218</v>
      </c>
      <c r="G787" t="s">
        <v>629</v>
      </c>
      <c r="H787">
        <v>10</v>
      </c>
      <c r="I787">
        <v>5</v>
      </c>
      <c r="J787" t="s">
        <v>1</v>
      </c>
    </row>
    <row r="788" spans="3:10" x14ac:dyDescent="0.25">
      <c r="C788">
        <v>785</v>
      </c>
      <c r="D788" t="s">
        <v>640</v>
      </c>
      <c r="E788" t="s">
        <v>640</v>
      </c>
      <c r="F788" t="s">
        <v>3219</v>
      </c>
      <c r="G788" t="s">
        <v>629</v>
      </c>
      <c r="H788">
        <v>10</v>
      </c>
      <c r="I788">
        <v>5</v>
      </c>
      <c r="J788" t="s">
        <v>1</v>
      </c>
    </row>
    <row r="789" spans="3:10" x14ac:dyDescent="0.25">
      <c r="C789">
        <v>786</v>
      </c>
      <c r="D789">
        <v>209110882</v>
      </c>
      <c r="E789" t="s">
        <v>1757</v>
      </c>
      <c r="F789" t="s">
        <v>3220</v>
      </c>
      <c r="G789" t="s">
        <v>629</v>
      </c>
      <c r="H789">
        <v>10</v>
      </c>
      <c r="I789">
        <v>5</v>
      </c>
      <c r="J789" t="s">
        <v>1</v>
      </c>
    </row>
    <row r="790" spans="3:10" x14ac:dyDescent="0.25">
      <c r="C790">
        <v>787</v>
      </c>
      <c r="D790">
        <v>402850079</v>
      </c>
      <c r="E790" t="s">
        <v>1758</v>
      </c>
      <c r="F790" t="s">
        <v>3221</v>
      </c>
      <c r="G790" t="s">
        <v>629</v>
      </c>
      <c r="H790">
        <v>10</v>
      </c>
      <c r="I790">
        <v>5</v>
      </c>
      <c r="J790" t="s">
        <v>1</v>
      </c>
    </row>
    <row r="791" spans="3:10" x14ac:dyDescent="0.25">
      <c r="C791">
        <v>788</v>
      </c>
      <c r="D791">
        <v>120480423</v>
      </c>
      <c r="E791" t="s">
        <v>1759</v>
      </c>
      <c r="F791" t="s">
        <v>3222</v>
      </c>
      <c r="G791" t="s">
        <v>629</v>
      </c>
      <c r="H791">
        <v>10</v>
      </c>
      <c r="I791">
        <v>5</v>
      </c>
      <c r="J791" t="s">
        <v>1</v>
      </c>
    </row>
    <row r="792" spans="3:10" x14ac:dyDescent="0.25">
      <c r="C792">
        <v>789</v>
      </c>
      <c r="D792">
        <v>209110883</v>
      </c>
      <c r="E792" t="s">
        <v>1760</v>
      </c>
      <c r="F792" t="s">
        <v>3223</v>
      </c>
      <c r="G792" t="s">
        <v>629</v>
      </c>
      <c r="H792">
        <v>10</v>
      </c>
      <c r="I792">
        <v>5</v>
      </c>
      <c r="J792" t="s">
        <v>1</v>
      </c>
    </row>
    <row r="793" spans="3:10" x14ac:dyDescent="0.25">
      <c r="C793">
        <v>790</v>
      </c>
      <c r="D793">
        <v>209190718</v>
      </c>
      <c r="E793" t="s">
        <v>1761</v>
      </c>
      <c r="F793" t="s">
        <v>3224</v>
      </c>
      <c r="G793" t="s">
        <v>629</v>
      </c>
      <c r="H793">
        <v>10</v>
      </c>
      <c r="I793">
        <v>5</v>
      </c>
      <c r="J793" t="s">
        <v>1</v>
      </c>
    </row>
    <row r="794" spans="3:10" x14ac:dyDescent="0.25">
      <c r="C794">
        <v>791</v>
      </c>
      <c r="D794">
        <v>209160473</v>
      </c>
      <c r="E794" t="s">
        <v>1762</v>
      </c>
      <c r="F794" t="s">
        <v>3225</v>
      </c>
      <c r="G794" t="s">
        <v>647</v>
      </c>
      <c r="H794">
        <v>10</v>
      </c>
      <c r="I794">
        <v>5</v>
      </c>
      <c r="J794" t="s">
        <v>0</v>
      </c>
    </row>
    <row r="795" spans="3:10" x14ac:dyDescent="0.25">
      <c r="C795">
        <v>792</v>
      </c>
      <c r="D795">
        <v>120520821</v>
      </c>
      <c r="E795" t="s">
        <v>1763</v>
      </c>
      <c r="F795" t="s">
        <v>3226</v>
      </c>
      <c r="G795" t="s">
        <v>647</v>
      </c>
      <c r="H795">
        <v>10</v>
      </c>
      <c r="I795">
        <v>5</v>
      </c>
      <c r="J795" t="s">
        <v>0</v>
      </c>
    </row>
    <row r="796" spans="3:10" x14ac:dyDescent="0.25">
      <c r="C796">
        <v>793</v>
      </c>
      <c r="D796">
        <v>120750401</v>
      </c>
      <c r="E796" t="s">
        <v>1764</v>
      </c>
      <c r="F796" t="s">
        <v>3227</v>
      </c>
      <c r="G796" t="s">
        <v>647</v>
      </c>
      <c r="H796">
        <v>10</v>
      </c>
      <c r="I796">
        <v>5</v>
      </c>
      <c r="J796" t="s">
        <v>0</v>
      </c>
    </row>
    <row r="797" spans="3:10" x14ac:dyDescent="0.25">
      <c r="C797">
        <v>794</v>
      </c>
      <c r="D797">
        <v>402820512</v>
      </c>
      <c r="E797" t="s">
        <v>1765</v>
      </c>
      <c r="F797" t="s">
        <v>3228</v>
      </c>
      <c r="G797" t="s">
        <v>647</v>
      </c>
      <c r="H797">
        <v>10</v>
      </c>
      <c r="I797">
        <v>5</v>
      </c>
      <c r="J797" t="s">
        <v>0</v>
      </c>
    </row>
    <row r="798" spans="3:10" x14ac:dyDescent="0.25">
      <c r="C798">
        <v>795</v>
      </c>
      <c r="D798">
        <v>209220353</v>
      </c>
      <c r="E798" t="s">
        <v>1766</v>
      </c>
      <c r="F798" t="s">
        <v>3229</v>
      </c>
      <c r="G798" t="s">
        <v>647</v>
      </c>
      <c r="H798">
        <v>10</v>
      </c>
      <c r="I798">
        <v>5</v>
      </c>
      <c r="J798" t="s">
        <v>0</v>
      </c>
    </row>
    <row r="799" spans="3:10" x14ac:dyDescent="0.25">
      <c r="C799">
        <v>796</v>
      </c>
      <c r="D799">
        <v>209130177</v>
      </c>
      <c r="E799" t="s">
        <v>1767</v>
      </c>
      <c r="F799" t="s">
        <v>3230</v>
      </c>
      <c r="G799" t="s">
        <v>647</v>
      </c>
      <c r="H799">
        <v>10</v>
      </c>
      <c r="I799">
        <v>5</v>
      </c>
      <c r="J799" t="s">
        <v>0</v>
      </c>
    </row>
    <row r="800" spans="3:10" x14ac:dyDescent="0.25">
      <c r="C800">
        <v>797</v>
      </c>
      <c r="D800">
        <v>209200440</v>
      </c>
      <c r="E800" t="s">
        <v>1768</v>
      </c>
      <c r="F800" t="s">
        <v>3231</v>
      </c>
      <c r="G800" t="s">
        <v>647</v>
      </c>
      <c r="H800">
        <v>10</v>
      </c>
      <c r="I800">
        <v>5</v>
      </c>
      <c r="J800" t="s">
        <v>0</v>
      </c>
    </row>
    <row r="801" spans="3:10" x14ac:dyDescent="0.25">
      <c r="C801">
        <v>798</v>
      </c>
      <c r="D801">
        <v>209210829</v>
      </c>
      <c r="E801" t="s">
        <v>1769</v>
      </c>
      <c r="F801" t="s">
        <v>3232</v>
      </c>
      <c r="G801" t="s">
        <v>647</v>
      </c>
      <c r="H801">
        <v>10</v>
      </c>
      <c r="I801">
        <v>5</v>
      </c>
      <c r="J801" t="s">
        <v>0</v>
      </c>
    </row>
    <row r="802" spans="3:10" x14ac:dyDescent="0.25">
      <c r="C802">
        <v>799</v>
      </c>
      <c r="D802">
        <v>120610824</v>
      </c>
      <c r="E802" t="s">
        <v>1770</v>
      </c>
      <c r="F802" t="s">
        <v>3233</v>
      </c>
      <c r="G802" t="s">
        <v>656</v>
      </c>
      <c r="H802">
        <v>10</v>
      </c>
      <c r="I802">
        <v>6</v>
      </c>
      <c r="J802" t="s">
        <v>1</v>
      </c>
    </row>
    <row r="803" spans="3:10" x14ac:dyDescent="0.25">
      <c r="C803">
        <v>800</v>
      </c>
      <c r="D803">
        <v>209150527</v>
      </c>
      <c r="E803" t="s">
        <v>1771</v>
      </c>
      <c r="F803" t="s">
        <v>3234</v>
      </c>
      <c r="G803" t="s">
        <v>656</v>
      </c>
      <c r="H803">
        <v>10</v>
      </c>
      <c r="I803">
        <v>6</v>
      </c>
      <c r="J803" t="s">
        <v>1</v>
      </c>
    </row>
    <row r="804" spans="3:10" x14ac:dyDescent="0.25">
      <c r="C804">
        <v>801</v>
      </c>
      <c r="D804">
        <v>402830332</v>
      </c>
      <c r="E804" t="s">
        <v>1772</v>
      </c>
      <c r="F804" t="s">
        <v>3235</v>
      </c>
      <c r="G804" t="s">
        <v>656</v>
      </c>
      <c r="H804">
        <v>10</v>
      </c>
      <c r="I804">
        <v>6</v>
      </c>
      <c r="J804" t="s">
        <v>1</v>
      </c>
    </row>
    <row r="805" spans="3:10" x14ac:dyDescent="0.25">
      <c r="C805">
        <v>802</v>
      </c>
      <c r="D805">
        <v>402850096</v>
      </c>
      <c r="E805" t="s">
        <v>1773</v>
      </c>
      <c r="F805" t="s">
        <v>3236</v>
      </c>
      <c r="G805" t="s">
        <v>656</v>
      </c>
      <c r="H805">
        <v>10</v>
      </c>
      <c r="I805">
        <v>6</v>
      </c>
      <c r="J805" t="s">
        <v>1</v>
      </c>
    </row>
    <row r="806" spans="3:10" x14ac:dyDescent="0.25">
      <c r="C806">
        <v>803</v>
      </c>
      <c r="D806">
        <v>209180085</v>
      </c>
      <c r="E806" t="s">
        <v>1774</v>
      </c>
      <c r="F806" t="s">
        <v>3237</v>
      </c>
      <c r="G806" t="s">
        <v>656</v>
      </c>
      <c r="H806">
        <v>10</v>
      </c>
      <c r="I806">
        <v>6</v>
      </c>
      <c r="J806" t="s">
        <v>1</v>
      </c>
    </row>
    <row r="807" spans="3:10" x14ac:dyDescent="0.25">
      <c r="C807">
        <v>804</v>
      </c>
      <c r="D807">
        <v>120450591</v>
      </c>
      <c r="E807" t="s">
        <v>1775</v>
      </c>
      <c r="F807" t="s">
        <v>3238</v>
      </c>
      <c r="G807" t="s">
        <v>656</v>
      </c>
      <c r="H807">
        <v>10</v>
      </c>
      <c r="I807">
        <v>6</v>
      </c>
      <c r="J807" t="s">
        <v>1</v>
      </c>
    </row>
    <row r="808" spans="3:10" x14ac:dyDescent="0.25">
      <c r="C808">
        <v>805</v>
      </c>
      <c r="D808">
        <v>605210279</v>
      </c>
      <c r="E808" t="s">
        <v>1776</v>
      </c>
      <c r="F808" t="s">
        <v>3239</v>
      </c>
      <c r="G808" t="s">
        <v>656</v>
      </c>
      <c r="H808">
        <v>10</v>
      </c>
      <c r="I808">
        <v>6</v>
      </c>
      <c r="J808" t="s">
        <v>1</v>
      </c>
    </row>
    <row r="809" spans="3:10" x14ac:dyDescent="0.25">
      <c r="C809">
        <v>806</v>
      </c>
      <c r="D809">
        <v>402860516</v>
      </c>
      <c r="E809" t="s">
        <v>1777</v>
      </c>
      <c r="F809" t="s">
        <v>3240</v>
      </c>
      <c r="G809" t="s">
        <v>656</v>
      </c>
      <c r="H809">
        <v>10</v>
      </c>
      <c r="I809">
        <v>6</v>
      </c>
      <c r="J809" t="s">
        <v>1</v>
      </c>
    </row>
    <row r="810" spans="3:10" x14ac:dyDescent="0.25">
      <c r="C810">
        <v>807</v>
      </c>
      <c r="D810">
        <v>209050837</v>
      </c>
      <c r="E810" t="s">
        <v>1778</v>
      </c>
      <c r="F810" t="s">
        <v>3241</v>
      </c>
      <c r="G810" t="s">
        <v>656</v>
      </c>
      <c r="H810">
        <v>10</v>
      </c>
      <c r="I810">
        <v>6</v>
      </c>
      <c r="J810" t="s">
        <v>1</v>
      </c>
    </row>
    <row r="811" spans="3:10" x14ac:dyDescent="0.25">
      <c r="C811">
        <v>808</v>
      </c>
      <c r="D811">
        <v>209150388</v>
      </c>
      <c r="E811" t="s">
        <v>1779</v>
      </c>
      <c r="F811" t="s">
        <v>3242</v>
      </c>
      <c r="G811" t="s">
        <v>656</v>
      </c>
      <c r="H811">
        <v>10</v>
      </c>
      <c r="I811">
        <v>6</v>
      </c>
      <c r="J811" t="s">
        <v>1</v>
      </c>
    </row>
    <row r="812" spans="3:10" x14ac:dyDescent="0.25">
      <c r="C812">
        <v>809</v>
      </c>
      <c r="D812">
        <v>209210193</v>
      </c>
      <c r="E812" t="s">
        <v>1781</v>
      </c>
      <c r="F812" t="s">
        <v>3243</v>
      </c>
      <c r="G812" t="s">
        <v>656</v>
      </c>
      <c r="H812">
        <v>10</v>
      </c>
      <c r="I812">
        <v>6</v>
      </c>
      <c r="J812" t="s">
        <v>1</v>
      </c>
    </row>
    <row r="813" spans="3:10" x14ac:dyDescent="0.25">
      <c r="C813">
        <v>810</v>
      </c>
      <c r="D813">
        <v>209200536</v>
      </c>
      <c r="E813" t="s">
        <v>1782</v>
      </c>
      <c r="F813" t="s">
        <v>3244</v>
      </c>
      <c r="G813" t="s">
        <v>656</v>
      </c>
      <c r="H813">
        <v>10</v>
      </c>
      <c r="I813">
        <v>6</v>
      </c>
      <c r="J813" t="s">
        <v>1</v>
      </c>
    </row>
    <row r="814" spans="3:10" x14ac:dyDescent="0.25">
      <c r="C814">
        <v>811</v>
      </c>
      <c r="D814">
        <v>402810155</v>
      </c>
      <c r="E814" t="s">
        <v>1783</v>
      </c>
      <c r="F814" t="s">
        <v>3245</v>
      </c>
      <c r="G814" t="s">
        <v>656</v>
      </c>
      <c r="H814">
        <v>10</v>
      </c>
      <c r="I814">
        <v>6</v>
      </c>
      <c r="J814" t="s">
        <v>1</v>
      </c>
    </row>
    <row r="815" spans="3:10" x14ac:dyDescent="0.25">
      <c r="C815">
        <v>812</v>
      </c>
      <c r="D815">
        <v>209200067</v>
      </c>
      <c r="E815" t="s">
        <v>1784</v>
      </c>
      <c r="F815" t="s">
        <v>3246</v>
      </c>
      <c r="G815" t="s">
        <v>656</v>
      </c>
      <c r="H815">
        <v>10</v>
      </c>
      <c r="I815">
        <v>6</v>
      </c>
      <c r="J815" t="s">
        <v>1</v>
      </c>
    </row>
    <row r="816" spans="3:10" x14ac:dyDescent="0.25">
      <c r="C816">
        <v>813</v>
      </c>
      <c r="D816">
        <v>209040815</v>
      </c>
      <c r="E816" t="s">
        <v>1785</v>
      </c>
      <c r="F816" t="s">
        <v>3247</v>
      </c>
      <c r="G816" t="s">
        <v>656</v>
      </c>
      <c r="H816">
        <v>10</v>
      </c>
      <c r="I816">
        <v>6</v>
      </c>
      <c r="J816" t="s">
        <v>1</v>
      </c>
    </row>
    <row r="817" spans="3:10" x14ac:dyDescent="0.25">
      <c r="C817">
        <v>814</v>
      </c>
      <c r="D817">
        <v>209210489</v>
      </c>
      <c r="E817" t="s">
        <v>1786</v>
      </c>
      <c r="F817" t="s">
        <v>3248</v>
      </c>
      <c r="G817" t="s">
        <v>656</v>
      </c>
      <c r="H817">
        <v>10</v>
      </c>
      <c r="I817">
        <v>6</v>
      </c>
      <c r="J817" t="s">
        <v>1</v>
      </c>
    </row>
    <row r="818" spans="3:10" x14ac:dyDescent="0.25">
      <c r="C818">
        <v>815</v>
      </c>
      <c r="D818">
        <v>209160311</v>
      </c>
      <c r="E818" t="s">
        <v>1787</v>
      </c>
      <c r="F818" t="s">
        <v>3249</v>
      </c>
      <c r="G818" t="s">
        <v>656</v>
      </c>
      <c r="H818">
        <v>10</v>
      </c>
      <c r="I818">
        <v>6</v>
      </c>
      <c r="J818" t="s">
        <v>1</v>
      </c>
    </row>
    <row r="819" spans="3:10" x14ac:dyDescent="0.25">
      <c r="C819">
        <v>816</v>
      </c>
      <c r="D819">
        <v>209190711</v>
      </c>
      <c r="E819" t="s">
        <v>1788</v>
      </c>
      <c r="F819" t="s">
        <v>3250</v>
      </c>
      <c r="G819" t="s">
        <v>675</v>
      </c>
      <c r="H819">
        <v>10</v>
      </c>
      <c r="I819">
        <v>6</v>
      </c>
      <c r="J819" t="s">
        <v>0</v>
      </c>
    </row>
    <row r="820" spans="3:10" x14ac:dyDescent="0.25">
      <c r="C820">
        <v>817</v>
      </c>
      <c r="D820">
        <v>208910223</v>
      </c>
      <c r="E820" t="s">
        <v>1789</v>
      </c>
      <c r="F820" t="s">
        <v>3251</v>
      </c>
      <c r="G820" t="s">
        <v>675</v>
      </c>
      <c r="H820">
        <v>10</v>
      </c>
      <c r="I820">
        <v>6</v>
      </c>
      <c r="J820" t="s">
        <v>0</v>
      </c>
    </row>
    <row r="821" spans="3:10" x14ac:dyDescent="0.25">
      <c r="C821">
        <v>818</v>
      </c>
      <c r="D821">
        <v>402830284</v>
      </c>
      <c r="E821" t="s">
        <v>1790</v>
      </c>
      <c r="F821" t="s">
        <v>3252</v>
      </c>
      <c r="G821" t="s">
        <v>675</v>
      </c>
      <c r="H821">
        <v>10</v>
      </c>
      <c r="I821">
        <v>6</v>
      </c>
      <c r="J821" t="s">
        <v>0</v>
      </c>
    </row>
    <row r="822" spans="3:10" x14ac:dyDescent="0.25">
      <c r="C822">
        <v>819</v>
      </c>
      <c r="D822">
        <v>209160281</v>
      </c>
      <c r="E822" t="s">
        <v>1791</v>
      </c>
      <c r="F822" t="s">
        <v>3253</v>
      </c>
      <c r="G822" t="s">
        <v>675</v>
      </c>
      <c r="H822">
        <v>10</v>
      </c>
      <c r="I822">
        <v>6</v>
      </c>
      <c r="J822" t="s">
        <v>0</v>
      </c>
    </row>
    <row r="823" spans="3:10" x14ac:dyDescent="0.25">
      <c r="C823">
        <v>820</v>
      </c>
      <c r="D823">
        <v>209110939</v>
      </c>
      <c r="E823" t="s">
        <v>1792</v>
      </c>
      <c r="F823" t="s">
        <v>3254</v>
      </c>
      <c r="G823" t="s">
        <v>675</v>
      </c>
      <c r="H823">
        <v>10</v>
      </c>
      <c r="I823">
        <v>6</v>
      </c>
      <c r="J823" t="s">
        <v>0</v>
      </c>
    </row>
    <row r="824" spans="3:10" x14ac:dyDescent="0.25">
      <c r="C824">
        <v>821</v>
      </c>
      <c r="D824">
        <v>209240045</v>
      </c>
      <c r="E824" t="s">
        <v>1793</v>
      </c>
      <c r="F824" t="s">
        <v>3255</v>
      </c>
      <c r="G824" t="s">
        <v>675</v>
      </c>
      <c r="H824">
        <v>10</v>
      </c>
      <c r="I824">
        <v>6</v>
      </c>
      <c r="J824" t="s">
        <v>0</v>
      </c>
    </row>
    <row r="825" spans="3:10" x14ac:dyDescent="0.25">
      <c r="C825">
        <v>822</v>
      </c>
      <c r="D825">
        <v>209230020</v>
      </c>
      <c r="E825" t="s">
        <v>1794</v>
      </c>
      <c r="F825" t="s">
        <v>3256</v>
      </c>
      <c r="G825" t="s">
        <v>675</v>
      </c>
      <c r="H825">
        <v>10</v>
      </c>
      <c r="I825">
        <v>6</v>
      </c>
      <c r="J825" t="s">
        <v>0</v>
      </c>
    </row>
    <row r="826" spans="3:10" x14ac:dyDescent="0.25">
      <c r="C826">
        <v>823</v>
      </c>
      <c r="D826">
        <v>402780847</v>
      </c>
      <c r="E826" t="s">
        <v>1795</v>
      </c>
      <c r="F826" t="s">
        <v>3257</v>
      </c>
      <c r="G826" t="s">
        <v>675</v>
      </c>
      <c r="H826">
        <v>10</v>
      </c>
      <c r="I826">
        <v>6</v>
      </c>
      <c r="J826" t="s">
        <v>0</v>
      </c>
    </row>
    <row r="827" spans="3:10" x14ac:dyDescent="0.25">
      <c r="C827">
        <v>824</v>
      </c>
      <c r="D827">
        <v>209160373</v>
      </c>
      <c r="E827" t="s">
        <v>1796</v>
      </c>
      <c r="F827" t="s">
        <v>3258</v>
      </c>
      <c r="G827" t="s">
        <v>675</v>
      </c>
      <c r="H827">
        <v>10</v>
      </c>
      <c r="I827">
        <v>6</v>
      </c>
      <c r="J827" t="s">
        <v>0</v>
      </c>
    </row>
    <row r="828" spans="3:10" x14ac:dyDescent="0.25">
      <c r="C828">
        <v>825</v>
      </c>
      <c r="D828">
        <v>402830812</v>
      </c>
      <c r="E828" t="s">
        <v>1797</v>
      </c>
      <c r="F828" t="s">
        <v>3259</v>
      </c>
      <c r="G828" t="s">
        <v>675</v>
      </c>
      <c r="H828">
        <v>10</v>
      </c>
      <c r="I828">
        <v>6</v>
      </c>
      <c r="J828" t="s">
        <v>0</v>
      </c>
    </row>
    <row r="829" spans="3:10" x14ac:dyDescent="0.25">
      <c r="C829">
        <v>826</v>
      </c>
      <c r="D829">
        <v>209120753</v>
      </c>
      <c r="E829" t="s">
        <v>3260</v>
      </c>
      <c r="F829" t="s">
        <v>3261</v>
      </c>
      <c r="G829" t="s">
        <v>675</v>
      </c>
      <c r="H829">
        <v>10</v>
      </c>
      <c r="I829">
        <v>6</v>
      </c>
      <c r="J829" t="s">
        <v>0</v>
      </c>
    </row>
    <row r="830" spans="3:10" x14ac:dyDescent="0.25">
      <c r="C830">
        <v>827</v>
      </c>
      <c r="D830">
        <v>120500316</v>
      </c>
      <c r="E830" t="s">
        <v>1799</v>
      </c>
      <c r="F830" t="s">
        <v>3262</v>
      </c>
      <c r="G830" t="s">
        <v>675</v>
      </c>
      <c r="H830">
        <v>10</v>
      </c>
      <c r="I830">
        <v>6</v>
      </c>
      <c r="J830" t="s">
        <v>0</v>
      </c>
    </row>
    <row r="831" spans="3:10" x14ac:dyDescent="0.25">
      <c r="C831">
        <v>828</v>
      </c>
      <c r="D831">
        <v>402830229</v>
      </c>
      <c r="E831" t="s">
        <v>1800</v>
      </c>
      <c r="F831" t="s">
        <v>3263</v>
      </c>
      <c r="G831" t="s">
        <v>675</v>
      </c>
      <c r="H831">
        <v>10</v>
      </c>
      <c r="I831">
        <v>6</v>
      </c>
      <c r="J831" t="s">
        <v>0</v>
      </c>
    </row>
    <row r="832" spans="3:10" x14ac:dyDescent="0.25">
      <c r="C832">
        <v>829</v>
      </c>
      <c r="D832">
        <v>402820586</v>
      </c>
      <c r="E832" t="s">
        <v>1801</v>
      </c>
      <c r="F832" t="s">
        <v>3264</v>
      </c>
      <c r="G832" t="s">
        <v>675</v>
      </c>
      <c r="H832">
        <v>10</v>
      </c>
      <c r="I832">
        <v>6</v>
      </c>
      <c r="J832" t="s">
        <v>0</v>
      </c>
    </row>
    <row r="833" spans="3:10" x14ac:dyDescent="0.25">
      <c r="C833">
        <v>830</v>
      </c>
      <c r="D833">
        <v>402840987</v>
      </c>
      <c r="E833" t="s">
        <v>1803</v>
      </c>
      <c r="F833" t="s">
        <v>3265</v>
      </c>
      <c r="G833" t="s">
        <v>675</v>
      </c>
      <c r="H833">
        <v>10</v>
      </c>
      <c r="I833">
        <v>6</v>
      </c>
      <c r="J833" t="s">
        <v>0</v>
      </c>
    </row>
    <row r="834" spans="3:10" x14ac:dyDescent="0.25">
      <c r="C834">
        <v>831</v>
      </c>
      <c r="D834">
        <v>209110978</v>
      </c>
      <c r="E834" t="s">
        <v>1798</v>
      </c>
      <c r="F834" t="s">
        <v>3266</v>
      </c>
      <c r="G834" t="s">
        <v>675</v>
      </c>
      <c r="H834">
        <v>10</v>
      </c>
      <c r="I834">
        <v>6</v>
      </c>
      <c r="J834" t="s">
        <v>0</v>
      </c>
    </row>
    <row r="835" spans="3:10" x14ac:dyDescent="0.25">
      <c r="C835">
        <v>832</v>
      </c>
      <c r="D835">
        <v>209230904</v>
      </c>
      <c r="E835" t="s">
        <v>1804</v>
      </c>
      <c r="F835" t="s">
        <v>3267</v>
      </c>
      <c r="G835" t="s">
        <v>675</v>
      </c>
      <c r="H835">
        <v>10</v>
      </c>
      <c r="I835">
        <v>6</v>
      </c>
      <c r="J835" t="s">
        <v>0</v>
      </c>
    </row>
    <row r="836" spans="3:10" x14ac:dyDescent="0.25">
      <c r="C836">
        <v>833</v>
      </c>
      <c r="D836">
        <v>209140422</v>
      </c>
      <c r="E836" t="s">
        <v>1805</v>
      </c>
      <c r="F836" t="s">
        <v>3268</v>
      </c>
      <c r="G836" t="s">
        <v>675</v>
      </c>
      <c r="H836">
        <v>10</v>
      </c>
      <c r="I836">
        <v>6</v>
      </c>
      <c r="J836" t="s">
        <v>0</v>
      </c>
    </row>
    <row r="837" spans="3:10" x14ac:dyDescent="0.25">
      <c r="C837">
        <v>834</v>
      </c>
      <c r="D837">
        <v>209040984</v>
      </c>
      <c r="E837" t="s">
        <v>1806</v>
      </c>
      <c r="F837" t="s">
        <v>3269</v>
      </c>
      <c r="G837" t="s">
        <v>2241</v>
      </c>
      <c r="H837">
        <v>11</v>
      </c>
      <c r="I837">
        <v>1</v>
      </c>
      <c r="J837" t="s">
        <v>1</v>
      </c>
    </row>
    <row r="838" spans="3:10" x14ac:dyDescent="0.25">
      <c r="C838">
        <v>835</v>
      </c>
      <c r="D838">
        <v>209080019</v>
      </c>
      <c r="E838" t="s">
        <v>1807</v>
      </c>
      <c r="F838" t="s">
        <v>3270</v>
      </c>
      <c r="G838" t="s">
        <v>2241</v>
      </c>
      <c r="H838">
        <v>11</v>
      </c>
      <c r="I838">
        <v>1</v>
      </c>
      <c r="J838" t="s">
        <v>1</v>
      </c>
    </row>
    <row r="839" spans="3:10" x14ac:dyDescent="0.25">
      <c r="C839">
        <v>836</v>
      </c>
      <c r="D839">
        <v>209020389</v>
      </c>
      <c r="E839" t="s">
        <v>1808</v>
      </c>
      <c r="F839" t="s">
        <v>3271</v>
      </c>
      <c r="G839" t="s">
        <v>2241</v>
      </c>
      <c r="H839">
        <v>11</v>
      </c>
      <c r="I839">
        <v>1</v>
      </c>
      <c r="J839" t="s">
        <v>1</v>
      </c>
    </row>
    <row r="840" spans="3:10" x14ac:dyDescent="0.25">
      <c r="C840">
        <v>837</v>
      </c>
      <c r="D840">
        <v>120180884</v>
      </c>
      <c r="E840" t="s">
        <v>1809</v>
      </c>
      <c r="F840" t="s">
        <v>3272</v>
      </c>
      <c r="G840" t="s">
        <v>2241</v>
      </c>
      <c r="H840">
        <v>11</v>
      </c>
      <c r="I840">
        <v>1</v>
      </c>
      <c r="J840" t="s">
        <v>1</v>
      </c>
    </row>
    <row r="841" spans="3:10" x14ac:dyDescent="0.25">
      <c r="C841">
        <v>838</v>
      </c>
      <c r="D841">
        <v>402800098</v>
      </c>
      <c r="E841" t="s">
        <v>851</v>
      </c>
      <c r="F841" t="s">
        <v>3273</v>
      </c>
      <c r="G841" t="s">
        <v>2241</v>
      </c>
      <c r="H841">
        <v>11</v>
      </c>
      <c r="I841">
        <v>1</v>
      </c>
      <c r="J841" t="s">
        <v>1</v>
      </c>
    </row>
    <row r="842" spans="3:10" x14ac:dyDescent="0.25">
      <c r="C842">
        <v>839</v>
      </c>
      <c r="D842">
        <v>402780386</v>
      </c>
      <c r="E842" t="s">
        <v>1810</v>
      </c>
      <c r="F842" t="s">
        <v>3274</v>
      </c>
      <c r="G842" t="s">
        <v>2241</v>
      </c>
      <c r="H842">
        <v>11</v>
      </c>
      <c r="I842">
        <v>1</v>
      </c>
      <c r="J842" t="s">
        <v>1</v>
      </c>
    </row>
    <row r="843" spans="3:10" x14ac:dyDescent="0.25">
      <c r="C843">
        <v>840</v>
      </c>
      <c r="D843">
        <v>209090205</v>
      </c>
      <c r="E843" t="s">
        <v>1811</v>
      </c>
      <c r="F843" t="s">
        <v>3275</v>
      </c>
      <c r="G843" t="s">
        <v>2241</v>
      </c>
      <c r="H843">
        <v>11</v>
      </c>
      <c r="I843">
        <v>1</v>
      </c>
      <c r="J843" t="s">
        <v>1</v>
      </c>
    </row>
    <row r="844" spans="3:10" x14ac:dyDescent="0.25">
      <c r="C844">
        <v>841</v>
      </c>
      <c r="D844">
        <v>402780148</v>
      </c>
      <c r="E844" t="s">
        <v>1812</v>
      </c>
      <c r="F844" t="s">
        <v>3276</v>
      </c>
      <c r="G844" t="s">
        <v>2241</v>
      </c>
      <c r="H844">
        <v>11</v>
      </c>
      <c r="I844">
        <v>1</v>
      </c>
      <c r="J844" t="s">
        <v>1</v>
      </c>
    </row>
    <row r="845" spans="3:10" x14ac:dyDescent="0.25">
      <c r="C845">
        <v>842</v>
      </c>
      <c r="D845">
        <v>209010635</v>
      </c>
      <c r="E845" t="s">
        <v>1813</v>
      </c>
      <c r="F845" t="s">
        <v>3277</v>
      </c>
      <c r="G845" t="s">
        <v>2241</v>
      </c>
      <c r="H845">
        <v>11</v>
      </c>
      <c r="I845">
        <v>1</v>
      </c>
      <c r="J845" t="s">
        <v>1</v>
      </c>
    </row>
    <row r="846" spans="3:10" x14ac:dyDescent="0.25">
      <c r="C846">
        <v>843</v>
      </c>
      <c r="D846">
        <v>209040285</v>
      </c>
      <c r="E846" t="s">
        <v>1814</v>
      </c>
      <c r="F846" t="s">
        <v>3278</v>
      </c>
      <c r="G846" t="s">
        <v>2241</v>
      </c>
      <c r="H846">
        <v>11</v>
      </c>
      <c r="I846">
        <v>1</v>
      </c>
      <c r="J846" t="s">
        <v>1</v>
      </c>
    </row>
    <row r="847" spans="3:10" x14ac:dyDescent="0.25">
      <c r="C847">
        <v>844</v>
      </c>
      <c r="D847">
        <v>402780628</v>
      </c>
      <c r="E847" t="s">
        <v>1815</v>
      </c>
      <c r="F847" t="s">
        <v>3279</v>
      </c>
      <c r="G847" t="s">
        <v>2241</v>
      </c>
      <c r="H847">
        <v>11</v>
      </c>
      <c r="I847">
        <v>1</v>
      </c>
      <c r="J847" t="s">
        <v>1</v>
      </c>
    </row>
    <row r="848" spans="3:10" x14ac:dyDescent="0.25">
      <c r="C848">
        <v>845</v>
      </c>
      <c r="D848">
        <v>209020045</v>
      </c>
      <c r="E848" t="s">
        <v>1816</v>
      </c>
      <c r="F848" t="s">
        <v>3280</v>
      </c>
      <c r="G848" t="s">
        <v>2241</v>
      </c>
      <c r="H848">
        <v>11</v>
      </c>
      <c r="I848">
        <v>1</v>
      </c>
      <c r="J848" t="s">
        <v>1</v>
      </c>
    </row>
    <row r="849" spans="3:10" x14ac:dyDescent="0.25">
      <c r="C849">
        <v>846</v>
      </c>
      <c r="D849">
        <v>402780409</v>
      </c>
      <c r="E849" t="s">
        <v>1817</v>
      </c>
      <c r="F849" t="s">
        <v>3281</v>
      </c>
      <c r="G849" t="s">
        <v>2241</v>
      </c>
      <c r="H849">
        <v>11</v>
      </c>
      <c r="I849">
        <v>1</v>
      </c>
      <c r="J849" t="s">
        <v>1</v>
      </c>
    </row>
    <row r="850" spans="3:10" x14ac:dyDescent="0.25">
      <c r="C850">
        <v>847</v>
      </c>
      <c r="D850">
        <v>209110690</v>
      </c>
      <c r="E850" t="s">
        <v>1818</v>
      </c>
      <c r="F850" t="s">
        <v>3282</v>
      </c>
      <c r="G850" t="s">
        <v>2241</v>
      </c>
      <c r="H850">
        <v>11</v>
      </c>
      <c r="I850">
        <v>1</v>
      </c>
      <c r="J850" t="s">
        <v>1</v>
      </c>
    </row>
    <row r="851" spans="3:10" x14ac:dyDescent="0.25">
      <c r="C851">
        <v>848</v>
      </c>
      <c r="D851">
        <v>209000812</v>
      </c>
      <c r="E851" t="s">
        <v>1819</v>
      </c>
      <c r="F851" t="s">
        <v>3283</v>
      </c>
      <c r="G851" t="s">
        <v>2241</v>
      </c>
      <c r="H851">
        <v>11</v>
      </c>
      <c r="I851">
        <v>1</v>
      </c>
      <c r="J851" t="s">
        <v>1</v>
      </c>
    </row>
    <row r="852" spans="3:10" x14ac:dyDescent="0.25">
      <c r="C852">
        <v>849</v>
      </c>
      <c r="D852">
        <v>208970959</v>
      </c>
      <c r="E852" t="s">
        <v>1820</v>
      </c>
      <c r="F852" t="s">
        <v>3284</v>
      </c>
      <c r="G852" t="s">
        <v>2241</v>
      </c>
      <c r="H852">
        <v>11</v>
      </c>
      <c r="I852">
        <v>1</v>
      </c>
      <c r="J852" t="s">
        <v>1</v>
      </c>
    </row>
    <row r="853" spans="3:10" x14ac:dyDescent="0.25">
      <c r="C853">
        <v>850</v>
      </c>
      <c r="D853">
        <v>208920056</v>
      </c>
      <c r="E853" t="s">
        <v>1821</v>
      </c>
      <c r="F853" t="s">
        <v>3285</v>
      </c>
      <c r="G853" t="s">
        <v>2241</v>
      </c>
      <c r="H853">
        <v>11</v>
      </c>
      <c r="I853">
        <v>1</v>
      </c>
      <c r="J853" t="s">
        <v>1</v>
      </c>
    </row>
    <row r="854" spans="3:10" x14ac:dyDescent="0.25">
      <c r="C854">
        <v>851</v>
      </c>
      <c r="D854">
        <v>120410228</v>
      </c>
      <c r="E854" t="s">
        <v>1822</v>
      </c>
      <c r="F854" t="s">
        <v>3286</v>
      </c>
      <c r="G854" t="s">
        <v>2333</v>
      </c>
      <c r="H854">
        <v>11</v>
      </c>
      <c r="I854">
        <v>1</v>
      </c>
      <c r="J854" t="s">
        <v>0</v>
      </c>
    </row>
    <row r="855" spans="3:10" x14ac:dyDescent="0.25">
      <c r="C855">
        <v>852</v>
      </c>
      <c r="D855">
        <v>209110384</v>
      </c>
      <c r="E855" t="s">
        <v>1823</v>
      </c>
      <c r="F855" t="s">
        <v>3287</v>
      </c>
      <c r="G855" t="s">
        <v>2333</v>
      </c>
      <c r="H855">
        <v>11</v>
      </c>
      <c r="I855">
        <v>1</v>
      </c>
      <c r="J855" t="s">
        <v>0</v>
      </c>
    </row>
    <row r="856" spans="3:10" x14ac:dyDescent="0.25">
      <c r="C856">
        <v>853</v>
      </c>
      <c r="D856" t="s">
        <v>713</v>
      </c>
      <c r="E856" t="s">
        <v>713</v>
      </c>
      <c r="F856" t="s">
        <v>3288</v>
      </c>
      <c r="G856" t="s">
        <v>2333</v>
      </c>
      <c r="H856">
        <v>11</v>
      </c>
      <c r="I856">
        <v>1</v>
      </c>
      <c r="J856" t="s">
        <v>0</v>
      </c>
    </row>
    <row r="857" spans="3:10" x14ac:dyDescent="0.25">
      <c r="C857">
        <v>854</v>
      </c>
      <c r="D857">
        <v>209020548</v>
      </c>
      <c r="E857" t="s">
        <v>1824</v>
      </c>
      <c r="F857" t="s">
        <v>3289</v>
      </c>
      <c r="G857" t="s">
        <v>2333</v>
      </c>
      <c r="H857">
        <v>11</v>
      </c>
      <c r="I857">
        <v>1</v>
      </c>
      <c r="J857" t="s">
        <v>0</v>
      </c>
    </row>
    <row r="858" spans="3:10" x14ac:dyDescent="0.25">
      <c r="C858">
        <v>855</v>
      </c>
      <c r="D858">
        <v>209070831</v>
      </c>
      <c r="E858" t="s">
        <v>1825</v>
      </c>
      <c r="F858" t="s">
        <v>3290</v>
      </c>
      <c r="G858" t="s">
        <v>2333</v>
      </c>
      <c r="H858">
        <v>11</v>
      </c>
      <c r="I858">
        <v>1</v>
      </c>
      <c r="J858" t="s">
        <v>0</v>
      </c>
    </row>
    <row r="859" spans="3:10" x14ac:dyDescent="0.25">
      <c r="C859">
        <v>856</v>
      </c>
      <c r="D859" t="s">
        <v>717</v>
      </c>
      <c r="E859" t="s">
        <v>717</v>
      </c>
      <c r="F859" t="s">
        <v>3291</v>
      </c>
      <c r="G859" t="s">
        <v>2333</v>
      </c>
      <c r="H859">
        <v>11</v>
      </c>
      <c r="I859">
        <v>1</v>
      </c>
      <c r="J859" t="s">
        <v>0</v>
      </c>
    </row>
    <row r="860" spans="3:10" x14ac:dyDescent="0.25">
      <c r="C860">
        <v>857</v>
      </c>
      <c r="D860">
        <v>402790668</v>
      </c>
      <c r="E860" t="s">
        <v>1826</v>
      </c>
      <c r="F860" t="s">
        <v>3292</v>
      </c>
      <c r="G860" t="s">
        <v>2333</v>
      </c>
      <c r="H860">
        <v>11</v>
      </c>
      <c r="I860">
        <v>1</v>
      </c>
      <c r="J860" t="s">
        <v>0</v>
      </c>
    </row>
    <row r="861" spans="3:10" x14ac:dyDescent="0.25">
      <c r="C861">
        <v>858</v>
      </c>
      <c r="D861">
        <v>209060507</v>
      </c>
      <c r="E861" t="s">
        <v>1827</v>
      </c>
      <c r="F861" t="s">
        <v>3293</v>
      </c>
      <c r="G861" t="s">
        <v>2333</v>
      </c>
      <c r="H861">
        <v>11</v>
      </c>
      <c r="I861">
        <v>1</v>
      </c>
      <c r="J861" t="s">
        <v>0</v>
      </c>
    </row>
    <row r="862" spans="3:10" x14ac:dyDescent="0.25">
      <c r="C862">
        <v>859</v>
      </c>
      <c r="D862">
        <v>209020535</v>
      </c>
      <c r="E862" t="s">
        <v>1828</v>
      </c>
      <c r="F862" t="s">
        <v>3294</v>
      </c>
      <c r="G862" t="s">
        <v>2333</v>
      </c>
      <c r="H862">
        <v>11</v>
      </c>
      <c r="I862">
        <v>1</v>
      </c>
      <c r="J862" t="s">
        <v>0</v>
      </c>
    </row>
    <row r="863" spans="3:10" x14ac:dyDescent="0.25">
      <c r="C863">
        <v>860</v>
      </c>
      <c r="D863">
        <v>208970539</v>
      </c>
      <c r="E863" t="s">
        <v>1829</v>
      </c>
      <c r="F863" t="s">
        <v>3295</v>
      </c>
      <c r="G863" t="s">
        <v>2333</v>
      </c>
      <c r="H863">
        <v>11</v>
      </c>
      <c r="I863">
        <v>1</v>
      </c>
      <c r="J863" t="s">
        <v>0</v>
      </c>
    </row>
    <row r="864" spans="3:10" x14ac:dyDescent="0.25">
      <c r="C864">
        <v>861</v>
      </c>
      <c r="D864">
        <v>209050153</v>
      </c>
      <c r="E864" t="s">
        <v>1830</v>
      </c>
      <c r="F864" t="s">
        <v>3296</v>
      </c>
      <c r="G864" t="s">
        <v>2333</v>
      </c>
      <c r="H864">
        <v>11</v>
      </c>
      <c r="I864">
        <v>1</v>
      </c>
      <c r="J864" t="s">
        <v>0</v>
      </c>
    </row>
    <row r="865" spans="3:10" x14ac:dyDescent="0.25">
      <c r="C865">
        <v>862</v>
      </c>
      <c r="D865">
        <v>208730886</v>
      </c>
      <c r="E865" t="s">
        <v>1831</v>
      </c>
      <c r="F865" t="s">
        <v>3297</v>
      </c>
      <c r="G865" t="s">
        <v>2333</v>
      </c>
      <c r="H865">
        <v>11</v>
      </c>
      <c r="I865">
        <v>1</v>
      </c>
      <c r="J865" t="s">
        <v>0</v>
      </c>
    </row>
    <row r="866" spans="3:10" x14ac:dyDescent="0.25">
      <c r="C866">
        <v>863</v>
      </c>
      <c r="D866">
        <v>605120683</v>
      </c>
      <c r="E866" t="s">
        <v>1832</v>
      </c>
      <c r="F866" t="s">
        <v>3298</v>
      </c>
      <c r="G866" t="s">
        <v>2333</v>
      </c>
      <c r="H866">
        <v>11</v>
      </c>
      <c r="I866">
        <v>1</v>
      </c>
      <c r="J866" t="s">
        <v>0</v>
      </c>
    </row>
    <row r="867" spans="3:10" x14ac:dyDescent="0.25">
      <c r="C867">
        <v>864</v>
      </c>
      <c r="D867">
        <v>209090101</v>
      </c>
      <c r="E867" t="s">
        <v>1833</v>
      </c>
      <c r="F867" t="s">
        <v>3299</v>
      </c>
      <c r="G867" t="s">
        <v>2333</v>
      </c>
      <c r="H867">
        <v>11</v>
      </c>
      <c r="I867">
        <v>1</v>
      </c>
      <c r="J867" t="s">
        <v>0</v>
      </c>
    </row>
    <row r="868" spans="3:10" x14ac:dyDescent="0.25">
      <c r="C868">
        <v>865</v>
      </c>
      <c r="D868">
        <v>208970563</v>
      </c>
      <c r="E868" t="s">
        <v>1834</v>
      </c>
      <c r="F868" t="s">
        <v>3300</v>
      </c>
      <c r="G868" t="s">
        <v>2333</v>
      </c>
      <c r="H868">
        <v>11</v>
      </c>
      <c r="I868">
        <v>1</v>
      </c>
      <c r="J868" t="s">
        <v>0</v>
      </c>
    </row>
    <row r="869" spans="3:10" x14ac:dyDescent="0.25">
      <c r="C869">
        <v>866</v>
      </c>
      <c r="D869">
        <v>209070595</v>
      </c>
      <c r="E869" t="s">
        <v>1835</v>
      </c>
      <c r="F869" t="s">
        <v>3301</v>
      </c>
      <c r="G869" t="s">
        <v>2241</v>
      </c>
      <c r="H869">
        <v>11</v>
      </c>
      <c r="I869">
        <v>2</v>
      </c>
      <c r="J869" t="s">
        <v>1</v>
      </c>
    </row>
    <row r="870" spans="3:10" x14ac:dyDescent="0.25">
      <c r="C870">
        <v>867</v>
      </c>
      <c r="D870">
        <v>209040060</v>
      </c>
      <c r="E870" t="s">
        <v>1836</v>
      </c>
      <c r="F870" t="s">
        <v>3302</v>
      </c>
      <c r="G870" t="s">
        <v>2241</v>
      </c>
      <c r="H870">
        <v>11</v>
      </c>
      <c r="I870">
        <v>2</v>
      </c>
      <c r="J870" t="s">
        <v>1</v>
      </c>
    </row>
    <row r="871" spans="3:10" x14ac:dyDescent="0.25">
      <c r="C871">
        <v>868</v>
      </c>
      <c r="D871">
        <v>208940765</v>
      </c>
      <c r="E871" t="s">
        <v>1987</v>
      </c>
      <c r="F871" t="s">
        <v>3303</v>
      </c>
      <c r="G871" t="s">
        <v>2241</v>
      </c>
      <c r="H871">
        <v>11</v>
      </c>
      <c r="I871">
        <v>2</v>
      </c>
      <c r="J871" t="s">
        <v>1</v>
      </c>
    </row>
    <row r="872" spans="3:10" x14ac:dyDescent="0.25">
      <c r="C872">
        <v>869</v>
      </c>
      <c r="D872">
        <v>402790414</v>
      </c>
      <c r="E872" t="s">
        <v>1837</v>
      </c>
      <c r="F872" t="s">
        <v>3304</v>
      </c>
      <c r="G872" t="s">
        <v>2241</v>
      </c>
      <c r="H872">
        <v>11</v>
      </c>
      <c r="I872">
        <v>2</v>
      </c>
      <c r="J872" t="s">
        <v>1</v>
      </c>
    </row>
    <row r="873" spans="3:10" x14ac:dyDescent="0.25">
      <c r="C873">
        <v>870</v>
      </c>
      <c r="D873">
        <v>208980672</v>
      </c>
      <c r="E873" t="s">
        <v>1838</v>
      </c>
      <c r="F873" t="s">
        <v>3305</v>
      </c>
      <c r="G873" t="s">
        <v>2241</v>
      </c>
      <c r="H873">
        <v>11</v>
      </c>
      <c r="I873">
        <v>2</v>
      </c>
      <c r="J873" t="s">
        <v>1</v>
      </c>
    </row>
    <row r="874" spans="3:10" x14ac:dyDescent="0.25">
      <c r="C874">
        <v>871</v>
      </c>
      <c r="D874">
        <v>208840812</v>
      </c>
      <c r="E874" t="s">
        <v>1884</v>
      </c>
      <c r="F874" t="s">
        <v>3306</v>
      </c>
      <c r="G874" t="s">
        <v>675</v>
      </c>
      <c r="H874">
        <v>11</v>
      </c>
      <c r="I874">
        <v>2</v>
      </c>
      <c r="J874" t="s">
        <v>1</v>
      </c>
    </row>
    <row r="875" spans="3:10" x14ac:dyDescent="0.25">
      <c r="C875">
        <v>872</v>
      </c>
      <c r="D875">
        <v>120330988</v>
      </c>
      <c r="E875" t="s">
        <v>1839</v>
      </c>
      <c r="F875" t="s">
        <v>3307</v>
      </c>
      <c r="G875" t="s">
        <v>2241</v>
      </c>
      <c r="H875">
        <v>11</v>
      </c>
      <c r="I875">
        <v>2</v>
      </c>
      <c r="J875" t="s">
        <v>1</v>
      </c>
    </row>
    <row r="876" spans="3:10" x14ac:dyDescent="0.25">
      <c r="C876">
        <v>873</v>
      </c>
      <c r="D876">
        <v>402780941</v>
      </c>
      <c r="E876" t="s">
        <v>1840</v>
      </c>
      <c r="F876" t="s">
        <v>3308</v>
      </c>
      <c r="G876" t="s">
        <v>2241</v>
      </c>
      <c r="H876">
        <v>11</v>
      </c>
      <c r="I876">
        <v>2</v>
      </c>
      <c r="J876" t="s">
        <v>1</v>
      </c>
    </row>
    <row r="877" spans="3:10" x14ac:dyDescent="0.25">
      <c r="C877">
        <v>874</v>
      </c>
      <c r="D877">
        <v>402790262</v>
      </c>
      <c r="E877" t="s">
        <v>1841</v>
      </c>
      <c r="F877" t="s">
        <v>3309</v>
      </c>
      <c r="G877" t="s">
        <v>2241</v>
      </c>
      <c r="H877">
        <v>11</v>
      </c>
      <c r="I877">
        <v>2</v>
      </c>
      <c r="J877" t="s">
        <v>1</v>
      </c>
    </row>
    <row r="878" spans="3:10" x14ac:dyDescent="0.25">
      <c r="C878">
        <v>875</v>
      </c>
      <c r="D878">
        <v>208940024</v>
      </c>
      <c r="E878" t="s">
        <v>1842</v>
      </c>
      <c r="F878" t="s">
        <v>3310</v>
      </c>
      <c r="G878" t="s">
        <v>2241</v>
      </c>
      <c r="H878">
        <v>11</v>
      </c>
      <c r="I878">
        <v>2</v>
      </c>
      <c r="J878" t="s">
        <v>1</v>
      </c>
    </row>
    <row r="879" spans="3:10" x14ac:dyDescent="0.25">
      <c r="C879">
        <v>876</v>
      </c>
      <c r="D879">
        <v>402810717</v>
      </c>
      <c r="E879" t="s">
        <v>1843</v>
      </c>
      <c r="F879" t="s">
        <v>3311</v>
      </c>
      <c r="G879" t="s">
        <v>2241</v>
      </c>
      <c r="H879">
        <v>11</v>
      </c>
      <c r="I879">
        <v>2</v>
      </c>
      <c r="J879" t="s">
        <v>1</v>
      </c>
    </row>
    <row r="880" spans="3:10" x14ac:dyDescent="0.25">
      <c r="C880">
        <v>877</v>
      </c>
      <c r="D880">
        <v>209020248</v>
      </c>
      <c r="E880" t="s">
        <v>1844</v>
      </c>
      <c r="F880" t="s">
        <v>3312</v>
      </c>
      <c r="G880" t="s">
        <v>2241</v>
      </c>
      <c r="H880">
        <v>11</v>
      </c>
      <c r="I880">
        <v>2</v>
      </c>
      <c r="J880" t="s">
        <v>1</v>
      </c>
    </row>
    <row r="881" spans="3:10" x14ac:dyDescent="0.25">
      <c r="C881">
        <v>878</v>
      </c>
      <c r="D881">
        <v>402790918</v>
      </c>
      <c r="E881" t="s">
        <v>1845</v>
      </c>
      <c r="F881" t="s">
        <v>3313</v>
      </c>
      <c r="G881" t="s">
        <v>2241</v>
      </c>
      <c r="H881">
        <v>11</v>
      </c>
      <c r="I881">
        <v>2</v>
      </c>
      <c r="J881" t="s">
        <v>1</v>
      </c>
    </row>
    <row r="882" spans="3:10" x14ac:dyDescent="0.25">
      <c r="C882">
        <v>879</v>
      </c>
      <c r="D882">
        <v>209110213</v>
      </c>
      <c r="E882" t="s">
        <v>1846</v>
      </c>
      <c r="F882" t="s">
        <v>3314</v>
      </c>
      <c r="G882" t="s">
        <v>2241</v>
      </c>
      <c r="H882">
        <v>11</v>
      </c>
      <c r="I882">
        <v>2</v>
      </c>
      <c r="J882" t="s">
        <v>1</v>
      </c>
    </row>
    <row r="883" spans="3:10" x14ac:dyDescent="0.25">
      <c r="C883">
        <v>880</v>
      </c>
      <c r="D883">
        <v>209000017</v>
      </c>
      <c r="E883" t="s">
        <v>1847</v>
      </c>
      <c r="F883" t="s">
        <v>3315</v>
      </c>
      <c r="G883" t="s">
        <v>2241</v>
      </c>
      <c r="H883">
        <v>11</v>
      </c>
      <c r="I883">
        <v>2</v>
      </c>
      <c r="J883" t="s">
        <v>1</v>
      </c>
    </row>
    <row r="884" spans="3:10" x14ac:dyDescent="0.25">
      <c r="C884">
        <v>881</v>
      </c>
      <c r="D884">
        <v>120100886</v>
      </c>
      <c r="E884" t="s">
        <v>1848</v>
      </c>
      <c r="F884" t="s">
        <v>3316</v>
      </c>
      <c r="G884" t="s">
        <v>2241</v>
      </c>
      <c r="H884">
        <v>11</v>
      </c>
      <c r="I884">
        <v>2</v>
      </c>
      <c r="J884" t="s">
        <v>1</v>
      </c>
    </row>
    <row r="885" spans="3:10" x14ac:dyDescent="0.25">
      <c r="C885">
        <v>882</v>
      </c>
      <c r="D885">
        <v>209060436</v>
      </c>
      <c r="E885" t="s">
        <v>1849</v>
      </c>
      <c r="F885" t="s">
        <v>3317</v>
      </c>
      <c r="G885" t="s">
        <v>2241</v>
      </c>
      <c r="H885">
        <v>11</v>
      </c>
      <c r="I885">
        <v>2</v>
      </c>
      <c r="J885" t="s">
        <v>1</v>
      </c>
    </row>
    <row r="886" spans="3:10" x14ac:dyDescent="0.25">
      <c r="C886">
        <v>883</v>
      </c>
      <c r="D886">
        <v>209000337</v>
      </c>
      <c r="E886" t="s">
        <v>1850</v>
      </c>
      <c r="F886" t="s">
        <v>3318</v>
      </c>
      <c r="G886" t="s">
        <v>2241</v>
      </c>
      <c r="H886">
        <v>11</v>
      </c>
      <c r="I886">
        <v>2</v>
      </c>
      <c r="J886" t="s">
        <v>1</v>
      </c>
    </row>
    <row r="887" spans="3:10" x14ac:dyDescent="0.25">
      <c r="C887">
        <v>884</v>
      </c>
      <c r="D887">
        <v>208980021</v>
      </c>
      <c r="E887" t="s">
        <v>1851</v>
      </c>
      <c r="F887" t="s">
        <v>3319</v>
      </c>
      <c r="G887" t="s">
        <v>2241</v>
      </c>
      <c r="H887">
        <v>11</v>
      </c>
      <c r="I887">
        <v>2</v>
      </c>
      <c r="J887" t="s">
        <v>1</v>
      </c>
    </row>
    <row r="888" spans="3:10" x14ac:dyDescent="0.25">
      <c r="C888">
        <v>885</v>
      </c>
      <c r="D888">
        <v>208940351</v>
      </c>
      <c r="E888" t="s">
        <v>1852</v>
      </c>
      <c r="F888" t="s">
        <v>3320</v>
      </c>
      <c r="G888" t="s">
        <v>741</v>
      </c>
      <c r="H888">
        <v>11</v>
      </c>
      <c r="I888">
        <v>2</v>
      </c>
      <c r="J888" t="s">
        <v>0</v>
      </c>
    </row>
    <row r="889" spans="3:10" x14ac:dyDescent="0.25">
      <c r="C889">
        <v>886</v>
      </c>
      <c r="D889">
        <v>120160978</v>
      </c>
      <c r="E889" t="s">
        <v>1853</v>
      </c>
      <c r="F889" t="s">
        <v>3321</v>
      </c>
      <c r="G889" t="s">
        <v>741</v>
      </c>
      <c r="H889">
        <v>11</v>
      </c>
      <c r="I889">
        <v>2</v>
      </c>
      <c r="J889" t="s">
        <v>0</v>
      </c>
    </row>
    <row r="890" spans="3:10" x14ac:dyDescent="0.25">
      <c r="C890">
        <v>887</v>
      </c>
      <c r="D890">
        <v>208840279</v>
      </c>
      <c r="E890" t="s">
        <v>1854</v>
      </c>
      <c r="F890" t="s">
        <v>3322</v>
      </c>
      <c r="G890" t="s">
        <v>741</v>
      </c>
      <c r="H890">
        <v>11</v>
      </c>
      <c r="I890">
        <v>2</v>
      </c>
      <c r="J890" t="s">
        <v>0</v>
      </c>
    </row>
    <row r="891" spans="3:10" x14ac:dyDescent="0.25">
      <c r="C891">
        <v>888</v>
      </c>
      <c r="D891">
        <v>120170699</v>
      </c>
      <c r="E891" t="s">
        <v>3323</v>
      </c>
      <c r="F891" t="s">
        <v>3324</v>
      </c>
      <c r="G891" t="s">
        <v>741</v>
      </c>
      <c r="H891">
        <v>11</v>
      </c>
      <c r="I891">
        <v>2</v>
      </c>
      <c r="J891" t="s">
        <v>0</v>
      </c>
    </row>
    <row r="892" spans="3:10" x14ac:dyDescent="0.25">
      <c r="C892">
        <v>889</v>
      </c>
      <c r="D892">
        <v>402780321</v>
      </c>
      <c r="E892" t="s">
        <v>1855</v>
      </c>
      <c r="F892" t="s">
        <v>3325</v>
      </c>
      <c r="G892" t="s">
        <v>741</v>
      </c>
      <c r="H892">
        <v>11</v>
      </c>
      <c r="I892">
        <v>2</v>
      </c>
      <c r="J892" t="s">
        <v>0</v>
      </c>
    </row>
    <row r="893" spans="3:10" x14ac:dyDescent="0.25">
      <c r="C893">
        <v>890</v>
      </c>
      <c r="D893">
        <v>209120509</v>
      </c>
      <c r="E893" t="s">
        <v>1856</v>
      </c>
      <c r="F893" t="s">
        <v>3326</v>
      </c>
      <c r="G893" t="s">
        <v>741</v>
      </c>
      <c r="H893">
        <v>11</v>
      </c>
      <c r="I893">
        <v>2</v>
      </c>
      <c r="J893" t="s">
        <v>0</v>
      </c>
    </row>
    <row r="894" spans="3:10" x14ac:dyDescent="0.25">
      <c r="C894">
        <v>891</v>
      </c>
      <c r="D894">
        <v>209480325</v>
      </c>
      <c r="E894" t="s">
        <v>1857</v>
      </c>
      <c r="F894" t="s">
        <v>3327</v>
      </c>
      <c r="G894" t="s">
        <v>741</v>
      </c>
      <c r="H894">
        <v>11</v>
      </c>
      <c r="I894">
        <v>2</v>
      </c>
      <c r="J894" t="s">
        <v>0</v>
      </c>
    </row>
    <row r="895" spans="3:10" x14ac:dyDescent="0.25">
      <c r="C895">
        <v>892</v>
      </c>
      <c r="D895">
        <v>208990165</v>
      </c>
      <c r="E895" t="s">
        <v>1858</v>
      </c>
      <c r="F895" t="s">
        <v>3328</v>
      </c>
      <c r="G895" t="s">
        <v>741</v>
      </c>
      <c r="H895">
        <v>11</v>
      </c>
      <c r="I895">
        <v>2</v>
      </c>
      <c r="J895" t="s">
        <v>0</v>
      </c>
    </row>
    <row r="896" spans="3:10" x14ac:dyDescent="0.25">
      <c r="C896">
        <v>893</v>
      </c>
      <c r="D896">
        <v>208910097</v>
      </c>
      <c r="E896" t="s">
        <v>1859</v>
      </c>
      <c r="F896" t="s">
        <v>3329</v>
      </c>
      <c r="G896" t="s">
        <v>741</v>
      </c>
      <c r="H896">
        <v>11</v>
      </c>
      <c r="I896">
        <v>2</v>
      </c>
      <c r="J896" t="s">
        <v>0</v>
      </c>
    </row>
    <row r="897" spans="3:10" x14ac:dyDescent="0.25">
      <c r="C897">
        <v>894</v>
      </c>
      <c r="D897">
        <v>402810365</v>
      </c>
      <c r="E897" t="s">
        <v>1860</v>
      </c>
      <c r="F897" t="s">
        <v>3330</v>
      </c>
      <c r="G897" t="s">
        <v>741</v>
      </c>
      <c r="H897">
        <v>11</v>
      </c>
      <c r="I897">
        <v>2</v>
      </c>
      <c r="J897" t="s">
        <v>0</v>
      </c>
    </row>
    <row r="898" spans="3:10" x14ac:dyDescent="0.25">
      <c r="C898">
        <v>895</v>
      </c>
      <c r="D898">
        <v>208980621</v>
      </c>
      <c r="E898" t="s">
        <v>1861</v>
      </c>
      <c r="F898" t="s">
        <v>3331</v>
      </c>
      <c r="G898" t="s">
        <v>741</v>
      </c>
      <c r="H898">
        <v>11</v>
      </c>
      <c r="I898">
        <v>2</v>
      </c>
      <c r="J898" t="s">
        <v>0</v>
      </c>
    </row>
    <row r="899" spans="3:10" x14ac:dyDescent="0.25">
      <c r="C899">
        <v>896</v>
      </c>
      <c r="D899">
        <v>120400397</v>
      </c>
      <c r="E899" t="s">
        <v>1862</v>
      </c>
      <c r="F899" t="s">
        <v>3332</v>
      </c>
      <c r="G899" t="s">
        <v>741</v>
      </c>
      <c r="H899">
        <v>11</v>
      </c>
      <c r="I899">
        <v>2</v>
      </c>
      <c r="J899" t="s">
        <v>0</v>
      </c>
    </row>
    <row r="900" spans="3:10" x14ac:dyDescent="0.25">
      <c r="C900">
        <v>897</v>
      </c>
      <c r="D900">
        <v>120110312</v>
      </c>
      <c r="E900" t="s">
        <v>1863</v>
      </c>
      <c r="F900" t="s">
        <v>3333</v>
      </c>
      <c r="G900" t="s">
        <v>741</v>
      </c>
      <c r="H900">
        <v>11</v>
      </c>
      <c r="I900">
        <v>2</v>
      </c>
      <c r="J900" t="s">
        <v>0</v>
      </c>
    </row>
    <row r="901" spans="3:10" x14ac:dyDescent="0.25">
      <c r="C901">
        <v>898</v>
      </c>
      <c r="D901">
        <v>209030904</v>
      </c>
      <c r="E901" t="s">
        <v>1864</v>
      </c>
      <c r="F901" t="s">
        <v>3334</v>
      </c>
      <c r="G901" t="s">
        <v>741</v>
      </c>
      <c r="H901">
        <v>11</v>
      </c>
      <c r="I901">
        <v>2</v>
      </c>
      <c r="J901" t="s">
        <v>0</v>
      </c>
    </row>
    <row r="902" spans="3:10" x14ac:dyDescent="0.25">
      <c r="C902">
        <v>899</v>
      </c>
      <c r="D902">
        <v>402780818</v>
      </c>
      <c r="E902" t="s">
        <v>1865</v>
      </c>
      <c r="F902" t="s">
        <v>3335</v>
      </c>
      <c r="G902" t="s">
        <v>741</v>
      </c>
      <c r="H902">
        <v>11</v>
      </c>
      <c r="I902">
        <v>2</v>
      </c>
      <c r="J902" t="s">
        <v>0</v>
      </c>
    </row>
    <row r="903" spans="3:10" x14ac:dyDescent="0.25">
      <c r="C903">
        <v>900</v>
      </c>
      <c r="D903">
        <v>402780664</v>
      </c>
      <c r="E903" t="s">
        <v>1866</v>
      </c>
      <c r="F903" t="s">
        <v>3336</v>
      </c>
      <c r="G903" t="s">
        <v>741</v>
      </c>
      <c r="H903">
        <v>11</v>
      </c>
      <c r="I903">
        <v>2</v>
      </c>
      <c r="J903" t="s">
        <v>0</v>
      </c>
    </row>
    <row r="904" spans="3:10" x14ac:dyDescent="0.25">
      <c r="C904">
        <v>901</v>
      </c>
      <c r="D904">
        <v>209070460</v>
      </c>
      <c r="E904" t="s">
        <v>1867</v>
      </c>
      <c r="F904" t="s">
        <v>3337</v>
      </c>
      <c r="G904" t="s">
        <v>741</v>
      </c>
      <c r="H904">
        <v>11</v>
      </c>
      <c r="I904">
        <v>2</v>
      </c>
      <c r="J904" t="s">
        <v>0</v>
      </c>
    </row>
    <row r="905" spans="3:10" x14ac:dyDescent="0.25">
      <c r="C905">
        <v>902</v>
      </c>
      <c r="D905">
        <v>208900464</v>
      </c>
      <c r="E905" t="s">
        <v>1868</v>
      </c>
      <c r="F905" t="s">
        <v>3338</v>
      </c>
      <c r="G905" t="s">
        <v>741</v>
      </c>
      <c r="H905">
        <v>11</v>
      </c>
      <c r="I905">
        <v>2</v>
      </c>
      <c r="J905" t="s">
        <v>0</v>
      </c>
    </row>
    <row r="906" spans="3:10" x14ac:dyDescent="0.25">
      <c r="C906">
        <v>903</v>
      </c>
      <c r="D906">
        <v>208960814</v>
      </c>
      <c r="E906" t="s">
        <v>1869</v>
      </c>
      <c r="F906" t="s">
        <v>3339</v>
      </c>
      <c r="G906" t="s">
        <v>741</v>
      </c>
      <c r="H906">
        <v>11</v>
      </c>
      <c r="I906">
        <v>2</v>
      </c>
      <c r="J906" t="s">
        <v>0</v>
      </c>
    </row>
    <row r="907" spans="3:10" x14ac:dyDescent="0.25">
      <c r="C907">
        <v>904</v>
      </c>
      <c r="D907">
        <v>402760242</v>
      </c>
      <c r="E907" t="s">
        <v>1870</v>
      </c>
      <c r="F907" t="s">
        <v>3340</v>
      </c>
      <c r="G907" t="s">
        <v>656</v>
      </c>
      <c r="H907">
        <v>11</v>
      </c>
      <c r="I907">
        <v>3</v>
      </c>
      <c r="J907" t="s">
        <v>1</v>
      </c>
    </row>
    <row r="908" spans="3:10" x14ac:dyDescent="0.25">
      <c r="C908">
        <v>905</v>
      </c>
      <c r="D908">
        <v>402810264</v>
      </c>
      <c r="E908" t="s">
        <v>1871</v>
      </c>
      <c r="F908" t="s">
        <v>3341</v>
      </c>
      <c r="G908" t="s">
        <v>656</v>
      </c>
      <c r="H908">
        <v>11</v>
      </c>
      <c r="I908">
        <v>3</v>
      </c>
      <c r="J908" t="s">
        <v>1</v>
      </c>
    </row>
    <row r="909" spans="3:10" x14ac:dyDescent="0.25">
      <c r="C909">
        <v>906</v>
      </c>
      <c r="D909">
        <v>209030580</v>
      </c>
      <c r="E909" t="s">
        <v>1872</v>
      </c>
      <c r="F909" t="s">
        <v>3342</v>
      </c>
      <c r="G909" t="s">
        <v>656</v>
      </c>
      <c r="H909">
        <v>11</v>
      </c>
      <c r="I909">
        <v>3</v>
      </c>
      <c r="J909" t="s">
        <v>1</v>
      </c>
    </row>
    <row r="910" spans="3:10" x14ac:dyDescent="0.25">
      <c r="C910">
        <v>907</v>
      </c>
      <c r="D910">
        <v>120140271</v>
      </c>
      <c r="E910" t="s">
        <v>1873</v>
      </c>
      <c r="F910" t="s">
        <v>3343</v>
      </c>
      <c r="G910" t="s">
        <v>656</v>
      </c>
      <c r="H910">
        <v>11</v>
      </c>
      <c r="I910">
        <v>3</v>
      </c>
      <c r="J910" t="s">
        <v>1</v>
      </c>
    </row>
    <row r="911" spans="3:10" x14ac:dyDescent="0.25">
      <c r="C911">
        <v>908</v>
      </c>
      <c r="D911" t="s">
        <v>763</v>
      </c>
      <c r="E911" t="s">
        <v>763</v>
      </c>
      <c r="F911" t="s">
        <v>3344</v>
      </c>
      <c r="G911" t="s">
        <v>656</v>
      </c>
      <c r="H911">
        <v>11</v>
      </c>
      <c r="I911">
        <v>3</v>
      </c>
      <c r="J911" t="s">
        <v>1</v>
      </c>
    </row>
    <row r="912" spans="3:10" x14ac:dyDescent="0.25">
      <c r="C912">
        <v>909</v>
      </c>
      <c r="D912">
        <v>208970971</v>
      </c>
      <c r="E912" t="s">
        <v>1874</v>
      </c>
      <c r="F912" t="s">
        <v>3345</v>
      </c>
      <c r="G912" t="s">
        <v>656</v>
      </c>
      <c r="H912">
        <v>11</v>
      </c>
      <c r="I912">
        <v>3</v>
      </c>
      <c r="J912" t="s">
        <v>1</v>
      </c>
    </row>
    <row r="913" spans="3:10" x14ac:dyDescent="0.25">
      <c r="C913">
        <v>910</v>
      </c>
      <c r="D913">
        <v>120370958</v>
      </c>
      <c r="E913" t="s">
        <v>1875</v>
      </c>
      <c r="F913" t="s">
        <v>3346</v>
      </c>
      <c r="G913" t="s">
        <v>656</v>
      </c>
      <c r="H913">
        <v>11</v>
      </c>
      <c r="I913">
        <v>3</v>
      </c>
      <c r="J913" t="s">
        <v>1</v>
      </c>
    </row>
    <row r="914" spans="3:10" x14ac:dyDescent="0.25">
      <c r="C914">
        <v>911</v>
      </c>
      <c r="D914">
        <v>209030486</v>
      </c>
      <c r="E914" t="s">
        <v>1876</v>
      </c>
      <c r="F914" t="s">
        <v>3347</v>
      </c>
      <c r="G914" t="s">
        <v>656</v>
      </c>
      <c r="H914">
        <v>11</v>
      </c>
      <c r="I914">
        <v>3</v>
      </c>
      <c r="J914" t="s">
        <v>1</v>
      </c>
    </row>
    <row r="915" spans="3:10" x14ac:dyDescent="0.25">
      <c r="C915">
        <v>912</v>
      </c>
      <c r="D915">
        <v>402800503</v>
      </c>
      <c r="E915" t="s">
        <v>1877</v>
      </c>
      <c r="F915" t="s">
        <v>3348</v>
      </c>
      <c r="G915" t="s">
        <v>656</v>
      </c>
      <c r="H915">
        <v>11</v>
      </c>
      <c r="I915">
        <v>3</v>
      </c>
      <c r="J915" t="s">
        <v>1</v>
      </c>
    </row>
    <row r="916" spans="3:10" x14ac:dyDescent="0.25">
      <c r="C916">
        <v>913</v>
      </c>
      <c r="D916">
        <v>209000836</v>
      </c>
      <c r="E916" t="s">
        <v>1878</v>
      </c>
      <c r="F916" t="s">
        <v>3349</v>
      </c>
      <c r="G916" t="s">
        <v>656</v>
      </c>
      <c r="H916">
        <v>11</v>
      </c>
      <c r="I916">
        <v>3</v>
      </c>
      <c r="J916" t="s">
        <v>1</v>
      </c>
    </row>
    <row r="917" spans="3:10" x14ac:dyDescent="0.25">
      <c r="C917">
        <v>914</v>
      </c>
      <c r="D917">
        <v>209000151</v>
      </c>
      <c r="E917" t="s">
        <v>1880</v>
      </c>
      <c r="F917" t="s">
        <v>3350</v>
      </c>
      <c r="G917" t="s">
        <v>656</v>
      </c>
      <c r="H917">
        <v>11</v>
      </c>
      <c r="I917">
        <v>3</v>
      </c>
      <c r="J917" t="s">
        <v>1</v>
      </c>
    </row>
    <row r="918" spans="3:10" x14ac:dyDescent="0.25">
      <c r="C918">
        <v>915</v>
      </c>
      <c r="D918">
        <v>209020993</v>
      </c>
      <c r="E918" t="s">
        <v>1882</v>
      </c>
      <c r="F918" t="s">
        <v>3351</v>
      </c>
      <c r="G918" t="s">
        <v>656</v>
      </c>
      <c r="H918">
        <v>11</v>
      </c>
      <c r="I918">
        <v>3</v>
      </c>
      <c r="J918" t="s">
        <v>1</v>
      </c>
    </row>
    <row r="919" spans="3:10" x14ac:dyDescent="0.25">
      <c r="C919">
        <v>916</v>
      </c>
      <c r="D919">
        <v>120210944</v>
      </c>
      <c r="E919" t="s">
        <v>1883</v>
      </c>
      <c r="F919" t="s">
        <v>3352</v>
      </c>
      <c r="G919" t="s">
        <v>774</v>
      </c>
      <c r="H919">
        <v>11</v>
      </c>
      <c r="I919">
        <v>3</v>
      </c>
      <c r="J919" t="s">
        <v>0</v>
      </c>
    </row>
    <row r="920" spans="3:10" x14ac:dyDescent="0.25">
      <c r="C920">
        <v>917</v>
      </c>
      <c r="D920">
        <v>703410038</v>
      </c>
      <c r="E920" t="s">
        <v>1885</v>
      </c>
      <c r="F920" t="s">
        <v>3353</v>
      </c>
      <c r="G920" t="s">
        <v>774</v>
      </c>
      <c r="H920">
        <v>11</v>
      </c>
      <c r="I920">
        <v>3</v>
      </c>
      <c r="J920" t="s">
        <v>0</v>
      </c>
    </row>
    <row r="921" spans="3:10" x14ac:dyDescent="0.25">
      <c r="C921">
        <v>918</v>
      </c>
      <c r="D921">
        <v>120020035</v>
      </c>
      <c r="E921" t="s">
        <v>1886</v>
      </c>
      <c r="F921" t="s">
        <v>3354</v>
      </c>
      <c r="G921" t="s">
        <v>774</v>
      </c>
      <c r="H921">
        <v>11</v>
      </c>
      <c r="I921">
        <v>3</v>
      </c>
      <c r="J921" t="s">
        <v>0</v>
      </c>
    </row>
    <row r="922" spans="3:10" x14ac:dyDescent="0.25">
      <c r="C922">
        <v>919</v>
      </c>
      <c r="D922">
        <v>209020235</v>
      </c>
      <c r="E922" t="s">
        <v>1887</v>
      </c>
      <c r="F922" t="s">
        <v>3355</v>
      </c>
      <c r="G922" t="s">
        <v>774</v>
      </c>
      <c r="H922">
        <v>11</v>
      </c>
      <c r="I922">
        <v>3</v>
      </c>
      <c r="J922" t="s">
        <v>0</v>
      </c>
    </row>
    <row r="923" spans="3:10" x14ac:dyDescent="0.25">
      <c r="C923">
        <v>920</v>
      </c>
      <c r="D923">
        <v>209050835</v>
      </c>
      <c r="E923" t="s">
        <v>1888</v>
      </c>
      <c r="F923" t="s">
        <v>3356</v>
      </c>
      <c r="G923" t="s">
        <v>774</v>
      </c>
      <c r="H923">
        <v>11</v>
      </c>
      <c r="I923">
        <v>3</v>
      </c>
      <c r="J923" t="s">
        <v>0</v>
      </c>
    </row>
    <row r="924" spans="3:10" x14ac:dyDescent="0.25">
      <c r="C924">
        <v>921</v>
      </c>
      <c r="D924">
        <v>209030130</v>
      </c>
      <c r="E924" t="s">
        <v>1889</v>
      </c>
      <c r="F924" t="s">
        <v>3357</v>
      </c>
      <c r="G924" t="s">
        <v>774</v>
      </c>
      <c r="H924">
        <v>11</v>
      </c>
      <c r="I924">
        <v>3</v>
      </c>
      <c r="J924" t="s">
        <v>0</v>
      </c>
    </row>
    <row r="925" spans="3:10" x14ac:dyDescent="0.25">
      <c r="C925">
        <v>922</v>
      </c>
      <c r="D925">
        <v>209010949</v>
      </c>
      <c r="E925" t="s">
        <v>1890</v>
      </c>
      <c r="F925" t="s">
        <v>3358</v>
      </c>
      <c r="G925" t="s">
        <v>774</v>
      </c>
      <c r="H925">
        <v>11</v>
      </c>
      <c r="I925">
        <v>3</v>
      </c>
      <c r="J925" t="s">
        <v>0</v>
      </c>
    </row>
    <row r="926" spans="3:10" x14ac:dyDescent="0.25">
      <c r="C926">
        <v>923</v>
      </c>
      <c r="D926">
        <v>120240039</v>
      </c>
      <c r="E926" t="s">
        <v>1891</v>
      </c>
      <c r="F926" t="s">
        <v>3359</v>
      </c>
      <c r="G926" t="s">
        <v>774</v>
      </c>
      <c r="H926">
        <v>11</v>
      </c>
      <c r="I926">
        <v>3</v>
      </c>
      <c r="J926" t="s">
        <v>0</v>
      </c>
    </row>
    <row r="927" spans="3:10" x14ac:dyDescent="0.25">
      <c r="C927">
        <v>924</v>
      </c>
      <c r="D927">
        <v>402810547</v>
      </c>
      <c r="E927" t="s">
        <v>1892</v>
      </c>
      <c r="F927" t="s">
        <v>3360</v>
      </c>
      <c r="G927" t="s">
        <v>774</v>
      </c>
      <c r="H927">
        <v>11</v>
      </c>
      <c r="I927">
        <v>3</v>
      </c>
      <c r="J927" t="s">
        <v>0</v>
      </c>
    </row>
    <row r="928" spans="3:10" x14ac:dyDescent="0.25">
      <c r="C928">
        <v>925</v>
      </c>
      <c r="D928">
        <v>209070851</v>
      </c>
      <c r="E928" t="s">
        <v>1893</v>
      </c>
      <c r="F928" t="s">
        <v>3361</v>
      </c>
      <c r="G928" t="s">
        <v>774</v>
      </c>
      <c r="H928">
        <v>11</v>
      </c>
      <c r="I928">
        <v>3</v>
      </c>
      <c r="J928" t="s">
        <v>0</v>
      </c>
    </row>
    <row r="929" spans="3:10" x14ac:dyDescent="0.25">
      <c r="C929">
        <v>926</v>
      </c>
      <c r="D929">
        <v>209050122</v>
      </c>
      <c r="E929" t="s">
        <v>1894</v>
      </c>
      <c r="F929" t="s">
        <v>3362</v>
      </c>
      <c r="G929" t="s">
        <v>774</v>
      </c>
      <c r="H929">
        <v>11</v>
      </c>
      <c r="I929">
        <v>3</v>
      </c>
      <c r="J929" t="s">
        <v>0</v>
      </c>
    </row>
    <row r="930" spans="3:10" x14ac:dyDescent="0.25">
      <c r="C930">
        <v>927</v>
      </c>
      <c r="D930">
        <v>209020084</v>
      </c>
      <c r="E930" t="s">
        <v>1895</v>
      </c>
      <c r="F930" t="s">
        <v>3363</v>
      </c>
      <c r="G930" t="s">
        <v>774</v>
      </c>
      <c r="H930">
        <v>11</v>
      </c>
      <c r="I930">
        <v>3</v>
      </c>
      <c r="J930" t="s">
        <v>0</v>
      </c>
    </row>
    <row r="931" spans="3:10" x14ac:dyDescent="0.25">
      <c r="C931">
        <v>928</v>
      </c>
      <c r="D931">
        <v>119890176</v>
      </c>
      <c r="E931" t="s">
        <v>1896</v>
      </c>
      <c r="F931" t="s">
        <v>3364</v>
      </c>
      <c r="G931" t="s">
        <v>774</v>
      </c>
      <c r="H931">
        <v>11</v>
      </c>
      <c r="I931">
        <v>3</v>
      </c>
      <c r="J931" t="s">
        <v>0</v>
      </c>
    </row>
    <row r="932" spans="3:10" x14ac:dyDescent="0.25">
      <c r="C932">
        <v>929</v>
      </c>
      <c r="D932">
        <v>402770966</v>
      </c>
      <c r="E932" t="s">
        <v>1897</v>
      </c>
      <c r="F932" t="s">
        <v>3365</v>
      </c>
      <c r="G932" t="s">
        <v>774</v>
      </c>
      <c r="H932">
        <v>11</v>
      </c>
      <c r="I932">
        <v>3</v>
      </c>
      <c r="J932" t="s">
        <v>0</v>
      </c>
    </row>
    <row r="933" spans="3:10" x14ac:dyDescent="0.25">
      <c r="C933">
        <v>930</v>
      </c>
      <c r="D933">
        <v>208970295</v>
      </c>
      <c r="E933" t="s">
        <v>1898</v>
      </c>
      <c r="F933" t="s">
        <v>3366</v>
      </c>
      <c r="G933" t="s">
        <v>774</v>
      </c>
      <c r="H933">
        <v>11</v>
      </c>
      <c r="I933">
        <v>3</v>
      </c>
      <c r="J933" t="s">
        <v>0</v>
      </c>
    </row>
    <row r="934" spans="3:10" x14ac:dyDescent="0.25">
      <c r="C934">
        <v>931</v>
      </c>
      <c r="D934">
        <v>209000155</v>
      </c>
      <c r="E934" t="s">
        <v>1899</v>
      </c>
      <c r="F934" t="s">
        <v>3367</v>
      </c>
      <c r="G934" t="s">
        <v>774</v>
      </c>
      <c r="H934">
        <v>11</v>
      </c>
      <c r="I934">
        <v>3</v>
      </c>
      <c r="J934" t="s">
        <v>0</v>
      </c>
    </row>
    <row r="935" spans="3:10" x14ac:dyDescent="0.25">
      <c r="C935">
        <v>932</v>
      </c>
      <c r="D935">
        <v>209080458</v>
      </c>
      <c r="E935" t="s">
        <v>1900</v>
      </c>
      <c r="F935" t="s">
        <v>3368</v>
      </c>
      <c r="G935" t="s">
        <v>774</v>
      </c>
      <c r="H935">
        <v>11</v>
      </c>
      <c r="I935">
        <v>3</v>
      </c>
      <c r="J935" t="s">
        <v>0</v>
      </c>
    </row>
    <row r="936" spans="3:10" x14ac:dyDescent="0.25">
      <c r="C936">
        <v>933</v>
      </c>
      <c r="D936">
        <v>209020599</v>
      </c>
      <c r="E936" t="s">
        <v>1901</v>
      </c>
      <c r="F936" t="s">
        <v>3369</v>
      </c>
      <c r="G936" t="s">
        <v>774</v>
      </c>
      <c r="H936">
        <v>11</v>
      </c>
      <c r="I936">
        <v>3</v>
      </c>
      <c r="J936" t="s">
        <v>0</v>
      </c>
    </row>
    <row r="937" spans="3:10" x14ac:dyDescent="0.25">
      <c r="C937">
        <v>934</v>
      </c>
      <c r="D937">
        <v>209040832</v>
      </c>
      <c r="E937" t="s">
        <v>1902</v>
      </c>
      <c r="F937" t="s">
        <v>3370</v>
      </c>
      <c r="G937" t="s">
        <v>550</v>
      </c>
      <c r="H937">
        <v>11</v>
      </c>
      <c r="I937">
        <v>4</v>
      </c>
      <c r="J937" t="s">
        <v>1</v>
      </c>
    </row>
    <row r="938" spans="3:10" x14ac:dyDescent="0.25">
      <c r="C938">
        <v>935</v>
      </c>
      <c r="D938">
        <v>209020263</v>
      </c>
      <c r="E938" t="s">
        <v>1904</v>
      </c>
      <c r="F938" t="s">
        <v>3371</v>
      </c>
      <c r="G938" t="s">
        <v>550</v>
      </c>
      <c r="H938">
        <v>11</v>
      </c>
      <c r="I938">
        <v>4</v>
      </c>
      <c r="J938" t="s">
        <v>1</v>
      </c>
    </row>
    <row r="939" spans="3:10" x14ac:dyDescent="0.25">
      <c r="C939">
        <v>936</v>
      </c>
      <c r="D939">
        <v>209020262</v>
      </c>
      <c r="E939" t="s">
        <v>1905</v>
      </c>
      <c r="F939" t="s">
        <v>3372</v>
      </c>
      <c r="G939" t="s">
        <v>550</v>
      </c>
      <c r="H939">
        <v>11</v>
      </c>
      <c r="I939">
        <v>4</v>
      </c>
      <c r="J939" t="s">
        <v>1</v>
      </c>
    </row>
    <row r="940" spans="3:10" x14ac:dyDescent="0.25">
      <c r="C940">
        <v>937</v>
      </c>
      <c r="D940">
        <v>209060752</v>
      </c>
      <c r="E940" t="s">
        <v>1906</v>
      </c>
      <c r="F940" t="s">
        <v>3373</v>
      </c>
      <c r="G940" t="s">
        <v>550</v>
      </c>
      <c r="H940">
        <v>11</v>
      </c>
      <c r="I940">
        <v>4</v>
      </c>
      <c r="J940" t="s">
        <v>1</v>
      </c>
    </row>
    <row r="941" spans="3:10" x14ac:dyDescent="0.25">
      <c r="C941">
        <v>938</v>
      </c>
      <c r="D941">
        <v>209010214</v>
      </c>
      <c r="E941" t="s">
        <v>1907</v>
      </c>
      <c r="F941" t="s">
        <v>3374</v>
      </c>
      <c r="G941" t="s">
        <v>550</v>
      </c>
      <c r="H941">
        <v>11</v>
      </c>
      <c r="I941">
        <v>4</v>
      </c>
      <c r="J941" t="s">
        <v>1</v>
      </c>
    </row>
    <row r="942" spans="3:10" x14ac:dyDescent="0.25">
      <c r="C942">
        <v>939</v>
      </c>
      <c r="D942">
        <v>209040124</v>
      </c>
      <c r="E942" t="s">
        <v>1908</v>
      </c>
      <c r="F942" t="s">
        <v>3375</v>
      </c>
      <c r="G942" t="s">
        <v>550</v>
      </c>
      <c r="H942">
        <v>11</v>
      </c>
      <c r="I942">
        <v>4</v>
      </c>
      <c r="J942" t="s">
        <v>1</v>
      </c>
    </row>
    <row r="943" spans="3:10" x14ac:dyDescent="0.25">
      <c r="C943">
        <v>940</v>
      </c>
      <c r="D943">
        <v>209030118</v>
      </c>
      <c r="E943" t="s">
        <v>1909</v>
      </c>
      <c r="F943" t="s">
        <v>3376</v>
      </c>
      <c r="G943" t="s">
        <v>550</v>
      </c>
      <c r="H943">
        <v>11</v>
      </c>
      <c r="I943">
        <v>4</v>
      </c>
      <c r="J943" t="s">
        <v>1</v>
      </c>
    </row>
    <row r="944" spans="3:10" x14ac:dyDescent="0.25">
      <c r="C944">
        <v>941</v>
      </c>
      <c r="D944">
        <v>209000798</v>
      </c>
      <c r="E944" t="s">
        <v>1910</v>
      </c>
      <c r="F944" t="s">
        <v>3377</v>
      </c>
      <c r="G944" t="s">
        <v>550</v>
      </c>
      <c r="H944">
        <v>11</v>
      </c>
      <c r="I944">
        <v>4</v>
      </c>
      <c r="J944" t="s">
        <v>1</v>
      </c>
    </row>
    <row r="945" spans="3:10" x14ac:dyDescent="0.25">
      <c r="C945">
        <v>942</v>
      </c>
      <c r="D945">
        <v>703400891</v>
      </c>
      <c r="E945" t="s">
        <v>1911</v>
      </c>
      <c r="F945" t="s">
        <v>3378</v>
      </c>
      <c r="G945" t="s">
        <v>550</v>
      </c>
      <c r="H945">
        <v>11</v>
      </c>
      <c r="I945">
        <v>4</v>
      </c>
      <c r="J945" t="s">
        <v>1</v>
      </c>
    </row>
    <row r="946" spans="3:10" x14ac:dyDescent="0.25">
      <c r="C946">
        <v>943</v>
      </c>
      <c r="D946" t="s">
        <v>2342</v>
      </c>
      <c r="E946" t="s">
        <v>1913</v>
      </c>
      <c r="F946" t="s">
        <v>3379</v>
      </c>
      <c r="G946" t="s">
        <v>550</v>
      </c>
      <c r="H946">
        <v>11</v>
      </c>
      <c r="I946">
        <v>4</v>
      </c>
      <c r="J946" t="s">
        <v>1</v>
      </c>
    </row>
    <row r="947" spans="3:10" x14ac:dyDescent="0.25">
      <c r="C947">
        <v>944</v>
      </c>
      <c r="D947">
        <v>901450040</v>
      </c>
      <c r="E947" t="s">
        <v>1914</v>
      </c>
      <c r="F947" t="s">
        <v>3380</v>
      </c>
      <c r="G947" t="s">
        <v>550</v>
      </c>
      <c r="H947">
        <v>11</v>
      </c>
      <c r="I947">
        <v>4</v>
      </c>
      <c r="J947" t="s">
        <v>1</v>
      </c>
    </row>
    <row r="948" spans="3:10" x14ac:dyDescent="0.25">
      <c r="C948">
        <v>945</v>
      </c>
      <c r="D948">
        <v>209070068</v>
      </c>
      <c r="E948" t="s">
        <v>1915</v>
      </c>
      <c r="F948" t="s">
        <v>3381</v>
      </c>
      <c r="G948" t="s">
        <v>550</v>
      </c>
      <c r="H948">
        <v>11</v>
      </c>
      <c r="I948">
        <v>4</v>
      </c>
      <c r="J948" t="s">
        <v>1</v>
      </c>
    </row>
    <row r="949" spans="3:10" x14ac:dyDescent="0.25">
      <c r="C949">
        <v>946</v>
      </c>
      <c r="D949">
        <v>209020541</v>
      </c>
      <c r="E949" t="s">
        <v>1916</v>
      </c>
      <c r="F949" t="s">
        <v>3382</v>
      </c>
      <c r="G949" t="s">
        <v>550</v>
      </c>
      <c r="H949">
        <v>11</v>
      </c>
      <c r="I949">
        <v>4</v>
      </c>
      <c r="J949" t="s">
        <v>1</v>
      </c>
    </row>
    <row r="950" spans="3:10" x14ac:dyDescent="0.25">
      <c r="C950">
        <v>947</v>
      </c>
      <c r="D950">
        <v>209080420</v>
      </c>
      <c r="E950" t="s">
        <v>1917</v>
      </c>
      <c r="F950" t="s">
        <v>3383</v>
      </c>
      <c r="G950" t="s">
        <v>550</v>
      </c>
      <c r="H950">
        <v>11</v>
      </c>
      <c r="I950">
        <v>4</v>
      </c>
      <c r="J950" t="s">
        <v>1</v>
      </c>
    </row>
    <row r="951" spans="3:10" x14ac:dyDescent="0.25">
      <c r="C951">
        <v>948</v>
      </c>
      <c r="D951">
        <v>120390644</v>
      </c>
      <c r="E951" t="s">
        <v>1919</v>
      </c>
      <c r="F951" t="s">
        <v>3384</v>
      </c>
      <c r="G951" t="s">
        <v>582</v>
      </c>
      <c r="H951">
        <v>11</v>
      </c>
      <c r="I951">
        <v>4</v>
      </c>
      <c r="J951" t="s">
        <v>0</v>
      </c>
    </row>
    <row r="952" spans="3:10" x14ac:dyDescent="0.25">
      <c r="C952">
        <v>949</v>
      </c>
      <c r="D952">
        <v>209040513</v>
      </c>
      <c r="E952" t="s">
        <v>1920</v>
      </c>
      <c r="F952" t="s">
        <v>3385</v>
      </c>
      <c r="G952" t="s">
        <v>582</v>
      </c>
      <c r="H952">
        <v>11</v>
      </c>
      <c r="I952">
        <v>4</v>
      </c>
      <c r="J952" t="s">
        <v>0</v>
      </c>
    </row>
    <row r="953" spans="3:10" x14ac:dyDescent="0.25">
      <c r="C953">
        <v>950</v>
      </c>
      <c r="D953">
        <v>209060756</v>
      </c>
      <c r="E953" t="s">
        <v>1921</v>
      </c>
      <c r="F953" t="s">
        <v>3386</v>
      </c>
      <c r="G953" t="s">
        <v>582</v>
      </c>
      <c r="H953">
        <v>11</v>
      </c>
      <c r="I953">
        <v>4</v>
      </c>
      <c r="J953" t="s">
        <v>0</v>
      </c>
    </row>
    <row r="954" spans="3:10" x14ac:dyDescent="0.25">
      <c r="C954">
        <v>951</v>
      </c>
      <c r="D954">
        <v>402730129</v>
      </c>
      <c r="E954" t="s">
        <v>2119</v>
      </c>
      <c r="F954" t="s">
        <v>3387</v>
      </c>
      <c r="G954" t="s">
        <v>582</v>
      </c>
      <c r="H954">
        <v>11</v>
      </c>
      <c r="I954">
        <v>4</v>
      </c>
      <c r="J954" t="s">
        <v>0</v>
      </c>
    </row>
    <row r="955" spans="3:10" x14ac:dyDescent="0.25">
      <c r="C955">
        <v>952</v>
      </c>
      <c r="D955">
        <v>120230943</v>
      </c>
      <c r="E955" t="s">
        <v>1922</v>
      </c>
      <c r="F955" t="s">
        <v>3388</v>
      </c>
      <c r="G955" t="s">
        <v>582</v>
      </c>
      <c r="H955">
        <v>11</v>
      </c>
      <c r="I955">
        <v>4</v>
      </c>
      <c r="J955" t="s">
        <v>0</v>
      </c>
    </row>
    <row r="956" spans="3:10" x14ac:dyDescent="0.25">
      <c r="C956">
        <v>953</v>
      </c>
      <c r="D956">
        <v>402780443</v>
      </c>
      <c r="E956" t="s">
        <v>1923</v>
      </c>
      <c r="F956" t="s">
        <v>3389</v>
      </c>
      <c r="G956" t="s">
        <v>582</v>
      </c>
      <c r="H956">
        <v>11</v>
      </c>
      <c r="I956">
        <v>4</v>
      </c>
      <c r="J956" t="s">
        <v>0</v>
      </c>
    </row>
    <row r="957" spans="3:10" x14ac:dyDescent="0.25">
      <c r="C957">
        <v>954</v>
      </c>
      <c r="D957">
        <v>402770141</v>
      </c>
      <c r="E957" t="s">
        <v>1924</v>
      </c>
      <c r="F957" t="s">
        <v>3390</v>
      </c>
      <c r="G957" t="s">
        <v>582</v>
      </c>
      <c r="H957">
        <v>11</v>
      </c>
      <c r="I957">
        <v>4</v>
      </c>
      <c r="J957" t="s">
        <v>0</v>
      </c>
    </row>
    <row r="958" spans="3:10" x14ac:dyDescent="0.25">
      <c r="C958">
        <v>955</v>
      </c>
      <c r="D958">
        <v>209020597</v>
      </c>
      <c r="E958" t="s">
        <v>1925</v>
      </c>
      <c r="F958" t="s">
        <v>3391</v>
      </c>
      <c r="G958" t="s">
        <v>582</v>
      </c>
      <c r="H958">
        <v>11</v>
      </c>
      <c r="I958">
        <v>4</v>
      </c>
      <c r="J958" t="s">
        <v>0</v>
      </c>
    </row>
    <row r="959" spans="3:10" x14ac:dyDescent="0.25">
      <c r="C959">
        <v>956</v>
      </c>
      <c r="D959">
        <v>120140654</v>
      </c>
      <c r="E959" t="s">
        <v>1926</v>
      </c>
      <c r="F959" t="s">
        <v>3392</v>
      </c>
      <c r="G959" t="s">
        <v>582</v>
      </c>
      <c r="H959">
        <v>11</v>
      </c>
      <c r="I959">
        <v>4</v>
      </c>
      <c r="J959" t="s">
        <v>0</v>
      </c>
    </row>
    <row r="960" spans="3:10" x14ac:dyDescent="0.25">
      <c r="C960">
        <v>957</v>
      </c>
      <c r="D960">
        <v>605130413</v>
      </c>
      <c r="E960" t="s">
        <v>1927</v>
      </c>
      <c r="F960" t="s">
        <v>3393</v>
      </c>
      <c r="G960" t="s">
        <v>582</v>
      </c>
      <c r="H960">
        <v>11</v>
      </c>
      <c r="I960">
        <v>4</v>
      </c>
      <c r="J960" t="s">
        <v>0</v>
      </c>
    </row>
    <row r="961" spans="3:10" x14ac:dyDescent="0.25">
      <c r="C961">
        <v>958</v>
      </c>
      <c r="D961">
        <v>208970199</v>
      </c>
      <c r="E961" t="s">
        <v>1929</v>
      </c>
      <c r="F961" t="s">
        <v>3394</v>
      </c>
      <c r="G961" t="s">
        <v>582</v>
      </c>
      <c r="H961">
        <v>11</v>
      </c>
      <c r="I961">
        <v>4</v>
      </c>
      <c r="J961" t="s">
        <v>0</v>
      </c>
    </row>
    <row r="962" spans="3:10" x14ac:dyDescent="0.25">
      <c r="C962">
        <v>959</v>
      </c>
      <c r="D962">
        <v>120230764</v>
      </c>
      <c r="E962" t="s">
        <v>1930</v>
      </c>
      <c r="F962" t="s">
        <v>3395</v>
      </c>
      <c r="G962" t="s">
        <v>582</v>
      </c>
      <c r="H962">
        <v>11</v>
      </c>
      <c r="I962">
        <v>4</v>
      </c>
      <c r="J962" t="s">
        <v>0</v>
      </c>
    </row>
    <row r="963" spans="3:10" x14ac:dyDescent="0.25">
      <c r="C963">
        <v>960</v>
      </c>
      <c r="D963">
        <v>120320070</v>
      </c>
      <c r="E963" t="s">
        <v>1931</v>
      </c>
      <c r="F963" t="s">
        <v>3396</v>
      </c>
      <c r="G963" t="s">
        <v>582</v>
      </c>
      <c r="H963">
        <v>11</v>
      </c>
      <c r="I963">
        <v>4</v>
      </c>
      <c r="J963" t="s">
        <v>0</v>
      </c>
    </row>
    <row r="964" spans="3:10" x14ac:dyDescent="0.25">
      <c r="C964">
        <v>961</v>
      </c>
      <c r="D964">
        <v>120280458</v>
      </c>
      <c r="E964" t="s">
        <v>1932</v>
      </c>
      <c r="F964" t="s">
        <v>3397</v>
      </c>
      <c r="G964" t="s">
        <v>582</v>
      </c>
      <c r="H964">
        <v>11</v>
      </c>
      <c r="I964">
        <v>4</v>
      </c>
      <c r="J964" t="s">
        <v>0</v>
      </c>
    </row>
    <row r="965" spans="3:10" x14ac:dyDescent="0.25">
      <c r="C965">
        <v>962</v>
      </c>
      <c r="D965">
        <v>209020539</v>
      </c>
      <c r="E965" t="s">
        <v>1933</v>
      </c>
      <c r="F965" t="s">
        <v>3398</v>
      </c>
      <c r="G965" t="s">
        <v>550</v>
      </c>
      <c r="H965">
        <v>11</v>
      </c>
      <c r="I965">
        <v>5</v>
      </c>
      <c r="J965" t="s">
        <v>1</v>
      </c>
    </row>
    <row r="966" spans="3:10" x14ac:dyDescent="0.25">
      <c r="C966">
        <v>963</v>
      </c>
      <c r="D966">
        <v>209060789</v>
      </c>
      <c r="E966" t="s">
        <v>1934</v>
      </c>
      <c r="F966" t="s">
        <v>3399</v>
      </c>
      <c r="G966" t="s">
        <v>550</v>
      </c>
      <c r="H966">
        <v>11</v>
      </c>
      <c r="I966">
        <v>5</v>
      </c>
      <c r="J966" t="s">
        <v>1</v>
      </c>
    </row>
    <row r="967" spans="3:10" x14ac:dyDescent="0.25">
      <c r="C967">
        <v>964</v>
      </c>
      <c r="D967">
        <v>208860813</v>
      </c>
      <c r="E967" t="s">
        <v>1935</v>
      </c>
      <c r="F967" t="s">
        <v>3400</v>
      </c>
      <c r="G967" t="s">
        <v>550</v>
      </c>
      <c r="H967">
        <v>11</v>
      </c>
      <c r="I967">
        <v>5</v>
      </c>
      <c r="J967" t="s">
        <v>1</v>
      </c>
    </row>
    <row r="968" spans="3:10" x14ac:dyDescent="0.25">
      <c r="C968">
        <v>965</v>
      </c>
      <c r="D968">
        <v>120120549</v>
      </c>
      <c r="E968" t="s">
        <v>1936</v>
      </c>
      <c r="F968" t="s">
        <v>3401</v>
      </c>
      <c r="G968" t="s">
        <v>550</v>
      </c>
      <c r="H968">
        <v>11</v>
      </c>
      <c r="I968">
        <v>5</v>
      </c>
      <c r="J968" t="s">
        <v>1</v>
      </c>
    </row>
    <row r="969" spans="3:10" x14ac:dyDescent="0.25">
      <c r="C969">
        <v>966</v>
      </c>
      <c r="D969">
        <v>209110753</v>
      </c>
      <c r="E969" t="s">
        <v>1937</v>
      </c>
      <c r="F969" t="s">
        <v>3402</v>
      </c>
      <c r="G969" t="s">
        <v>550</v>
      </c>
      <c r="H969">
        <v>11</v>
      </c>
      <c r="I969">
        <v>5</v>
      </c>
      <c r="J969" t="s">
        <v>1</v>
      </c>
    </row>
    <row r="970" spans="3:10" x14ac:dyDescent="0.25">
      <c r="C970">
        <v>967</v>
      </c>
      <c r="D970">
        <v>209020749</v>
      </c>
      <c r="E970" t="s">
        <v>1938</v>
      </c>
      <c r="F970" t="s">
        <v>3403</v>
      </c>
      <c r="G970" t="s">
        <v>550</v>
      </c>
      <c r="H970">
        <v>11</v>
      </c>
      <c r="I970">
        <v>5</v>
      </c>
      <c r="J970" t="s">
        <v>1</v>
      </c>
    </row>
    <row r="971" spans="3:10" x14ac:dyDescent="0.25">
      <c r="C971">
        <v>968</v>
      </c>
      <c r="D971">
        <v>209070738</v>
      </c>
      <c r="E971" t="s">
        <v>1939</v>
      </c>
      <c r="F971" t="s">
        <v>3404</v>
      </c>
      <c r="G971" t="s">
        <v>550</v>
      </c>
      <c r="H971">
        <v>11</v>
      </c>
      <c r="I971">
        <v>5</v>
      </c>
      <c r="J971" t="s">
        <v>1</v>
      </c>
    </row>
    <row r="972" spans="3:10" x14ac:dyDescent="0.25">
      <c r="C972">
        <v>969</v>
      </c>
      <c r="D972">
        <v>208940445</v>
      </c>
      <c r="E972" t="s">
        <v>1940</v>
      </c>
      <c r="F972" t="s">
        <v>3405</v>
      </c>
      <c r="G972" t="s">
        <v>550</v>
      </c>
      <c r="H972">
        <v>11</v>
      </c>
      <c r="I972">
        <v>5</v>
      </c>
      <c r="J972" t="s">
        <v>1</v>
      </c>
    </row>
    <row r="973" spans="3:10" x14ac:dyDescent="0.25">
      <c r="C973">
        <v>970</v>
      </c>
      <c r="D973">
        <v>208980801</v>
      </c>
      <c r="E973" t="s">
        <v>1941</v>
      </c>
      <c r="F973" t="s">
        <v>3406</v>
      </c>
      <c r="G973" t="s">
        <v>550</v>
      </c>
      <c r="H973">
        <v>11</v>
      </c>
      <c r="I973">
        <v>5</v>
      </c>
      <c r="J973" t="s">
        <v>1</v>
      </c>
    </row>
    <row r="974" spans="3:10" x14ac:dyDescent="0.25">
      <c r="C974">
        <v>971</v>
      </c>
      <c r="D974">
        <v>119930550</v>
      </c>
      <c r="E974" t="s">
        <v>1942</v>
      </c>
      <c r="F974" t="s">
        <v>3407</v>
      </c>
      <c r="G974" t="s">
        <v>550</v>
      </c>
      <c r="H974">
        <v>11</v>
      </c>
      <c r="I974">
        <v>5</v>
      </c>
      <c r="J974" t="s">
        <v>1</v>
      </c>
    </row>
    <row r="975" spans="3:10" x14ac:dyDescent="0.25">
      <c r="C975">
        <v>972</v>
      </c>
      <c r="D975">
        <v>402780125</v>
      </c>
      <c r="E975" t="s">
        <v>1943</v>
      </c>
      <c r="F975" t="s">
        <v>3408</v>
      </c>
      <c r="G975" t="s">
        <v>550</v>
      </c>
      <c r="H975">
        <v>11</v>
      </c>
      <c r="I975">
        <v>5</v>
      </c>
      <c r="J975" t="s">
        <v>1</v>
      </c>
    </row>
    <row r="976" spans="3:10" x14ac:dyDescent="0.25">
      <c r="C976">
        <v>973</v>
      </c>
      <c r="D976">
        <v>120200025</v>
      </c>
      <c r="E976" t="s">
        <v>1944</v>
      </c>
      <c r="F976" t="s">
        <v>3409</v>
      </c>
      <c r="G976" t="s">
        <v>550</v>
      </c>
      <c r="H976">
        <v>11</v>
      </c>
      <c r="I976">
        <v>5</v>
      </c>
      <c r="J976" t="s">
        <v>1</v>
      </c>
    </row>
    <row r="977" spans="3:10" x14ac:dyDescent="0.25">
      <c r="C977">
        <v>974</v>
      </c>
      <c r="D977">
        <v>209080285</v>
      </c>
      <c r="E977" t="s">
        <v>1945</v>
      </c>
      <c r="F977" t="s">
        <v>3410</v>
      </c>
      <c r="G977" t="s">
        <v>550</v>
      </c>
      <c r="H977">
        <v>11</v>
      </c>
      <c r="I977">
        <v>5</v>
      </c>
      <c r="J977" t="s">
        <v>1</v>
      </c>
    </row>
    <row r="978" spans="3:10" x14ac:dyDescent="0.25">
      <c r="C978">
        <v>975</v>
      </c>
      <c r="D978">
        <v>209020596</v>
      </c>
      <c r="E978" t="s">
        <v>1946</v>
      </c>
      <c r="F978" t="s">
        <v>3411</v>
      </c>
      <c r="G978" t="s">
        <v>550</v>
      </c>
      <c r="H978">
        <v>11</v>
      </c>
      <c r="I978">
        <v>5</v>
      </c>
      <c r="J978" t="s">
        <v>1</v>
      </c>
    </row>
    <row r="979" spans="3:10" x14ac:dyDescent="0.25">
      <c r="C979">
        <v>976</v>
      </c>
      <c r="D979">
        <v>208980014</v>
      </c>
      <c r="E979" t="s">
        <v>1918</v>
      </c>
      <c r="F979" t="s">
        <v>3412</v>
      </c>
      <c r="G979" t="s">
        <v>550</v>
      </c>
      <c r="H979">
        <v>11</v>
      </c>
      <c r="I979">
        <v>5</v>
      </c>
      <c r="J979" t="s">
        <v>1</v>
      </c>
    </row>
    <row r="980" spans="3:10" x14ac:dyDescent="0.25">
      <c r="C980">
        <v>977</v>
      </c>
      <c r="D980">
        <v>402770918</v>
      </c>
      <c r="E980" t="s">
        <v>1947</v>
      </c>
      <c r="F980" t="s">
        <v>3413</v>
      </c>
      <c r="G980" t="s">
        <v>550</v>
      </c>
      <c r="H980">
        <v>11</v>
      </c>
      <c r="I980">
        <v>5</v>
      </c>
      <c r="J980" t="s">
        <v>1</v>
      </c>
    </row>
    <row r="981" spans="3:10" x14ac:dyDescent="0.25">
      <c r="C981">
        <v>978</v>
      </c>
      <c r="D981">
        <v>209060909</v>
      </c>
      <c r="E981" t="s">
        <v>1948</v>
      </c>
      <c r="F981" t="s">
        <v>3414</v>
      </c>
      <c r="G981" t="s">
        <v>550</v>
      </c>
      <c r="H981">
        <v>11</v>
      </c>
      <c r="I981">
        <v>5</v>
      </c>
      <c r="J981" t="s">
        <v>1</v>
      </c>
    </row>
    <row r="982" spans="3:10" x14ac:dyDescent="0.25">
      <c r="C982">
        <v>979</v>
      </c>
      <c r="D982">
        <v>402790626</v>
      </c>
      <c r="E982" t="s">
        <v>1949</v>
      </c>
      <c r="F982" t="s">
        <v>3415</v>
      </c>
      <c r="G982" t="s">
        <v>550</v>
      </c>
      <c r="H982">
        <v>11</v>
      </c>
      <c r="I982">
        <v>5</v>
      </c>
      <c r="J982" t="s">
        <v>1</v>
      </c>
    </row>
    <row r="983" spans="3:10" x14ac:dyDescent="0.25">
      <c r="C983">
        <v>980</v>
      </c>
      <c r="D983">
        <v>120380567</v>
      </c>
      <c r="E983" t="s">
        <v>1950</v>
      </c>
      <c r="F983" t="s">
        <v>3416</v>
      </c>
      <c r="G983" t="s">
        <v>582</v>
      </c>
      <c r="H983">
        <v>11</v>
      </c>
      <c r="I983">
        <v>5</v>
      </c>
      <c r="J983" t="s">
        <v>0</v>
      </c>
    </row>
    <row r="984" spans="3:10" x14ac:dyDescent="0.25">
      <c r="C984">
        <v>981</v>
      </c>
      <c r="D984">
        <v>209070189</v>
      </c>
      <c r="E984" t="s">
        <v>1951</v>
      </c>
      <c r="F984" t="s">
        <v>3417</v>
      </c>
      <c r="G984" t="s">
        <v>582</v>
      </c>
      <c r="H984">
        <v>11</v>
      </c>
      <c r="I984">
        <v>5</v>
      </c>
      <c r="J984" t="s">
        <v>0</v>
      </c>
    </row>
    <row r="985" spans="3:10" x14ac:dyDescent="0.25">
      <c r="C985">
        <v>982</v>
      </c>
      <c r="D985" t="s">
        <v>2344</v>
      </c>
      <c r="E985" t="s">
        <v>2344</v>
      </c>
      <c r="F985" t="s">
        <v>3418</v>
      </c>
      <c r="G985" t="s">
        <v>582</v>
      </c>
      <c r="H985">
        <v>11</v>
      </c>
      <c r="I985">
        <v>5</v>
      </c>
      <c r="J985" t="s">
        <v>0</v>
      </c>
    </row>
    <row r="986" spans="3:10" x14ac:dyDescent="0.25">
      <c r="C986">
        <v>983</v>
      </c>
      <c r="D986">
        <v>208990089</v>
      </c>
      <c r="E986" t="s">
        <v>1952</v>
      </c>
      <c r="F986" t="s">
        <v>3419</v>
      </c>
      <c r="G986" t="s">
        <v>582</v>
      </c>
      <c r="H986">
        <v>11</v>
      </c>
      <c r="I986">
        <v>5</v>
      </c>
      <c r="J986" t="s">
        <v>0</v>
      </c>
    </row>
    <row r="987" spans="3:10" x14ac:dyDescent="0.25">
      <c r="C987">
        <v>984</v>
      </c>
      <c r="D987">
        <v>120190322</v>
      </c>
      <c r="E987" t="s">
        <v>1953</v>
      </c>
      <c r="F987" t="s">
        <v>3420</v>
      </c>
      <c r="G987" t="s">
        <v>582</v>
      </c>
      <c r="H987">
        <v>11</v>
      </c>
      <c r="I987">
        <v>5</v>
      </c>
      <c r="J987" t="s">
        <v>0</v>
      </c>
    </row>
    <row r="988" spans="3:10" x14ac:dyDescent="0.25">
      <c r="C988">
        <v>985</v>
      </c>
      <c r="D988">
        <v>209070040</v>
      </c>
      <c r="E988" t="s">
        <v>1955</v>
      </c>
      <c r="F988" t="s">
        <v>3421</v>
      </c>
      <c r="G988" t="s">
        <v>582</v>
      </c>
      <c r="H988">
        <v>11</v>
      </c>
      <c r="I988">
        <v>5</v>
      </c>
      <c r="J988" t="s">
        <v>0</v>
      </c>
    </row>
    <row r="989" spans="3:10" x14ac:dyDescent="0.25">
      <c r="C989">
        <v>986</v>
      </c>
      <c r="D989">
        <v>120160550</v>
      </c>
      <c r="E989" t="s">
        <v>1956</v>
      </c>
      <c r="F989" t="s">
        <v>3422</v>
      </c>
      <c r="G989" t="s">
        <v>582</v>
      </c>
      <c r="H989">
        <v>11</v>
      </c>
      <c r="I989">
        <v>5</v>
      </c>
      <c r="J989" t="s">
        <v>0</v>
      </c>
    </row>
    <row r="990" spans="3:10" x14ac:dyDescent="0.25">
      <c r="C990">
        <v>987</v>
      </c>
      <c r="D990">
        <v>209000358</v>
      </c>
      <c r="E990" t="s">
        <v>1957</v>
      </c>
      <c r="F990" t="s">
        <v>3423</v>
      </c>
      <c r="G990" t="s">
        <v>582</v>
      </c>
      <c r="H990">
        <v>11</v>
      </c>
      <c r="I990">
        <v>5</v>
      </c>
      <c r="J990" t="s">
        <v>0</v>
      </c>
    </row>
    <row r="991" spans="3:10" x14ac:dyDescent="0.25">
      <c r="C991">
        <v>988</v>
      </c>
      <c r="D991">
        <v>402770836</v>
      </c>
      <c r="E991" t="s">
        <v>1958</v>
      </c>
      <c r="F991" t="s">
        <v>3424</v>
      </c>
      <c r="G991" t="s">
        <v>582</v>
      </c>
      <c r="H991">
        <v>11</v>
      </c>
      <c r="I991">
        <v>5</v>
      </c>
      <c r="J991" t="s">
        <v>0</v>
      </c>
    </row>
    <row r="992" spans="3:10" x14ac:dyDescent="0.25">
      <c r="C992">
        <v>989</v>
      </c>
      <c r="D992">
        <v>120130070</v>
      </c>
      <c r="E992" t="s">
        <v>1959</v>
      </c>
      <c r="F992" t="s">
        <v>3425</v>
      </c>
      <c r="G992" t="s">
        <v>582</v>
      </c>
      <c r="H992">
        <v>11</v>
      </c>
      <c r="I992">
        <v>5</v>
      </c>
      <c r="J992" t="s">
        <v>0</v>
      </c>
    </row>
    <row r="993" spans="3:10" x14ac:dyDescent="0.25">
      <c r="C993">
        <v>990</v>
      </c>
      <c r="D993">
        <v>402780461</v>
      </c>
      <c r="E993" t="s">
        <v>1960</v>
      </c>
      <c r="F993" t="s">
        <v>3426</v>
      </c>
      <c r="G993" t="s">
        <v>582</v>
      </c>
      <c r="H993">
        <v>11</v>
      </c>
      <c r="I993">
        <v>5</v>
      </c>
      <c r="J993" t="s">
        <v>0</v>
      </c>
    </row>
    <row r="994" spans="3:10" x14ac:dyDescent="0.25">
      <c r="C994">
        <v>991</v>
      </c>
      <c r="D994">
        <v>402800987</v>
      </c>
      <c r="E994" t="s">
        <v>1961</v>
      </c>
      <c r="F994" t="s">
        <v>3427</v>
      </c>
      <c r="G994" t="s">
        <v>582</v>
      </c>
      <c r="H994">
        <v>11</v>
      </c>
      <c r="I994">
        <v>5</v>
      </c>
      <c r="J994" t="s">
        <v>0</v>
      </c>
    </row>
    <row r="995" spans="3:10" x14ac:dyDescent="0.25">
      <c r="C995">
        <v>992</v>
      </c>
      <c r="D995">
        <v>402790521</v>
      </c>
      <c r="E995" t="s">
        <v>1962</v>
      </c>
      <c r="F995" t="s">
        <v>3428</v>
      </c>
      <c r="G995" t="s">
        <v>582</v>
      </c>
      <c r="H995">
        <v>11</v>
      </c>
      <c r="I995">
        <v>5</v>
      </c>
      <c r="J995" t="s">
        <v>0</v>
      </c>
    </row>
    <row r="996" spans="3:10" x14ac:dyDescent="0.25">
      <c r="C996">
        <v>993</v>
      </c>
      <c r="D996">
        <v>120210101</v>
      </c>
      <c r="E996" t="s">
        <v>1963</v>
      </c>
      <c r="F996" t="s">
        <v>3429</v>
      </c>
      <c r="G996" t="s">
        <v>582</v>
      </c>
      <c r="H996">
        <v>11</v>
      </c>
      <c r="I996">
        <v>5</v>
      </c>
      <c r="J996" t="s">
        <v>0</v>
      </c>
    </row>
    <row r="997" spans="3:10" x14ac:dyDescent="0.25">
      <c r="C997">
        <v>994</v>
      </c>
      <c r="D997">
        <v>208990112</v>
      </c>
      <c r="E997" t="s">
        <v>1964</v>
      </c>
      <c r="F997" t="s">
        <v>3430</v>
      </c>
      <c r="G997" t="s">
        <v>582</v>
      </c>
      <c r="H997">
        <v>11</v>
      </c>
      <c r="I997">
        <v>5</v>
      </c>
      <c r="J997" t="s">
        <v>0</v>
      </c>
    </row>
    <row r="998" spans="3:10" x14ac:dyDescent="0.25">
      <c r="C998">
        <v>995</v>
      </c>
      <c r="D998">
        <v>209080470</v>
      </c>
      <c r="E998" t="s">
        <v>1965</v>
      </c>
      <c r="F998" t="s">
        <v>3431</v>
      </c>
      <c r="G998" t="s">
        <v>629</v>
      </c>
      <c r="H998">
        <v>11</v>
      </c>
      <c r="I998">
        <v>6</v>
      </c>
      <c r="J998" t="s">
        <v>1</v>
      </c>
    </row>
    <row r="999" spans="3:10" x14ac:dyDescent="0.25">
      <c r="C999">
        <v>996</v>
      </c>
      <c r="D999">
        <v>208980787</v>
      </c>
      <c r="E999" t="s">
        <v>1966</v>
      </c>
      <c r="F999" t="s">
        <v>3432</v>
      </c>
      <c r="G999" t="s">
        <v>629</v>
      </c>
      <c r="H999">
        <v>11</v>
      </c>
      <c r="I999">
        <v>6</v>
      </c>
      <c r="J999" t="s">
        <v>1</v>
      </c>
    </row>
    <row r="1000" spans="3:10" x14ac:dyDescent="0.25">
      <c r="C1000">
        <v>997</v>
      </c>
      <c r="D1000">
        <v>402800052</v>
      </c>
      <c r="E1000" t="s">
        <v>1967</v>
      </c>
      <c r="F1000" t="s">
        <v>3433</v>
      </c>
      <c r="G1000" t="s">
        <v>629</v>
      </c>
      <c r="H1000">
        <v>11</v>
      </c>
      <c r="I1000">
        <v>6</v>
      </c>
      <c r="J1000" t="s">
        <v>1</v>
      </c>
    </row>
    <row r="1001" spans="3:10" x14ac:dyDescent="0.25">
      <c r="C1001">
        <v>998</v>
      </c>
      <c r="D1001">
        <v>209100278</v>
      </c>
      <c r="E1001" t="s">
        <v>1968</v>
      </c>
      <c r="F1001" t="s">
        <v>3434</v>
      </c>
      <c r="G1001" t="s">
        <v>629</v>
      </c>
      <c r="H1001">
        <v>11</v>
      </c>
      <c r="I1001">
        <v>6</v>
      </c>
      <c r="J1001" t="s">
        <v>1</v>
      </c>
    </row>
    <row r="1002" spans="3:10" x14ac:dyDescent="0.25">
      <c r="C1002">
        <v>999</v>
      </c>
      <c r="D1002">
        <v>402810258</v>
      </c>
      <c r="E1002" t="s">
        <v>1969</v>
      </c>
      <c r="F1002" t="s">
        <v>3435</v>
      </c>
      <c r="G1002" t="s">
        <v>629</v>
      </c>
      <c r="H1002">
        <v>11</v>
      </c>
      <c r="I1002">
        <v>6</v>
      </c>
      <c r="J1002" t="s">
        <v>1</v>
      </c>
    </row>
    <row r="1003" spans="3:10" x14ac:dyDescent="0.25">
      <c r="C1003">
        <v>1000</v>
      </c>
      <c r="D1003">
        <v>209050727</v>
      </c>
      <c r="E1003" t="s">
        <v>1970</v>
      </c>
      <c r="F1003" t="s">
        <v>3436</v>
      </c>
      <c r="G1003" t="s">
        <v>629</v>
      </c>
      <c r="H1003">
        <v>11</v>
      </c>
      <c r="I1003">
        <v>6</v>
      </c>
      <c r="J1003" t="s">
        <v>1</v>
      </c>
    </row>
    <row r="1004" spans="3:10" x14ac:dyDescent="0.25">
      <c r="C1004">
        <v>1001</v>
      </c>
      <c r="D1004">
        <v>209030970</v>
      </c>
      <c r="E1004" t="s">
        <v>1971</v>
      </c>
      <c r="F1004" t="s">
        <v>3437</v>
      </c>
      <c r="G1004" t="s">
        <v>629</v>
      </c>
      <c r="H1004">
        <v>11</v>
      </c>
      <c r="I1004">
        <v>6</v>
      </c>
      <c r="J1004" t="s">
        <v>1</v>
      </c>
    </row>
    <row r="1005" spans="3:10" x14ac:dyDescent="0.25">
      <c r="C1005">
        <v>1002</v>
      </c>
      <c r="D1005">
        <v>208980732</v>
      </c>
      <c r="E1005" t="s">
        <v>1972</v>
      </c>
      <c r="F1005" t="s">
        <v>3438</v>
      </c>
      <c r="G1005" t="s">
        <v>629</v>
      </c>
      <c r="H1005">
        <v>11</v>
      </c>
      <c r="I1005">
        <v>6</v>
      </c>
      <c r="J1005" t="s">
        <v>1</v>
      </c>
    </row>
    <row r="1006" spans="3:10" x14ac:dyDescent="0.25">
      <c r="C1006">
        <v>1003</v>
      </c>
      <c r="D1006">
        <v>209030984</v>
      </c>
      <c r="E1006" t="s">
        <v>1973</v>
      </c>
      <c r="F1006" t="s">
        <v>3439</v>
      </c>
      <c r="G1006" t="s">
        <v>629</v>
      </c>
      <c r="H1006">
        <v>11</v>
      </c>
      <c r="I1006">
        <v>6</v>
      </c>
      <c r="J1006" t="s">
        <v>1</v>
      </c>
    </row>
    <row r="1007" spans="3:10" x14ac:dyDescent="0.25">
      <c r="C1007">
        <v>1004</v>
      </c>
      <c r="D1007">
        <v>209070187</v>
      </c>
      <c r="E1007" t="s">
        <v>1974</v>
      </c>
      <c r="F1007" t="s">
        <v>3440</v>
      </c>
      <c r="G1007" t="s">
        <v>629</v>
      </c>
      <c r="H1007">
        <v>11</v>
      </c>
      <c r="I1007">
        <v>6</v>
      </c>
      <c r="J1007" t="s">
        <v>1</v>
      </c>
    </row>
    <row r="1008" spans="3:10" x14ac:dyDescent="0.25">
      <c r="C1008">
        <v>1005</v>
      </c>
      <c r="D1008">
        <v>209030264</v>
      </c>
      <c r="E1008" t="s">
        <v>1975</v>
      </c>
      <c r="F1008" t="s">
        <v>3441</v>
      </c>
      <c r="G1008" t="s">
        <v>629</v>
      </c>
      <c r="H1008">
        <v>11</v>
      </c>
      <c r="I1008">
        <v>6</v>
      </c>
      <c r="J1008" t="s">
        <v>1</v>
      </c>
    </row>
    <row r="1009" spans="3:10" x14ac:dyDescent="0.25">
      <c r="C1009">
        <v>1006</v>
      </c>
      <c r="D1009">
        <v>402770993</v>
      </c>
      <c r="E1009" t="s">
        <v>1976</v>
      </c>
      <c r="F1009" t="s">
        <v>3442</v>
      </c>
      <c r="G1009" t="s">
        <v>629</v>
      </c>
      <c r="H1009">
        <v>11</v>
      </c>
      <c r="I1009">
        <v>6</v>
      </c>
      <c r="J1009" t="s">
        <v>1</v>
      </c>
    </row>
    <row r="1010" spans="3:10" x14ac:dyDescent="0.25">
      <c r="C1010">
        <v>1007</v>
      </c>
      <c r="D1010" t="s">
        <v>868</v>
      </c>
      <c r="E1010" t="s">
        <v>868</v>
      </c>
      <c r="F1010" t="s">
        <v>3443</v>
      </c>
      <c r="G1010" t="s">
        <v>629</v>
      </c>
      <c r="H1010">
        <v>11</v>
      </c>
      <c r="I1010">
        <v>6</v>
      </c>
      <c r="J1010" t="s">
        <v>1</v>
      </c>
    </row>
    <row r="1011" spans="3:10" x14ac:dyDescent="0.25">
      <c r="C1011">
        <v>1008</v>
      </c>
      <c r="D1011">
        <v>402740664</v>
      </c>
      <c r="E1011" t="s">
        <v>1977</v>
      </c>
      <c r="F1011" t="s">
        <v>3444</v>
      </c>
      <c r="G1011" t="s">
        <v>629</v>
      </c>
      <c r="H1011">
        <v>11</v>
      </c>
      <c r="I1011">
        <v>6</v>
      </c>
      <c r="J1011" t="s">
        <v>1</v>
      </c>
    </row>
    <row r="1012" spans="3:10" x14ac:dyDescent="0.25">
      <c r="C1012">
        <v>1009</v>
      </c>
      <c r="D1012">
        <v>208960697</v>
      </c>
      <c r="E1012" t="s">
        <v>1978</v>
      </c>
      <c r="F1012" t="s">
        <v>3445</v>
      </c>
      <c r="G1012" t="s">
        <v>629</v>
      </c>
      <c r="H1012">
        <v>11</v>
      </c>
      <c r="I1012">
        <v>6</v>
      </c>
      <c r="J1012" t="s">
        <v>1</v>
      </c>
    </row>
    <row r="1013" spans="3:10" x14ac:dyDescent="0.25">
      <c r="C1013">
        <v>1010</v>
      </c>
      <c r="D1013">
        <v>208960323</v>
      </c>
      <c r="E1013" t="s">
        <v>1979</v>
      </c>
      <c r="F1013" t="s">
        <v>3446</v>
      </c>
      <c r="G1013" t="s">
        <v>629</v>
      </c>
      <c r="H1013">
        <v>11</v>
      </c>
      <c r="I1013">
        <v>6</v>
      </c>
      <c r="J1013" t="s">
        <v>1</v>
      </c>
    </row>
    <row r="1014" spans="3:10" x14ac:dyDescent="0.25">
      <c r="C1014">
        <v>1011</v>
      </c>
      <c r="D1014">
        <v>208990090</v>
      </c>
      <c r="E1014" t="s">
        <v>1980</v>
      </c>
      <c r="F1014" t="s">
        <v>3447</v>
      </c>
      <c r="G1014" t="s">
        <v>2345</v>
      </c>
      <c r="H1014">
        <v>11</v>
      </c>
      <c r="I1014">
        <v>6</v>
      </c>
      <c r="J1014" t="s">
        <v>0</v>
      </c>
    </row>
    <row r="1015" spans="3:10" x14ac:dyDescent="0.25">
      <c r="C1015">
        <v>1012</v>
      </c>
      <c r="D1015">
        <v>209080417</v>
      </c>
      <c r="E1015" t="s">
        <v>1981</v>
      </c>
      <c r="F1015" t="s">
        <v>3448</v>
      </c>
      <c r="G1015" t="s">
        <v>2345</v>
      </c>
      <c r="H1015">
        <v>11</v>
      </c>
      <c r="I1015">
        <v>6</v>
      </c>
      <c r="J1015" t="s">
        <v>0</v>
      </c>
    </row>
    <row r="1016" spans="3:10" x14ac:dyDescent="0.25">
      <c r="C1016">
        <v>1013</v>
      </c>
      <c r="D1016">
        <v>209040915</v>
      </c>
      <c r="E1016" t="s">
        <v>1982</v>
      </c>
      <c r="F1016" t="s">
        <v>3449</v>
      </c>
      <c r="G1016" t="s">
        <v>2345</v>
      </c>
      <c r="H1016">
        <v>11</v>
      </c>
      <c r="I1016">
        <v>6</v>
      </c>
      <c r="J1016" t="s">
        <v>0</v>
      </c>
    </row>
    <row r="1017" spans="3:10" x14ac:dyDescent="0.25">
      <c r="C1017">
        <v>1014</v>
      </c>
      <c r="D1017">
        <v>703370117</v>
      </c>
      <c r="E1017" t="s">
        <v>1983</v>
      </c>
      <c r="F1017" t="s">
        <v>3450</v>
      </c>
      <c r="G1017" t="s">
        <v>2345</v>
      </c>
      <c r="H1017">
        <v>11</v>
      </c>
      <c r="I1017">
        <v>6</v>
      </c>
      <c r="J1017" t="s">
        <v>0</v>
      </c>
    </row>
    <row r="1018" spans="3:10" x14ac:dyDescent="0.25">
      <c r="C1018">
        <v>1015</v>
      </c>
      <c r="D1018">
        <v>209000167</v>
      </c>
      <c r="E1018" t="s">
        <v>1984</v>
      </c>
      <c r="F1018" t="s">
        <v>3451</v>
      </c>
      <c r="G1018" t="s">
        <v>2345</v>
      </c>
      <c r="H1018">
        <v>11</v>
      </c>
      <c r="I1018">
        <v>6</v>
      </c>
      <c r="J1018" t="s">
        <v>0</v>
      </c>
    </row>
    <row r="1019" spans="3:10" x14ac:dyDescent="0.25">
      <c r="C1019">
        <v>1016</v>
      </c>
      <c r="D1019">
        <v>209080374</v>
      </c>
      <c r="E1019" t="s">
        <v>1985</v>
      </c>
      <c r="F1019" t="s">
        <v>3452</v>
      </c>
      <c r="G1019" t="s">
        <v>2345</v>
      </c>
      <c r="H1019">
        <v>11</v>
      </c>
      <c r="I1019">
        <v>6</v>
      </c>
      <c r="J1019" t="s">
        <v>0</v>
      </c>
    </row>
    <row r="1020" spans="3:10" x14ac:dyDescent="0.25">
      <c r="C1020">
        <v>1017</v>
      </c>
      <c r="D1020">
        <v>209020649</v>
      </c>
      <c r="E1020" t="s">
        <v>1986</v>
      </c>
      <c r="F1020" t="s">
        <v>3453</v>
      </c>
      <c r="G1020" t="s">
        <v>2345</v>
      </c>
      <c r="H1020">
        <v>11</v>
      </c>
      <c r="I1020">
        <v>6</v>
      </c>
      <c r="J1020" t="s">
        <v>0</v>
      </c>
    </row>
    <row r="1021" spans="3:10" x14ac:dyDescent="0.25">
      <c r="C1021">
        <v>1018</v>
      </c>
      <c r="D1021">
        <v>208600671</v>
      </c>
      <c r="E1021" t="s">
        <v>1988</v>
      </c>
      <c r="F1021" t="s">
        <v>3454</v>
      </c>
      <c r="G1021" t="s">
        <v>2241</v>
      </c>
      <c r="H1021">
        <v>12</v>
      </c>
      <c r="I1021">
        <v>1</v>
      </c>
      <c r="J1021" t="s">
        <v>1</v>
      </c>
    </row>
    <row r="1022" spans="3:10" x14ac:dyDescent="0.25">
      <c r="C1022">
        <v>1019</v>
      </c>
      <c r="D1022">
        <v>119930616</v>
      </c>
      <c r="E1022" t="s">
        <v>1989</v>
      </c>
      <c r="F1022" t="s">
        <v>3455</v>
      </c>
      <c r="G1022" t="s">
        <v>2241</v>
      </c>
      <c r="H1022">
        <v>12</v>
      </c>
      <c r="I1022">
        <v>1</v>
      </c>
      <c r="J1022" t="s">
        <v>1</v>
      </c>
    </row>
    <row r="1023" spans="3:10" x14ac:dyDescent="0.25">
      <c r="C1023">
        <v>1020</v>
      </c>
      <c r="D1023">
        <v>208960357</v>
      </c>
      <c r="E1023" t="s">
        <v>1990</v>
      </c>
      <c r="F1023" t="s">
        <v>3456</v>
      </c>
      <c r="G1023" t="s">
        <v>2241</v>
      </c>
      <c r="H1023">
        <v>12</v>
      </c>
      <c r="I1023">
        <v>1</v>
      </c>
      <c r="J1023" t="s">
        <v>1</v>
      </c>
    </row>
    <row r="1024" spans="3:10" x14ac:dyDescent="0.25">
      <c r="C1024">
        <v>1021</v>
      </c>
      <c r="D1024">
        <v>402770381</v>
      </c>
      <c r="E1024" t="s">
        <v>1991</v>
      </c>
      <c r="F1024" t="s">
        <v>3457</v>
      </c>
      <c r="G1024" t="s">
        <v>2241</v>
      </c>
      <c r="H1024">
        <v>12</v>
      </c>
      <c r="I1024">
        <v>1</v>
      </c>
      <c r="J1024" t="s">
        <v>1</v>
      </c>
    </row>
    <row r="1025" spans="3:10" x14ac:dyDescent="0.25">
      <c r="C1025">
        <v>1022</v>
      </c>
      <c r="D1025">
        <v>402760666</v>
      </c>
      <c r="E1025" t="s">
        <v>1992</v>
      </c>
      <c r="F1025" t="s">
        <v>3458</v>
      </c>
      <c r="G1025" t="s">
        <v>2241</v>
      </c>
      <c r="H1025">
        <v>12</v>
      </c>
      <c r="I1025">
        <v>1</v>
      </c>
      <c r="J1025" t="s">
        <v>1</v>
      </c>
    </row>
    <row r="1026" spans="3:10" x14ac:dyDescent="0.25">
      <c r="C1026">
        <v>1023</v>
      </c>
      <c r="D1026">
        <v>208970795</v>
      </c>
      <c r="E1026" t="s">
        <v>1993</v>
      </c>
      <c r="F1026" t="s">
        <v>3459</v>
      </c>
      <c r="G1026" t="s">
        <v>2241</v>
      </c>
      <c r="H1026">
        <v>12</v>
      </c>
      <c r="I1026">
        <v>1</v>
      </c>
      <c r="J1026" t="s">
        <v>1</v>
      </c>
    </row>
    <row r="1027" spans="3:10" x14ac:dyDescent="0.25">
      <c r="C1027">
        <v>1024</v>
      </c>
      <c r="D1027">
        <v>402720113</v>
      </c>
      <c r="E1027" t="s">
        <v>1994</v>
      </c>
      <c r="F1027" t="s">
        <v>3460</v>
      </c>
      <c r="G1027" t="s">
        <v>2241</v>
      </c>
      <c r="H1027">
        <v>12</v>
      </c>
      <c r="I1027">
        <v>1</v>
      </c>
      <c r="J1027" t="s">
        <v>1</v>
      </c>
    </row>
    <row r="1028" spans="3:10" x14ac:dyDescent="0.25">
      <c r="C1028">
        <v>1025</v>
      </c>
      <c r="D1028">
        <v>119690919</v>
      </c>
      <c r="E1028" t="s">
        <v>1995</v>
      </c>
      <c r="F1028" t="s">
        <v>3461</v>
      </c>
      <c r="G1028" t="s">
        <v>2241</v>
      </c>
      <c r="H1028">
        <v>12</v>
      </c>
      <c r="I1028">
        <v>1</v>
      </c>
      <c r="J1028" t="s">
        <v>1</v>
      </c>
    </row>
    <row r="1029" spans="3:10" x14ac:dyDescent="0.25">
      <c r="C1029">
        <v>1026</v>
      </c>
      <c r="D1029">
        <v>402770232</v>
      </c>
      <c r="E1029" t="s">
        <v>1996</v>
      </c>
      <c r="F1029" t="s">
        <v>3462</v>
      </c>
      <c r="G1029" t="s">
        <v>2241</v>
      </c>
      <c r="H1029">
        <v>12</v>
      </c>
      <c r="I1029">
        <v>1</v>
      </c>
      <c r="J1029" t="s">
        <v>1</v>
      </c>
    </row>
    <row r="1030" spans="3:10" x14ac:dyDescent="0.25">
      <c r="C1030">
        <v>1027</v>
      </c>
      <c r="D1030">
        <v>208950979</v>
      </c>
      <c r="E1030" t="s">
        <v>1997</v>
      </c>
      <c r="F1030" t="s">
        <v>3463</v>
      </c>
      <c r="G1030" t="s">
        <v>2241</v>
      </c>
      <c r="H1030">
        <v>12</v>
      </c>
      <c r="I1030">
        <v>1</v>
      </c>
      <c r="J1030" t="s">
        <v>1</v>
      </c>
    </row>
    <row r="1031" spans="3:10" x14ac:dyDescent="0.25">
      <c r="C1031">
        <v>1028</v>
      </c>
      <c r="D1031">
        <v>208930298</v>
      </c>
      <c r="E1031" t="s">
        <v>1998</v>
      </c>
      <c r="F1031" t="s">
        <v>3464</v>
      </c>
      <c r="G1031" t="s">
        <v>2241</v>
      </c>
      <c r="H1031">
        <v>12</v>
      </c>
      <c r="I1031">
        <v>1</v>
      </c>
      <c r="J1031" t="s">
        <v>1</v>
      </c>
    </row>
    <row r="1032" spans="3:10" x14ac:dyDescent="0.25">
      <c r="C1032">
        <v>1029</v>
      </c>
      <c r="D1032">
        <v>208860842</v>
      </c>
      <c r="E1032" t="s">
        <v>1999</v>
      </c>
      <c r="F1032" t="s">
        <v>3465</v>
      </c>
      <c r="G1032" t="s">
        <v>2241</v>
      </c>
      <c r="H1032">
        <v>12</v>
      </c>
      <c r="I1032">
        <v>1</v>
      </c>
      <c r="J1032" t="s">
        <v>1</v>
      </c>
    </row>
    <row r="1033" spans="3:10" x14ac:dyDescent="0.25">
      <c r="C1033">
        <v>1030</v>
      </c>
      <c r="D1033">
        <v>208940299</v>
      </c>
      <c r="E1033" t="s">
        <v>2000</v>
      </c>
      <c r="F1033" t="s">
        <v>3466</v>
      </c>
      <c r="G1033" t="s">
        <v>2241</v>
      </c>
      <c r="H1033">
        <v>12</v>
      </c>
      <c r="I1033">
        <v>1</v>
      </c>
      <c r="J1033" t="s">
        <v>1</v>
      </c>
    </row>
    <row r="1034" spans="3:10" x14ac:dyDescent="0.25">
      <c r="C1034">
        <v>1031</v>
      </c>
      <c r="D1034">
        <v>208920813</v>
      </c>
      <c r="E1034" t="s">
        <v>2001</v>
      </c>
      <c r="F1034" t="s">
        <v>3467</v>
      </c>
      <c r="G1034" t="s">
        <v>2241</v>
      </c>
      <c r="H1034">
        <v>12</v>
      </c>
      <c r="I1034">
        <v>1</v>
      </c>
      <c r="J1034" t="s">
        <v>1</v>
      </c>
    </row>
    <row r="1035" spans="3:10" x14ac:dyDescent="0.25">
      <c r="C1035">
        <v>1032</v>
      </c>
      <c r="D1035">
        <v>208850662</v>
      </c>
      <c r="E1035" t="s">
        <v>2002</v>
      </c>
      <c r="F1035" t="s">
        <v>3468</v>
      </c>
      <c r="G1035" t="s">
        <v>2241</v>
      </c>
      <c r="H1035">
        <v>12</v>
      </c>
      <c r="I1035">
        <v>1</v>
      </c>
      <c r="J1035" t="s">
        <v>1</v>
      </c>
    </row>
    <row r="1036" spans="3:10" x14ac:dyDescent="0.25">
      <c r="C1036">
        <v>1033</v>
      </c>
      <c r="D1036">
        <v>208890872</v>
      </c>
      <c r="E1036" t="s">
        <v>2003</v>
      </c>
      <c r="F1036" t="s">
        <v>3469</v>
      </c>
      <c r="G1036" t="s">
        <v>741</v>
      </c>
      <c r="H1036">
        <v>12</v>
      </c>
      <c r="I1036">
        <v>1</v>
      </c>
      <c r="J1036" t="s">
        <v>0</v>
      </c>
    </row>
    <row r="1037" spans="3:10" x14ac:dyDescent="0.25">
      <c r="C1037">
        <v>1034</v>
      </c>
      <c r="D1037">
        <v>208910733</v>
      </c>
      <c r="E1037" t="s">
        <v>2004</v>
      </c>
      <c r="F1037" t="s">
        <v>3470</v>
      </c>
      <c r="G1037" t="s">
        <v>741</v>
      </c>
      <c r="H1037">
        <v>12</v>
      </c>
      <c r="I1037">
        <v>1</v>
      </c>
      <c r="J1037" t="s">
        <v>0</v>
      </c>
    </row>
    <row r="1038" spans="3:10" x14ac:dyDescent="0.25">
      <c r="C1038">
        <v>1035</v>
      </c>
      <c r="D1038">
        <v>208940849</v>
      </c>
      <c r="E1038" t="s">
        <v>2005</v>
      </c>
      <c r="F1038" t="s">
        <v>3471</v>
      </c>
      <c r="G1038" t="s">
        <v>741</v>
      </c>
      <c r="H1038">
        <v>12</v>
      </c>
      <c r="I1038">
        <v>1</v>
      </c>
      <c r="J1038" t="s">
        <v>0</v>
      </c>
    </row>
    <row r="1039" spans="3:10" x14ac:dyDescent="0.25">
      <c r="C1039">
        <v>1036</v>
      </c>
      <c r="D1039">
        <v>208890557</v>
      </c>
      <c r="E1039" t="s">
        <v>2006</v>
      </c>
      <c r="F1039" t="s">
        <v>3472</v>
      </c>
      <c r="G1039" t="s">
        <v>741</v>
      </c>
      <c r="H1039">
        <v>12</v>
      </c>
      <c r="I1039">
        <v>1</v>
      </c>
      <c r="J1039" t="s">
        <v>0</v>
      </c>
    </row>
    <row r="1040" spans="3:10" x14ac:dyDescent="0.25">
      <c r="C1040">
        <v>1037</v>
      </c>
      <c r="D1040">
        <v>703320993</v>
      </c>
      <c r="E1040" t="s">
        <v>2007</v>
      </c>
      <c r="F1040" t="s">
        <v>3473</v>
      </c>
      <c r="G1040" t="s">
        <v>741</v>
      </c>
      <c r="H1040">
        <v>12</v>
      </c>
      <c r="I1040">
        <v>1</v>
      </c>
      <c r="J1040" t="s">
        <v>0</v>
      </c>
    </row>
    <row r="1041" spans="3:10" x14ac:dyDescent="0.25">
      <c r="C1041">
        <v>1038</v>
      </c>
      <c r="D1041">
        <v>402740633</v>
      </c>
      <c r="E1041" t="s">
        <v>2008</v>
      </c>
      <c r="F1041" t="s">
        <v>3474</v>
      </c>
      <c r="G1041" t="s">
        <v>741</v>
      </c>
      <c r="H1041">
        <v>12</v>
      </c>
      <c r="I1041">
        <v>1</v>
      </c>
      <c r="J1041" t="s">
        <v>0</v>
      </c>
    </row>
    <row r="1042" spans="3:10" x14ac:dyDescent="0.25">
      <c r="C1042">
        <v>1039</v>
      </c>
      <c r="D1042">
        <v>402760829</v>
      </c>
      <c r="E1042" t="s">
        <v>2009</v>
      </c>
      <c r="F1042" t="s">
        <v>3475</v>
      </c>
      <c r="G1042" t="s">
        <v>741</v>
      </c>
      <c r="H1042">
        <v>12</v>
      </c>
      <c r="I1042">
        <v>1</v>
      </c>
      <c r="J1042" t="s">
        <v>0</v>
      </c>
    </row>
    <row r="1043" spans="3:10" x14ac:dyDescent="0.25">
      <c r="C1043">
        <v>1040</v>
      </c>
      <c r="D1043">
        <v>119830244</v>
      </c>
      <c r="E1043" t="s">
        <v>2010</v>
      </c>
      <c r="F1043" t="s">
        <v>3476</v>
      </c>
      <c r="G1043" t="s">
        <v>741</v>
      </c>
      <c r="H1043">
        <v>12</v>
      </c>
      <c r="I1043">
        <v>1</v>
      </c>
      <c r="J1043" t="s">
        <v>0</v>
      </c>
    </row>
    <row r="1044" spans="3:10" x14ac:dyDescent="0.25">
      <c r="C1044">
        <v>1041</v>
      </c>
      <c r="D1044">
        <v>402750073</v>
      </c>
      <c r="E1044" t="s">
        <v>2011</v>
      </c>
      <c r="F1044" t="s">
        <v>3477</v>
      </c>
      <c r="G1044" t="s">
        <v>741</v>
      </c>
      <c r="H1044">
        <v>12</v>
      </c>
      <c r="I1044">
        <v>1</v>
      </c>
      <c r="J1044" t="s">
        <v>0</v>
      </c>
    </row>
    <row r="1045" spans="3:10" x14ac:dyDescent="0.25">
      <c r="C1045">
        <v>1042</v>
      </c>
      <c r="D1045">
        <v>402740185</v>
      </c>
      <c r="E1045" t="s">
        <v>2012</v>
      </c>
      <c r="F1045" t="s">
        <v>3478</v>
      </c>
      <c r="G1045" t="s">
        <v>741</v>
      </c>
      <c r="H1045">
        <v>12</v>
      </c>
      <c r="I1045">
        <v>1</v>
      </c>
      <c r="J1045" t="s">
        <v>0</v>
      </c>
    </row>
    <row r="1046" spans="3:10" x14ac:dyDescent="0.25">
      <c r="C1046">
        <v>1043</v>
      </c>
      <c r="D1046">
        <v>402760446</v>
      </c>
      <c r="E1046" t="s">
        <v>2013</v>
      </c>
      <c r="F1046" t="s">
        <v>3479</v>
      </c>
      <c r="G1046" t="s">
        <v>741</v>
      </c>
      <c r="H1046">
        <v>12</v>
      </c>
      <c r="I1046">
        <v>1</v>
      </c>
      <c r="J1046" t="s">
        <v>0</v>
      </c>
    </row>
    <row r="1047" spans="3:10" x14ac:dyDescent="0.25">
      <c r="C1047">
        <v>1044</v>
      </c>
      <c r="D1047">
        <v>402770510</v>
      </c>
      <c r="E1047" t="s">
        <v>2014</v>
      </c>
      <c r="F1047" t="s">
        <v>3480</v>
      </c>
      <c r="G1047" t="s">
        <v>741</v>
      </c>
      <c r="H1047">
        <v>12</v>
      </c>
      <c r="I1047">
        <v>1</v>
      </c>
      <c r="J1047" t="s">
        <v>0</v>
      </c>
    </row>
    <row r="1048" spans="3:10" x14ac:dyDescent="0.25">
      <c r="C1048">
        <v>1045</v>
      </c>
      <c r="D1048">
        <v>119570296</v>
      </c>
      <c r="E1048" t="s">
        <v>2015</v>
      </c>
      <c r="F1048" t="s">
        <v>3481</v>
      </c>
      <c r="G1048" t="s">
        <v>741</v>
      </c>
      <c r="H1048">
        <v>12</v>
      </c>
      <c r="I1048">
        <v>1</v>
      </c>
      <c r="J1048" t="s">
        <v>0</v>
      </c>
    </row>
    <row r="1049" spans="3:10" x14ac:dyDescent="0.25">
      <c r="C1049">
        <v>1046</v>
      </c>
      <c r="D1049">
        <v>402740566</v>
      </c>
      <c r="E1049" t="s">
        <v>2016</v>
      </c>
      <c r="F1049" t="s">
        <v>3482</v>
      </c>
      <c r="G1049" t="s">
        <v>2241</v>
      </c>
      <c r="H1049">
        <v>12</v>
      </c>
      <c r="I1049">
        <v>2</v>
      </c>
      <c r="J1049" t="s">
        <v>1</v>
      </c>
    </row>
    <row r="1050" spans="3:10" x14ac:dyDescent="0.25">
      <c r="C1050">
        <v>1047</v>
      </c>
      <c r="D1050">
        <v>402720807</v>
      </c>
      <c r="E1050" t="s">
        <v>2017</v>
      </c>
      <c r="F1050" t="s">
        <v>3483</v>
      </c>
      <c r="G1050" t="s">
        <v>2241</v>
      </c>
      <c r="H1050">
        <v>12</v>
      </c>
      <c r="I1050">
        <v>2</v>
      </c>
      <c r="J1050" t="s">
        <v>1</v>
      </c>
    </row>
    <row r="1051" spans="3:10" x14ac:dyDescent="0.25">
      <c r="C1051">
        <v>1048</v>
      </c>
      <c r="D1051">
        <v>208740017</v>
      </c>
      <c r="E1051" t="s">
        <v>2018</v>
      </c>
      <c r="F1051" t="s">
        <v>3484</v>
      </c>
      <c r="G1051" t="s">
        <v>2241</v>
      </c>
      <c r="H1051">
        <v>12</v>
      </c>
      <c r="I1051">
        <v>2</v>
      </c>
      <c r="J1051" t="s">
        <v>1</v>
      </c>
    </row>
    <row r="1052" spans="3:10" x14ac:dyDescent="0.25">
      <c r="C1052">
        <v>1049</v>
      </c>
      <c r="D1052">
        <v>208930416</v>
      </c>
      <c r="E1052" t="s">
        <v>2019</v>
      </c>
      <c r="F1052" t="s">
        <v>3485</v>
      </c>
      <c r="G1052" t="s">
        <v>2241</v>
      </c>
      <c r="H1052">
        <v>12</v>
      </c>
      <c r="I1052">
        <v>2</v>
      </c>
      <c r="J1052" t="s">
        <v>1</v>
      </c>
    </row>
    <row r="1053" spans="3:10" x14ac:dyDescent="0.25">
      <c r="C1053">
        <v>1050</v>
      </c>
      <c r="D1053">
        <v>402770478</v>
      </c>
      <c r="E1053" t="s">
        <v>2020</v>
      </c>
      <c r="F1053" t="s">
        <v>3486</v>
      </c>
      <c r="G1053" t="s">
        <v>2241</v>
      </c>
      <c r="H1053">
        <v>12</v>
      </c>
      <c r="I1053">
        <v>2</v>
      </c>
      <c r="J1053" t="s">
        <v>1</v>
      </c>
    </row>
    <row r="1054" spans="3:10" x14ac:dyDescent="0.25">
      <c r="C1054">
        <v>1051</v>
      </c>
      <c r="D1054">
        <v>208870516</v>
      </c>
      <c r="E1054" t="s">
        <v>2021</v>
      </c>
      <c r="F1054" t="s">
        <v>3487</v>
      </c>
      <c r="G1054" t="s">
        <v>2241</v>
      </c>
      <c r="H1054">
        <v>12</v>
      </c>
      <c r="I1054">
        <v>2</v>
      </c>
      <c r="J1054" t="s">
        <v>1</v>
      </c>
    </row>
    <row r="1055" spans="3:10" x14ac:dyDescent="0.25">
      <c r="C1055">
        <v>1052</v>
      </c>
      <c r="D1055">
        <v>208710785</v>
      </c>
      <c r="E1055" t="s">
        <v>2022</v>
      </c>
      <c r="F1055" t="s">
        <v>3488</v>
      </c>
      <c r="G1055" t="s">
        <v>2241</v>
      </c>
      <c r="H1055">
        <v>12</v>
      </c>
      <c r="I1055">
        <v>2</v>
      </c>
      <c r="J1055" t="s">
        <v>1</v>
      </c>
    </row>
    <row r="1056" spans="3:10" x14ac:dyDescent="0.25">
      <c r="C1056">
        <v>1053</v>
      </c>
      <c r="D1056">
        <v>119500543</v>
      </c>
      <c r="E1056" t="s">
        <v>2023</v>
      </c>
      <c r="F1056" t="s">
        <v>3489</v>
      </c>
      <c r="G1056" t="s">
        <v>2241</v>
      </c>
      <c r="H1056">
        <v>12</v>
      </c>
      <c r="I1056">
        <v>2</v>
      </c>
      <c r="J1056" t="s">
        <v>1</v>
      </c>
    </row>
    <row r="1057" spans="3:10" x14ac:dyDescent="0.25">
      <c r="C1057">
        <v>1054</v>
      </c>
      <c r="D1057">
        <v>402730846</v>
      </c>
      <c r="E1057" t="s">
        <v>2024</v>
      </c>
      <c r="F1057" t="s">
        <v>3490</v>
      </c>
      <c r="G1057" t="s">
        <v>2241</v>
      </c>
      <c r="H1057">
        <v>12</v>
      </c>
      <c r="I1057">
        <v>2</v>
      </c>
      <c r="J1057" t="s">
        <v>1</v>
      </c>
    </row>
    <row r="1058" spans="3:10" x14ac:dyDescent="0.25">
      <c r="C1058">
        <v>1055</v>
      </c>
      <c r="D1058">
        <v>208880770</v>
      </c>
      <c r="E1058" t="s">
        <v>2025</v>
      </c>
      <c r="F1058" t="s">
        <v>3491</v>
      </c>
      <c r="G1058" t="s">
        <v>2241</v>
      </c>
      <c r="H1058">
        <v>12</v>
      </c>
      <c r="I1058">
        <v>2</v>
      </c>
      <c r="J1058" t="s">
        <v>1</v>
      </c>
    </row>
    <row r="1059" spans="3:10" x14ac:dyDescent="0.25">
      <c r="C1059">
        <v>1056</v>
      </c>
      <c r="D1059">
        <v>208880536</v>
      </c>
      <c r="E1059" t="s">
        <v>2026</v>
      </c>
      <c r="F1059" t="s">
        <v>3492</v>
      </c>
      <c r="G1059" t="s">
        <v>2241</v>
      </c>
      <c r="H1059">
        <v>12</v>
      </c>
      <c r="I1059">
        <v>2</v>
      </c>
      <c r="J1059" t="s">
        <v>1</v>
      </c>
    </row>
    <row r="1060" spans="3:10" x14ac:dyDescent="0.25">
      <c r="C1060">
        <v>1057</v>
      </c>
      <c r="D1060">
        <v>208900885</v>
      </c>
      <c r="E1060" t="s">
        <v>2027</v>
      </c>
      <c r="F1060" t="s">
        <v>3493</v>
      </c>
      <c r="G1060" t="s">
        <v>2241</v>
      </c>
      <c r="H1060">
        <v>12</v>
      </c>
      <c r="I1060">
        <v>2</v>
      </c>
      <c r="J1060" t="s">
        <v>1</v>
      </c>
    </row>
    <row r="1061" spans="3:10" x14ac:dyDescent="0.25">
      <c r="C1061">
        <v>1058</v>
      </c>
      <c r="D1061">
        <v>208930699</v>
      </c>
      <c r="E1061" t="s">
        <v>2028</v>
      </c>
      <c r="F1061" t="s">
        <v>3494</v>
      </c>
      <c r="G1061" t="s">
        <v>2241</v>
      </c>
      <c r="H1061">
        <v>12</v>
      </c>
      <c r="I1061">
        <v>2</v>
      </c>
      <c r="J1061" t="s">
        <v>1</v>
      </c>
    </row>
    <row r="1062" spans="3:10" x14ac:dyDescent="0.25">
      <c r="C1062">
        <v>1059</v>
      </c>
      <c r="D1062">
        <v>119800443</v>
      </c>
      <c r="E1062" t="s">
        <v>2029</v>
      </c>
      <c r="F1062" t="s">
        <v>3495</v>
      </c>
      <c r="G1062" t="s">
        <v>2241</v>
      </c>
      <c r="H1062">
        <v>12</v>
      </c>
      <c r="I1062">
        <v>2</v>
      </c>
      <c r="J1062" t="s">
        <v>1</v>
      </c>
    </row>
    <row r="1063" spans="3:10" x14ac:dyDescent="0.25">
      <c r="C1063">
        <v>1060</v>
      </c>
      <c r="D1063">
        <v>208850855</v>
      </c>
      <c r="E1063" t="s">
        <v>2030</v>
      </c>
      <c r="F1063" t="s">
        <v>3496</v>
      </c>
      <c r="G1063" t="s">
        <v>2241</v>
      </c>
      <c r="H1063">
        <v>12</v>
      </c>
      <c r="I1063">
        <v>2</v>
      </c>
      <c r="J1063" t="s">
        <v>1</v>
      </c>
    </row>
    <row r="1064" spans="3:10" x14ac:dyDescent="0.25">
      <c r="C1064">
        <v>1061</v>
      </c>
      <c r="D1064">
        <v>402690458</v>
      </c>
      <c r="E1064" t="s">
        <v>2031</v>
      </c>
      <c r="F1064" t="s">
        <v>3497</v>
      </c>
      <c r="G1064" t="s">
        <v>741</v>
      </c>
      <c r="H1064">
        <v>12</v>
      </c>
      <c r="I1064">
        <v>2</v>
      </c>
      <c r="J1064" t="s">
        <v>0</v>
      </c>
    </row>
    <row r="1065" spans="3:10" x14ac:dyDescent="0.25">
      <c r="C1065">
        <v>1062</v>
      </c>
      <c r="D1065">
        <v>120050018</v>
      </c>
      <c r="E1065" t="s">
        <v>2032</v>
      </c>
      <c r="F1065" t="s">
        <v>3498</v>
      </c>
      <c r="G1065" t="s">
        <v>741</v>
      </c>
      <c r="H1065">
        <v>12</v>
      </c>
      <c r="I1065">
        <v>2</v>
      </c>
      <c r="J1065" t="s">
        <v>0</v>
      </c>
    </row>
    <row r="1066" spans="3:10" x14ac:dyDescent="0.25">
      <c r="C1066">
        <v>1063</v>
      </c>
      <c r="D1066">
        <v>208880583</v>
      </c>
      <c r="E1066" t="s">
        <v>2033</v>
      </c>
      <c r="F1066" t="s">
        <v>3499</v>
      </c>
      <c r="G1066" t="s">
        <v>741</v>
      </c>
      <c r="H1066">
        <v>12</v>
      </c>
      <c r="I1066">
        <v>2</v>
      </c>
      <c r="J1066" t="s">
        <v>0</v>
      </c>
    </row>
    <row r="1067" spans="3:10" x14ac:dyDescent="0.25">
      <c r="C1067">
        <v>1064</v>
      </c>
      <c r="D1067">
        <v>402760847</v>
      </c>
      <c r="E1067" t="s">
        <v>2034</v>
      </c>
      <c r="F1067" t="s">
        <v>3500</v>
      </c>
      <c r="G1067" t="s">
        <v>741</v>
      </c>
      <c r="H1067">
        <v>12</v>
      </c>
      <c r="I1067">
        <v>2</v>
      </c>
      <c r="J1067" t="s">
        <v>0</v>
      </c>
    </row>
    <row r="1068" spans="3:10" x14ac:dyDescent="0.25">
      <c r="C1068">
        <v>1065</v>
      </c>
      <c r="D1068">
        <v>208630006</v>
      </c>
      <c r="E1068" t="s">
        <v>2035</v>
      </c>
      <c r="F1068" t="s">
        <v>3501</v>
      </c>
      <c r="G1068" t="s">
        <v>741</v>
      </c>
      <c r="H1068">
        <v>12</v>
      </c>
      <c r="I1068">
        <v>2</v>
      </c>
      <c r="J1068" t="s">
        <v>0</v>
      </c>
    </row>
    <row r="1069" spans="3:10" x14ac:dyDescent="0.25">
      <c r="C1069">
        <v>1066</v>
      </c>
      <c r="D1069">
        <v>208850388</v>
      </c>
      <c r="E1069" t="s">
        <v>2036</v>
      </c>
      <c r="F1069" t="s">
        <v>3502</v>
      </c>
      <c r="G1069" t="s">
        <v>741</v>
      </c>
      <c r="H1069">
        <v>12</v>
      </c>
      <c r="I1069">
        <v>2</v>
      </c>
      <c r="J1069" t="s">
        <v>0</v>
      </c>
    </row>
    <row r="1070" spans="3:10" x14ac:dyDescent="0.25">
      <c r="C1070">
        <v>1067</v>
      </c>
      <c r="D1070">
        <v>208920934</v>
      </c>
      <c r="E1070" t="s">
        <v>2037</v>
      </c>
      <c r="F1070" t="s">
        <v>3503</v>
      </c>
      <c r="G1070" t="s">
        <v>741</v>
      </c>
      <c r="H1070">
        <v>12</v>
      </c>
      <c r="I1070">
        <v>2</v>
      </c>
      <c r="J1070" t="s">
        <v>0</v>
      </c>
    </row>
    <row r="1071" spans="3:10" x14ac:dyDescent="0.25">
      <c r="C1071">
        <v>1068</v>
      </c>
      <c r="D1071">
        <v>208890770</v>
      </c>
      <c r="E1071" t="s">
        <v>2038</v>
      </c>
      <c r="F1071" t="s">
        <v>3504</v>
      </c>
      <c r="G1071" t="s">
        <v>741</v>
      </c>
      <c r="H1071">
        <v>12</v>
      </c>
      <c r="I1071">
        <v>2</v>
      </c>
      <c r="J1071" t="s">
        <v>0</v>
      </c>
    </row>
    <row r="1072" spans="3:10" x14ac:dyDescent="0.25">
      <c r="C1072">
        <v>1069</v>
      </c>
      <c r="D1072">
        <v>119860760</v>
      </c>
      <c r="E1072" t="s">
        <v>2039</v>
      </c>
      <c r="F1072" t="s">
        <v>3505</v>
      </c>
      <c r="G1072" t="s">
        <v>741</v>
      </c>
      <c r="H1072">
        <v>12</v>
      </c>
      <c r="I1072">
        <v>2</v>
      </c>
      <c r="J1072" t="s">
        <v>0</v>
      </c>
    </row>
    <row r="1073" spans="3:10" x14ac:dyDescent="0.25">
      <c r="C1073">
        <v>1070</v>
      </c>
      <c r="D1073">
        <v>208930405</v>
      </c>
      <c r="E1073" t="s">
        <v>2040</v>
      </c>
      <c r="F1073" t="s">
        <v>3506</v>
      </c>
      <c r="G1073" t="s">
        <v>741</v>
      </c>
      <c r="H1073">
        <v>12</v>
      </c>
      <c r="I1073">
        <v>2</v>
      </c>
      <c r="J1073" t="s">
        <v>0</v>
      </c>
    </row>
    <row r="1074" spans="3:10" x14ac:dyDescent="0.25">
      <c r="C1074">
        <v>1071</v>
      </c>
      <c r="D1074">
        <v>208860962</v>
      </c>
      <c r="E1074" t="s">
        <v>2041</v>
      </c>
      <c r="F1074" t="s">
        <v>3507</v>
      </c>
      <c r="G1074" t="s">
        <v>741</v>
      </c>
      <c r="H1074">
        <v>12</v>
      </c>
      <c r="I1074">
        <v>2</v>
      </c>
      <c r="J1074" t="s">
        <v>0</v>
      </c>
    </row>
    <row r="1075" spans="3:10" x14ac:dyDescent="0.25">
      <c r="C1075">
        <v>1072</v>
      </c>
      <c r="D1075">
        <v>208920817</v>
      </c>
      <c r="E1075" t="s">
        <v>2042</v>
      </c>
      <c r="F1075" t="s">
        <v>3508</v>
      </c>
      <c r="G1075" t="s">
        <v>741</v>
      </c>
      <c r="H1075">
        <v>12</v>
      </c>
      <c r="I1075">
        <v>2</v>
      </c>
      <c r="J1075" t="s">
        <v>0</v>
      </c>
    </row>
    <row r="1076" spans="3:10" x14ac:dyDescent="0.25">
      <c r="C1076">
        <v>1073</v>
      </c>
      <c r="D1076">
        <v>208890013</v>
      </c>
      <c r="E1076" t="s">
        <v>2043</v>
      </c>
      <c r="F1076" t="s">
        <v>3509</v>
      </c>
      <c r="G1076" t="s">
        <v>741</v>
      </c>
      <c r="H1076">
        <v>12</v>
      </c>
      <c r="I1076">
        <v>2</v>
      </c>
      <c r="J1076" t="s">
        <v>0</v>
      </c>
    </row>
    <row r="1077" spans="3:10" x14ac:dyDescent="0.25">
      <c r="C1077">
        <v>1074</v>
      </c>
      <c r="D1077">
        <v>208900352</v>
      </c>
      <c r="E1077" t="s">
        <v>2044</v>
      </c>
      <c r="F1077" t="s">
        <v>3510</v>
      </c>
      <c r="G1077" t="s">
        <v>656</v>
      </c>
      <c r="H1077">
        <v>12</v>
      </c>
      <c r="I1077">
        <v>3</v>
      </c>
      <c r="J1077" t="s">
        <v>1</v>
      </c>
    </row>
    <row r="1078" spans="3:10" x14ac:dyDescent="0.25">
      <c r="C1078">
        <v>1075</v>
      </c>
      <c r="D1078">
        <v>208850410</v>
      </c>
      <c r="E1078" t="s">
        <v>2045</v>
      </c>
      <c r="F1078" t="s">
        <v>3511</v>
      </c>
      <c r="G1078" t="s">
        <v>656</v>
      </c>
      <c r="H1078">
        <v>12</v>
      </c>
      <c r="I1078">
        <v>3</v>
      </c>
      <c r="J1078" t="s">
        <v>1</v>
      </c>
    </row>
    <row r="1079" spans="3:10" x14ac:dyDescent="0.25">
      <c r="C1079">
        <v>1076</v>
      </c>
      <c r="D1079">
        <v>402750704</v>
      </c>
      <c r="E1079" t="s">
        <v>2046</v>
      </c>
      <c r="F1079" t="s">
        <v>3512</v>
      </c>
      <c r="G1079" t="s">
        <v>656</v>
      </c>
      <c r="H1079">
        <v>12</v>
      </c>
      <c r="I1079">
        <v>3</v>
      </c>
      <c r="J1079" t="s">
        <v>1</v>
      </c>
    </row>
    <row r="1080" spans="3:10" x14ac:dyDescent="0.25">
      <c r="C1080">
        <v>1077</v>
      </c>
      <c r="D1080" t="s">
        <v>939</v>
      </c>
      <c r="E1080" t="s">
        <v>3513</v>
      </c>
      <c r="F1080" t="s">
        <v>3514</v>
      </c>
      <c r="G1080" t="s">
        <v>656</v>
      </c>
      <c r="H1080">
        <v>12</v>
      </c>
      <c r="I1080">
        <v>3</v>
      </c>
      <c r="J1080" t="s">
        <v>1</v>
      </c>
    </row>
    <row r="1081" spans="3:10" x14ac:dyDescent="0.25">
      <c r="C1081">
        <v>1078</v>
      </c>
      <c r="D1081">
        <v>901320388</v>
      </c>
      <c r="E1081" t="s">
        <v>2047</v>
      </c>
      <c r="F1081" t="s">
        <v>3515</v>
      </c>
      <c r="G1081" t="s">
        <v>656</v>
      </c>
      <c r="H1081">
        <v>12</v>
      </c>
      <c r="I1081">
        <v>3</v>
      </c>
      <c r="J1081" t="s">
        <v>1</v>
      </c>
    </row>
    <row r="1082" spans="3:10" x14ac:dyDescent="0.25">
      <c r="C1082">
        <v>1079</v>
      </c>
      <c r="D1082">
        <v>402750710</v>
      </c>
      <c r="E1082" t="s">
        <v>2048</v>
      </c>
      <c r="F1082" t="s">
        <v>3516</v>
      </c>
      <c r="G1082" t="s">
        <v>656</v>
      </c>
      <c r="H1082">
        <v>12</v>
      </c>
      <c r="I1082">
        <v>3</v>
      </c>
      <c r="J1082" t="s">
        <v>1</v>
      </c>
    </row>
    <row r="1083" spans="3:10" x14ac:dyDescent="0.25">
      <c r="C1083">
        <v>1080</v>
      </c>
      <c r="D1083">
        <v>208850014</v>
      </c>
      <c r="E1083" t="s">
        <v>2049</v>
      </c>
      <c r="F1083" t="s">
        <v>3517</v>
      </c>
      <c r="G1083" t="s">
        <v>656</v>
      </c>
      <c r="H1083">
        <v>12</v>
      </c>
      <c r="I1083">
        <v>3</v>
      </c>
      <c r="J1083" t="s">
        <v>1</v>
      </c>
    </row>
    <row r="1084" spans="3:10" x14ac:dyDescent="0.25">
      <c r="C1084">
        <v>1081</v>
      </c>
      <c r="D1084">
        <v>402770427</v>
      </c>
      <c r="E1084" t="s">
        <v>2050</v>
      </c>
      <c r="F1084" t="s">
        <v>3518</v>
      </c>
      <c r="G1084" t="s">
        <v>656</v>
      </c>
      <c r="H1084">
        <v>12</v>
      </c>
      <c r="I1084">
        <v>3</v>
      </c>
      <c r="J1084" t="s">
        <v>1</v>
      </c>
    </row>
    <row r="1085" spans="3:10" x14ac:dyDescent="0.25">
      <c r="C1085">
        <v>1082</v>
      </c>
      <c r="D1085">
        <v>119890868</v>
      </c>
      <c r="E1085" t="s">
        <v>2051</v>
      </c>
      <c r="F1085" t="s">
        <v>3519</v>
      </c>
      <c r="G1085" t="s">
        <v>656</v>
      </c>
      <c r="H1085">
        <v>12</v>
      </c>
      <c r="I1085">
        <v>3</v>
      </c>
      <c r="J1085" t="s">
        <v>1</v>
      </c>
    </row>
    <row r="1086" spans="3:10" x14ac:dyDescent="0.25">
      <c r="C1086">
        <v>1083</v>
      </c>
      <c r="D1086">
        <v>208810385</v>
      </c>
      <c r="E1086" t="s">
        <v>2052</v>
      </c>
      <c r="F1086" t="s">
        <v>3520</v>
      </c>
      <c r="G1086" t="s">
        <v>656</v>
      </c>
      <c r="H1086">
        <v>12</v>
      </c>
      <c r="I1086">
        <v>3</v>
      </c>
      <c r="J1086" t="s">
        <v>1</v>
      </c>
    </row>
    <row r="1087" spans="3:10" x14ac:dyDescent="0.25">
      <c r="C1087">
        <v>1084</v>
      </c>
      <c r="D1087">
        <v>119670097</v>
      </c>
      <c r="E1087" t="s">
        <v>2053</v>
      </c>
      <c r="F1087" t="s">
        <v>3521</v>
      </c>
      <c r="G1087" t="s">
        <v>656</v>
      </c>
      <c r="H1087">
        <v>12</v>
      </c>
      <c r="I1087">
        <v>3</v>
      </c>
      <c r="J1087" t="s">
        <v>1</v>
      </c>
    </row>
    <row r="1088" spans="3:10" x14ac:dyDescent="0.25">
      <c r="C1088">
        <v>1085</v>
      </c>
      <c r="D1088">
        <v>402770524</v>
      </c>
      <c r="E1088" t="s">
        <v>2054</v>
      </c>
      <c r="F1088" t="s">
        <v>3522</v>
      </c>
      <c r="G1088" t="s">
        <v>656</v>
      </c>
      <c r="H1088">
        <v>12</v>
      </c>
      <c r="I1088">
        <v>3</v>
      </c>
      <c r="J1088" t="s">
        <v>1</v>
      </c>
    </row>
    <row r="1089" spans="3:10" x14ac:dyDescent="0.25">
      <c r="C1089">
        <v>1086</v>
      </c>
      <c r="D1089" t="s">
        <v>948</v>
      </c>
      <c r="E1089" t="s">
        <v>3523</v>
      </c>
      <c r="F1089" t="s">
        <v>3524</v>
      </c>
      <c r="G1089" t="s">
        <v>656</v>
      </c>
      <c r="H1089">
        <v>12</v>
      </c>
      <c r="I1089">
        <v>3</v>
      </c>
      <c r="J1089" t="s">
        <v>1</v>
      </c>
    </row>
    <row r="1090" spans="3:10" x14ac:dyDescent="0.25">
      <c r="C1090">
        <v>1087</v>
      </c>
      <c r="D1090">
        <v>208880041</v>
      </c>
      <c r="E1090" t="s">
        <v>2055</v>
      </c>
      <c r="F1090" t="s">
        <v>3525</v>
      </c>
      <c r="G1090" t="s">
        <v>656</v>
      </c>
      <c r="H1090">
        <v>12</v>
      </c>
      <c r="I1090">
        <v>3</v>
      </c>
      <c r="J1090" t="s">
        <v>1</v>
      </c>
    </row>
    <row r="1091" spans="3:10" x14ac:dyDescent="0.25">
      <c r="C1091">
        <v>1088</v>
      </c>
      <c r="D1091">
        <v>119650413</v>
      </c>
      <c r="E1091" t="s">
        <v>2056</v>
      </c>
      <c r="F1091" t="s">
        <v>3526</v>
      </c>
      <c r="G1091" t="s">
        <v>656</v>
      </c>
      <c r="H1091">
        <v>12</v>
      </c>
      <c r="I1091">
        <v>3</v>
      </c>
      <c r="J1091" t="s">
        <v>1</v>
      </c>
    </row>
    <row r="1092" spans="3:10" x14ac:dyDescent="0.25">
      <c r="C1092">
        <v>1089</v>
      </c>
      <c r="D1092">
        <v>119990259</v>
      </c>
      <c r="E1092" t="s">
        <v>2057</v>
      </c>
      <c r="F1092" t="s">
        <v>3527</v>
      </c>
      <c r="G1092" t="s">
        <v>629</v>
      </c>
      <c r="H1092">
        <v>12</v>
      </c>
      <c r="I1092">
        <v>3</v>
      </c>
      <c r="J1092" t="s">
        <v>1</v>
      </c>
    </row>
    <row r="1093" spans="3:10" x14ac:dyDescent="0.25">
      <c r="C1093">
        <v>1090</v>
      </c>
      <c r="D1093">
        <v>208790354</v>
      </c>
      <c r="E1093" t="s">
        <v>2058</v>
      </c>
      <c r="F1093" t="s">
        <v>3528</v>
      </c>
      <c r="G1093" t="s">
        <v>629</v>
      </c>
      <c r="H1093">
        <v>12</v>
      </c>
      <c r="I1093">
        <v>3</v>
      </c>
      <c r="J1093" t="s">
        <v>1</v>
      </c>
    </row>
    <row r="1094" spans="3:10" x14ac:dyDescent="0.25">
      <c r="C1094">
        <v>1091</v>
      </c>
      <c r="D1094">
        <v>120020033</v>
      </c>
      <c r="E1094" t="s">
        <v>2059</v>
      </c>
      <c r="F1094" t="s">
        <v>3529</v>
      </c>
      <c r="G1094" t="s">
        <v>629</v>
      </c>
      <c r="H1094">
        <v>12</v>
      </c>
      <c r="I1094">
        <v>3</v>
      </c>
      <c r="J1094" t="s">
        <v>1</v>
      </c>
    </row>
    <row r="1095" spans="3:10" x14ac:dyDescent="0.25">
      <c r="C1095">
        <v>1092</v>
      </c>
      <c r="D1095">
        <v>208860257</v>
      </c>
      <c r="E1095" t="s">
        <v>2060</v>
      </c>
      <c r="F1095" t="s">
        <v>3530</v>
      </c>
      <c r="G1095" t="s">
        <v>629</v>
      </c>
      <c r="H1095">
        <v>12</v>
      </c>
      <c r="I1095">
        <v>3</v>
      </c>
      <c r="J1095" t="s">
        <v>1</v>
      </c>
    </row>
    <row r="1096" spans="3:10" x14ac:dyDescent="0.25">
      <c r="C1096">
        <v>1093</v>
      </c>
      <c r="D1096">
        <v>305660322</v>
      </c>
      <c r="E1096" t="s">
        <v>2061</v>
      </c>
      <c r="F1096" t="s">
        <v>3531</v>
      </c>
      <c r="G1096" t="s">
        <v>629</v>
      </c>
      <c r="H1096">
        <v>12</v>
      </c>
      <c r="I1096">
        <v>3</v>
      </c>
      <c r="J1096" t="s">
        <v>1</v>
      </c>
    </row>
    <row r="1097" spans="3:10" x14ac:dyDescent="0.25">
      <c r="C1097">
        <v>1094</v>
      </c>
      <c r="D1097">
        <v>208950408</v>
      </c>
      <c r="E1097" t="s">
        <v>2062</v>
      </c>
      <c r="F1097" t="s">
        <v>3532</v>
      </c>
      <c r="G1097" t="s">
        <v>629</v>
      </c>
      <c r="H1097">
        <v>12</v>
      </c>
      <c r="I1097">
        <v>3</v>
      </c>
      <c r="J1097" t="s">
        <v>1</v>
      </c>
    </row>
    <row r="1098" spans="3:10" x14ac:dyDescent="0.25">
      <c r="C1098">
        <v>1095</v>
      </c>
      <c r="D1098">
        <v>208860822</v>
      </c>
      <c r="E1098" t="s">
        <v>2063</v>
      </c>
      <c r="F1098" t="s">
        <v>3533</v>
      </c>
      <c r="G1098" t="s">
        <v>629</v>
      </c>
      <c r="H1098">
        <v>12</v>
      </c>
      <c r="I1098">
        <v>3</v>
      </c>
      <c r="J1098" t="s">
        <v>1</v>
      </c>
    </row>
    <row r="1099" spans="3:10" x14ac:dyDescent="0.25">
      <c r="C1099">
        <v>1096</v>
      </c>
      <c r="D1099">
        <v>208960466</v>
      </c>
      <c r="E1099" t="s">
        <v>2064</v>
      </c>
      <c r="F1099" t="s">
        <v>3534</v>
      </c>
      <c r="G1099" t="s">
        <v>629</v>
      </c>
      <c r="H1099">
        <v>12</v>
      </c>
      <c r="I1099">
        <v>3</v>
      </c>
      <c r="J1099" t="s">
        <v>1</v>
      </c>
    </row>
    <row r="1100" spans="3:10" x14ac:dyDescent="0.25">
      <c r="C1100">
        <v>1097</v>
      </c>
      <c r="D1100">
        <v>208880462</v>
      </c>
      <c r="E1100" t="s">
        <v>2065</v>
      </c>
      <c r="F1100" t="s">
        <v>3535</v>
      </c>
      <c r="G1100" t="s">
        <v>629</v>
      </c>
      <c r="H1100">
        <v>12</v>
      </c>
      <c r="I1100">
        <v>3</v>
      </c>
      <c r="J1100" t="s">
        <v>1</v>
      </c>
    </row>
    <row r="1101" spans="3:10" x14ac:dyDescent="0.25">
      <c r="C1101">
        <v>1098</v>
      </c>
      <c r="D1101">
        <v>208850726</v>
      </c>
      <c r="E1101" t="s">
        <v>2066</v>
      </c>
      <c r="F1101" t="s">
        <v>3536</v>
      </c>
      <c r="G1101" t="s">
        <v>629</v>
      </c>
      <c r="H1101">
        <v>12</v>
      </c>
      <c r="I1101">
        <v>3</v>
      </c>
      <c r="J1101" t="s">
        <v>1</v>
      </c>
    </row>
    <row r="1102" spans="3:10" x14ac:dyDescent="0.25">
      <c r="C1102">
        <v>1099</v>
      </c>
      <c r="D1102">
        <v>119910491</v>
      </c>
      <c r="E1102" t="s">
        <v>2067</v>
      </c>
      <c r="F1102" t="s">
        <v>3537</v>
      </c>
      <c r="G1102" t="s">
        <v>629</v>
      </c>
      <c r="H1102">
        <v>12</v>
      </c>
      <c r="I1102">
        <v>3</v>
      </c>
      <c r="J1102" t="s">
        <v>1</v>
      </c>
    </row>
    <row r="1103" spans="3:10" x14ac:dyDescent="0.25">
      <c r="C1103">
        <v>1100</v>
      </c>
      <c r="D1103">
        <v>208890048</v>
      </c>
      <c r="E1103" t="s">
        <v>2068</v>
      </c>
      <c r="F1103" t="s">
        <v>3538</v>
      </c>
      <c r="G1103" t="s">
        <v>629</v>
      </c>
      <c r="H1103">
        <v>12</v>
      </c>
      <c r="I1103">
        <v>3</v>
      </c>
      <c r="J1103" t="s">
        <v>1</v>
      </c>
    </row>
    <row r="1104" spans="3:10" x14ac:dyDescent="0.25">
      <c r="C1104">
        <v>1101</v>
      </c>
      <c r="D1104">
        <v>402740162</v>
      </c>
      <c r="E1104" t="s">
        <v>2069</v>
      </c>
      <c r="F1104" t="s">
        <v>3539</v>
      </c>
      <c r="G1104" t="s">
        <v>629</v>
      </c>
      <c r="H1104">
        <v>12</v>
      </c>
      <c r="I1104">
        <v>3</v>
      </c>
      <c r="J1104" t="s">
        <v>1</v>
      </c>
    </row>
    <row r="1105" spans="3:10" x14ac:dyDescent="0.25">
      <c r="C1105">
        <v>1102</v>
      </c>
      <c r="D1105">
        <v>208880959</v>
      </c>
      <c r="E1105" t="s">
        <v>2070</v>
      </c>
      <c r="F1105" t="s">
        <v>3540</v>
      </c>
      <c r="G1105" t="s">
        <v>629</v>
      </c>
      <c r="H1105">
        <v>12</v>
      </c>
      <c r="I1105">
        <v>3</v>
      </c>
      <c r="J1105" t="s">
        <v>1</v>
      </c>
    </row>
    <row r="1106" spans="3:10" x14ac:dyDescent="0.25">
      <c r="C1106">
        <v>1103</v>
      </c>
      <c r="D1106">
        <v>402730279</v>
      </c>
      <c r="E1106" t="s">
        <v>2071</v>
      </c>
      <c r="F1106" t="s">
        <v>3541</v>
      </c>
      <c r="G1106" t="s">
        <v>629</v>
      </c>
      <c r="H1106">
        <v>12</v>
      </c>
      <c r="I1106">
        <v>3</v>
      </c>
      <c r="J1106" t="s">
        <v>1</v>
      </c>
    </row>
    <row r="1107" spans="3:10" x14ac:dyDescent="0.25">
      <c r="C1107">
        <v>1104</v>
      </c>
      <c r="D1107">
        <v>120040870</v>
      </c>
      <c r="E1107" t="s">
        <v>2072</v>
      </c>
      <c r="F1107" t="s">
        <v>3542</v>
      </c>
      <c r="G1107" t="s">
        <v>629</v>
      </c>
      <c r="H1107">
        <v>12</v>
      </c>
      <c r="I1107">
        <v>3</v>
      </c>
      <c r="J1107" t="s">
        <v>1</v>
      </c>
    </row>
    <row r="1108" spans="3:10" x14ac:dyDescent="0.25">
      <c r="C1108">
        <v>1105</v>
      </c>
      <c r="D1108">
        <v>208870383</v>
      </c>
      <c r="E1108" t="s">
        <v>2073</v>
      </c>
      <c r="F1108" t="s">
        <v>3543</v>
      </c>
      <c r="G1108" t="s">
        <v>550</v>
      </c>
      <c r="H1108">
        <v>12</v>
      </c>
      <c r="I1108">
        <v>4</v>
      </c>
      <c r="J1108" t="s">
        <v>1</v>
      </c>
    </row>
    <row r="1109" spans="3:10" x14ac:dyDescent="0.25">
      <c r="C1109">
        <v>1106</v>
      </c>
      <c r="D1109">
        <v>402750071</v>
      </c>
      <c r="E1109" t="s">
        <v>2074</v>
      </c>
      <c r="F1109" t="s">
        <v>3544</v>
      </c>
      <c r="G1109" t="s">
        <v>550</v>
      </c>
      <c r="H1109">
        <v>12</v>
      </c>
      <c r="I1109">
        <v>4</v>
      </c>
      <c r="J1109" t="s">
        <v>1</v>
      </c>
    </row>
    <row r="1110" spans="3:10" x14ac:dyDescent="0.25">
      <c r="C1110">
        <v>1107</v>
      </c>
      <c r="D1110">
        <v>208860900</v>
      </c>
      <c r="E1110" t="s">
        <v>2075</v>
      </c>
      <c r="F1110" t="s">
        <v>3545</v>
      </c>
      <c r="G1110" t="s">
        <v>550</v>
      </c>
      <c r="H1110">
        <v>12</v>
      </c>
      <c r="I1110">
        <v>4</v>
      </c>
      <c r="J1110" t="s">
        <v>1</v>
      </c>
    </row>
    <row r="1111" spans="3:10" x14ac:dyDescent="0.25">
      <c r="C1111">
        <v>1108</v>
      </c>
      <c r="D1111">
        <v>402760796</v>
      </c>
      <c r="E1111" t="s">
        <v>2076</v>
      </c>
      <c r="F1111" t="s">
        <v>3546</v>
      </c>
      <c r="G1111" t="s">
        <v>550</v>
      </c>
      <c r="H1111">
        <v>12</v>
      </c>
      <c r="I1111">
        <v>4</v>
      </c>
      <c r="J1111" t="s">
        <v>1</v>
      </c>
    </row>
    <row r="1112" spans="3:10" x14ac:dyDescent="0.25">
      <c r="C1112">
        <v>1109</v>
      </c>
      <c r="D1112">
        <v>402760803</v>
      </c>
      <c r="E1112" t="s">
        <v>2077</v>
      </c>
      <c r="F1112" t="s">
        <v>3547</v>
      </c>
      <c r="G1112" t="s">
        <v>550</v>
      </c>
      <c r="H1112">
        <v>12</v>
      </c>
      <c r="I1112">
        <v>4</v>
      </c>
      <c r="J1112" t="s">
        <v>1</v>
      </c>
    </row>
    <row r="1113" spans="3:10" x14ac:dyDescent="0.25">
      <c r="C1113">
        <v>1110</v>
      </c>
      <c r="D1113">
        <v>208940788</v>
      </c>
      <c r="E1113" t="s">
        <v>2078</v>
      </c>
      <c r="F1113" t="s">
        <v>3548</v>
      </c>
      <c r="G1113" t="s">
        <v>550</v>
      </c>
      <c r="H1113">
        <v>12</v>
      </c>
      <c r="I1113">
        <v>4</v>
      </c>
      <c r="J1113" t="s">
        <v>1</v>
      </c>
    </row>
    <row r="1114" spans="3:10" x14ac:dyDescent="0.25">
      <c r="C1114">
        <v>1111</v>
      </c>
      <c r="D1114">
        <v>605070456</v>
      </c>
      <c r="E1114" t="s">
        <v>2079</v>
      </c>
      <c r="F1114" t="s">
        <v>3549</v>
      </c>
      <c r="G1114" t="s">
        <v>550</v>
      </c>
      <c r="H1114">
        <v>12</v>
      </c>
      <c r="I1114">
        <v>4</v>
      </c>
      <c r="J1114" t="s">
        <v>1</v>
      </c>
    </row>
    <row r="1115" spans="3:10" x14ac:dyDescent="0.25">
      <c r="C1115">
        <v>1112</v>
      </c>
      <c r="D1115">
        <v>208950480</v>
      </c>
      <c r="E1115" t="s">
        <v>2080</v>
      </c>
      <c r="F1115" t="s">
        <v>3550</v>
      </c>
      <c r="G1115" t="s">
        <v>550</v>
      </c>
      <c r="H1115">
        <v>12</v>
      </c>
      <c r="I1115">
        <v>4</v>
      </c>
      <c r="J1115" t="s">
        <v>1</v>
      </c>
    </row>
    <row r="1116" spans="3:10" x14ac:dyDescent="0.25">
      <c r="C1116">
        <v>1113</v>
      </c>
      <c r="D1116">
        <v>208920118</v>
      </c>
      <c r="E1116" t="s">
        <v>2081</v>
      </c>
      <c r="F1116" t="s">
        <v>3551</v>
      </c>
      <c r="G1116" t="s">
        <v>550</v>
      </c>
      <c r="H1116">
        <v>12</v>
      </c>
      <c r="I1116">
        <v>4</v>
      </c>
      <c r="J1116" t="s">
        <v>1</v>
      </c>
    </row>
    <row r="1117" spans="3:10" x14ac:dyDescent="0.25">
      <c r="C1117">
        <v>1114</v>
      </c>
      <c r="D1117">
        <v>402750585</v>
      </c>
      <c r="E1117" t="s">
        <v>2082</v>
      </c>
      <c r="F1117" t="s">
        <v>3552</v>
      </c>
      <c r="G1117" t="s">
        <v>550</v>
      </c>
      <c r="H1117">
        <v>12</v>
      </c>
      <c r="I1117">
        <v>4</v>
      </c>
      <c r="J1117" t="s">
        <v>1</v>
      </c>
    </row>
    <row r="1118" spans="3:10" x14ac:dyDescent="0.25">
      <c r="C1118">
        <v>1115</v>
      </c>
      <c r="D1118">
        <v>119900070</v>
      </c>
      <c r="E1118" t="s">
        <v>2083</v>
      </c>
      <c r="F1118" t="s">
        <v>3553</v>
      </c>
      <c r="G1118" t="s">
        <v>550</v>
      </c>
      <c r="H1118">
        <v>12</v>
      </c>
      <c r="I1118">
        <v>4</v>
      </c>
      <c r="J1118" t="s">
        <v>1</v>
      </c>
    </row>
    <row r="1119" spans="3:10" x14ac:dyDescent="0.25">
      <c r="C1119">
        <v>1116</v>
      </c>
      <c r="D1119">
        <v>208840268</v>
      </c>
      <c r="E1119" t="s">
        <v>2084</v>
      </c>
      <c r="F1119" t="s">
        <v>3554</v>
      </c>
      <c r="G1119" t="s">
        <v>550</v>
      </c>
      <c r="H1119">
        <v>12</v>
      </c>
      <c r="I1119">
        <v>4</v>
      </c>
      <c r="J1119" t="s">
        <v>1</v>
      </c>
    </row>
    <row r="1120" spans="3:10" x14ac:dyDescent="0.25">
      <c r="C1120">
        <v>1117</v>
      </c>
      <c r="D1120">
        <v>402750899</v>
      </c>
      <c r="E1120" t="s">
        <v>2085</v>
      </c>
      <c r="F1120" t="s">
        <v>3555</v>
      </c>
      <c r="G1120" t="s">
        <v>550</v>
      </c>
      <c r="H1120">
        <v>12</v>
      </c>
      <c r="I1120">
        <v>4</v>
      </c>
      <c r="J1120" t="s">
        <v>1</v>
      </c>
    </row>
    <row r="1121" spans="3:10" x14ac:dyDescent="0.25">
      <c r="C1121">
        <v>1118</v>
      </c>
      <c r="D1121">
        <v>208910222</v>
      </c>
      <c r="E1121" t="s">
        <v>2086</v>
      </c>
      <c r="F1121" t="s">
        <v>3556</v>
      </c>
      <c r="G1121" t="s">
        <v>550</v>
      </c>
      <c r="H1121">
        <v>12</v>
      </c>
      <c r="I1121">
        <v>4</v>
      </c>
      <c r="J1121" t="s">
        <v>1</v>
      </c>
    </row>
    <row r="1122" spans="3:10" x14ac:dyDescent="0.25">
      <c r="C1122">
        <v>1119</v>
      </c>
      <c r="D1122">
        <v>208940807</v>
      </c>
      <c r="E1122" t="s">
        <v>2087</v>
      </c>
      <c r="F1122" t="s">
        <v>3557</v>
      </c>
      <c r="G1122" t="s">
        <v>550</v>
      </c>
      <c r="H1122">
        <v>12</v>
      </c>
      <c r="I1122">
        <v>4</v>
      </c>
      <c r="J1122" t="s">
        <v>1</v>
      </c>
    </row>
    <row r="1123" spans="3:10" x14ac:dyDescent="0.25">
      <c r="C1123">
        <v>1120</v>
      </c>
      <c r="D1123">
        <v>208940846</v>
      </c>
      <c r="E1123" t="s">
        <v>2088</v>
      </c>
      <c r="F1123" t="s">
        <v>3558</v>
      </c>
      <c r="G1123" t="s">
        <v>550</v>
      </c>
      <c r="H1123">
        <v>12</v>
      </c>
      <c r="I1123">
        <v>4</v>
      </c>
      <c r="J1123" t="s">
        <v>1</v>
      </c>
    </row>
    <row r="1124" spans="3:10" x14ac:dyDescent="0.25">
      <c r="C1124">
        <v>1121</v>
      </c>
      <c r="D1124">
        <v>402750646</v>
      </c>
      <c r="E1124" t="s">
        <v>2089</v>
      </c>
      <c r="F1124" t="s">
        <v>3559</v>
      </c>
      <c r="G1124" t="s">
        <v>582</v>
      </c>
      <c r="H1124">
        <v>12</v>
      </c>
      <c r="I1124">
        <v>4</v>
      </c>
      <c r="J1124" t="s">
        <v>0</v>
      </c>
    </row>
    <row r="1125" spans="3:10" x14ac:dyDescent="0.25">
      <c r="C1125">
        <v>1122</v>
      </c>
      <c r="D1125">
        <v>208900580</v>
      </c>
      <c r="E1125" t="s">
        <v>2090</v>
      </c>
      <c r="F1125" t="s">
        <v>3560</v>
      </c>
      <c r="G1125" t="s">
        <v>582</v>
      </c>
      <c r="H1125">
        <v>12</v>
      </c>
      <c r="I1125">
        <v>4</v>
      </c>
      <c r="J1125" t="s">
        <v>0</v>
      </c>
    </row>
    <row r="1126" spans="3:10" x14ac:dyDescent="0.25">
      <c r="C1126">
        <v>1123</v>
      </c>
      <c r="D1126">
        <v>208940718</v>
      </c>
      <c r="E1126" t="s">
        <v>2091</v>
      </c>
      <c r="F1126" t="s">
        <v>3561</v>
      </c>
      <c r="G1126" t="s">
        <v>582</v>
      </c>
      <c r="H1126">
        <v>12</v>
      </c>
      <c r="I1126">
        <v>4</v>
      </c>
      <c r="J1126" t="s">
        <v>0</v>
      </c>
    </row>
    <row r="1127" spans="3:10" x14ac:dyDescent="0.25">
      <c r="C1127">
        <v>1124</v>
      </c>
      <c r="D1127">
        <v>208900674</v>
      </c>
      <c r="E1127" t="s">
        <v>2092</v>
      </c>
      <c r="F1127" t="s">
        <v>3562</v>
      </c>
      <c r="G1127" t="s">
        <v>582</v>
      </c>
      <c r="H1127">
        <v>12</v>
      </c>
      <c r="I1127">
        <v>4</v>
      </c>
      <c r="J1127" t="s">
        <v>0</v>
      </c>
    </row>
    <row r="1128" spans="3:10" x14ac:dyDescent="0.25">
      <c r="C1128">
        <v>1125</v>
      </c>
      <c r="D1128">
        <v>402750373</v>
      </c>
      <c r="E1128" t="s">
        <v>2093</v>
      </c>
      <c r="F1128" t="s">
        <v>3563</v>
      </c>
      <c r="G1128" t="s">
        <v>582</v>
      </c>
      <c r="H1128">
        <v>12</v>
      </c>
      <c r="I1128">
        <v>4</v>
      </c>
      <c r="J1128" t="s">
        <v>0</v>
      </c>
    </row>
    <row r="1129" spans="3:10" x14ac:dyDescent="0.25">
      <c r="C1129">
        <v>1126</v>
      </c>
      <c r="D1129">
        <v>119840186</v>
      </c>
      <c r="E1129" t="s">
        <v>2094</v>
      </c>
      <c r="F1129" t="s">
        <v>3564</v>
      </c>
      <c r="G1129" t="s">
        <v>582</v>
      </c>
      <c r="H1129">
        <v>12</v>
      </c>
      <c r="I1129">
        <v>4</v>
      </c>
      <c r="J1129" t="s">
        <v>0</v>
      </c>
    </row>
    <row r="1130" spans="3:10" x14ac:dyDescent="0.25">
      <c r="C1130">
        <v>1127</v>
      </c>
      <c r="D1130">
        <v>402750984</v>
      </c>
      <c r="E1130" t="s">
        <v>2095</v>
      </c>
      <c r="F1130" t="s">
        <v>3565</v>
      </c>
      <c r="G1130" t="s">
        <v>582</v>
      </c>
      <c r="H1130">
        <v>12</v>
      </c>
      <c r="I1130">
        <v>4</v>
      </c>
      <c r="J1130" t="s">
        <v>0</v>
      </c>
    </row>
    <row r="1131" spans="3:10" x14ac:dyDescent="0.25">
      <c r="C1131">
        <v>1128</v>
      </c>
      <c r="D1131">
        <v>208940312</v>
      </c>
      <c r="E1131" t="s">
        <v>2096</v>
      </c>
      <c r="F1131" t="s">
        <v>3566</v>
      </c>
      <c r="G1131" t="s">
        <v>582</v>
      </c>
      <c r="H1131">
        <v>12</v>
      </c>
      <c r="I1131">
        <v>4</v>
      </c>
      <c r="J1131" t="s">
        <v>0</v>
      </c>
    </row>
    <row r="1132" spans="3:10" x14ac:dyDescent="0.25">
      <c r="C1132">
        <v>1129</v>
      </c>
      <c r="D1132">
        <v>208750806</v>
      </c>
      <c r="E1132" t="s">
        <v>2097</v>
      </c>
      <c r="F1132" t="s">
        <v>3567</v>
      </c>
      <c r="G1132" t="s">
        <v>582</v>
      </c>
      <c r="H1132">
        <v>12</v>
      </c>
      <c r="I1132">
        <v>4</v>
      </c>
      <c r="J1132" t="s">
        <v>0</v>
      </c>
    </row>
    <row r="1133" spans="3:10" x14ac:dyDescent="0.25">
      <c r="C1133">
        <v>1130</v>
      </c>
      <c r="D1133">
        <v>208900259</v>
      </c>
      <c r="E1133" t="s">
        <v>2098</v>
      </c>
      <c r="F1133" t="s">
        <v>3568</v>
      </c>
      <c r="G1133" t="s">
        <v>582</v>
      </c>
      <c r="H1133">
        <v>12</v>
      </c>
      <c r="I1133">
        <v>4</v>
      </c>
      <c r="J1133" t="s">
        <v>0</v>
      </c>
    </row>
    <row r="1134" spans="3:10" x14ac:dyDescent="0.25">
      <c r="C1134">
        <v>1131</v>
      </c>
      <c r="D1134">
        <v>208860721</v>
      </c>
      <c r="E1134" t="s">
        <v>2099</v>
      </c>
      <c r="F1134" t="s">
        <v>3569</v>
      </c>
      <c r="G1134" t="s">
        <v>582</v>
      </c>
      <c r="H1134">
        <v>12</v>
      </c>
      <c r="I1134">
        <v>4</v>
      </c>
      <c r="J1134" t="s">
        <v>0</v>
      </c>
    </row>
    <row r="1135" spans="3:10" x14ac:dyDescent="0.25">
      <c r="C1135">
        <v>1132</v>
      </c>
      <c r="D1135">
        <v>208940626</v>
      </c>
      <c r="E1135" t="s">
        <v>2100</v>
      </c>
      <c r="F1135" t="s">
        <v>3570</v>
      </c>
      <c r="G1135" t="s">
        <v>582</v>
      </c>
      <c r="H1135">
        <v>12</v>
      </c>
      <c r="I1135">
        <v>4</v>
      </c>
      <c r="J1135" t="s">
        <v>0</v>
      </c>
    </row>
    <row r="1136" spans="3:10" x14ac:dyDescent="0.25">
      <c r="C1136">
        <v>1133</v>
      </c>
      <c r="D1136">
        <v>208880901</v>
      </c>
      <c r="E1136" t="s">
        <v>2101</v>
      </c>
      <c r="F1136" t="s">
        <v>3571</v>
      </c>
      <c r="G1136" t="s">
        <v>582</v>
      </c>
      <c r="H1136">
        <v>12</v>
      </c>
      <c r="I1136">
        <v>4</v>
      </c>
      <c r="J1136" t="s">
        <v>0</v>
      </c>
    </row>
    <row r="1137" spans="3:10" x14ac:dyDescent="0.25">
      <c r="C1137">
        <v>1134</v>
      </c>
      <c r="D1137">
        <v>208900827</v>
      </c>
      <c r="E1137" t="s">
        <v>2102</v>
      </c>
      <c r="F1137" t="s">
        <v>3572</v>
      </c>
      <c r="G1137" t="s">
        <v>550</v>
      </c>
      <c r="H1137">
        <v>12</v>
      </c>
      <c r="I1137">
        <v>5</v>
      </c>
      <c r="J1137" t="s">
        <v>1</v>
      </c>
    </row>
    <row r="1138" spans="3:10" x14ac:dyDescent="0.25">
      <c r="C1138">
        <v>1135</v>
      </c>
      <c r="D1138">
        <v>208960659</v>
      </c>
      <c r="E1138" t="s">
        <v>2103</v>
      </c>
      <c r="F1138" t="s">
        <v>3573</v>
      </c>
      <c r="G1138" t="s">
        <v>550</v>
      </c>
      <c r="H1138">
        <v>12</v>
      </c>
      <c r="I1138">
        <v>5</v>
      </c>
      <c r="J1138" t="s">
        <v>1</v>
      </c>
    </row>
    <row r="1139" spans="3:10" x14ac:dyDescent="0.25">
      <c r="C1139">
        <v>1136</v>
      </c>
      <c r="D1139">
        <v>208900819</v>
      </c>
      <c r="E1139" t="s">
        <v>2104</v>
      </c>
      <c r="F1139" t="s">
        <v>3574</v>
      </c>
      <c r="G1139" t="s">
        <v>550</v>
      </c>
      <c r="H1139">
        <v>12</v>
      </c>
      <c r="I1139">
        <v>5</v>
      </c>
      <c r="J1139" t="s">
        <v>1</v>
      </c>
    </row>
    <row r="1140" spans="3:10" x14ac:dyDescent="0.25">
      <c r="C1140">
        <v>1137</v>
      </c>
      <c r="D1140">
        <v>208910587</v>
      </c>
      <c r="E1140" t="s">
        <v>2105</v>
      </c>
      <c r="F1140" t="s">
        <v>3575</v>
      </c>
      <c r="G1140" t="s">
        <v>550</v>
      </c>
      <c r="H1140">
        <v>12</v>
      </c>
      <c r="I1140">
        <v>5</v>
      </c>
      <c r="J1140" t="s">
        <v>1</v>
      </c>
    </row>
    <row r="1141" spans="3:10" x14ac:dyDescent="0.25">
      <c r="C1141">
        <v>1138</v>
      </c>
      <c r="D1141">
        <v>402750065</v>
      </c>
      <c r="E1141" t="s">
        <v>2106</v>
      </c>
      <c r="F1141" t="s">
        <v>3576</v>
      </c>
      <c r="G1141" t="s">
        <v>550</v>
      </c>
      <c r="H1141">
        <v>12</v>
      </c>
      <c r="I1141">
        <v>5</v>
      </c>
      <c r="J1141" t="s">
        <v>1</v>
      </c>
    </row>
    <row r="1142" spans="3:10" x14ac:dyDescent="0.25">
      <c r="C1142">
        <v>1139</v>
      </c>
      <c r="D1142">
        <v>402740442</v>
      </c>
      <c r="E1142" t="s">
        <v>2107</v>
      </c>
      <c r="F1142" t="s">
        <v>3577</v>
      </c>
      <c r="G1142" t="s">
        <v>550</v>
      </c>
      <c r="H1142">
        <v>12</v>
      </c>
      <c r="I1142">
        <v>5</v>
      </c>
      <c r="J1142" t="s">
        <v>1</v>
      </c>
    </row>
    <row r="1143" spans="3:10" x14ac:dyDescent="0.25">
      <c r="C1143">
        <v>1140</v>
      </c>
      <c r="D1143">
        <v>120000081</v>
      </c>
      <c r="E1143" t="s">
        <v>2108</v>
      </c>
      <c r="F1143" t="s">
        <v>3578</v>
      </c>
      <c r="G1143" t="s">
        <v>550</v>
      </c>
      <c r="H1143">
        <v>12</v>
      </c>
      <c r="I1143">
        <v>5</v>
      </c>
      <c r="J1143" t="s">
        <v>1</v>
      </c>
    </row>
    <row r="1144" spans="3:10" x14ac:dyDescent="0.25">
      <c r="C1144">
        <v>1141</v>
      </c>
      <c r="D1144">
        <v>208890327</v>
      </c>
      <c r="E1144" t="s">
        <v>2109</v>
      </c>
      <c r="F1144" t="s">
        <v>3579</v>
      </c>
      <c r="G1144" t="s">
        <v>550</v>
      </c>
      <c r="H1144">
        <v>12</v>
      </c>
      <c r="I1144">
        <v>5</v>
      </c>
      <c r="J1144" t="s">
        <v>1</v>
      </c>
    </row>
    <row r="1145" spans="3:10" x14ac:dyDescent="0.25">
      <c r="C1145">
        <v>1142</v>
      </c>
      <c r="D1145">
        <v>402740461</v>
      </c>
      <c r="E1145" t="s">
        <v>2110</v>
      </c>
      <c r="F1145" t="s">
        <v>3580</v>
      </c>
      <c r="G1145" t="s">
        <v>550</v>
      </c>
      <c r="H1145">
        <v>12</v>
      </c>
      <c r="I1145">
        <v>5</v>
      </c>
      <c r="J1145" t="s">
        <v>1</v>
      </c>
    </row>
    <row r="1146" spans="3:10" x14ac:dyDescent="0.25">
      <c r="C1146">
        <v>1143</v>
      </c>
      <c r="D1146">
        <v>402770113</v>
      </c>
      <c r="E1146" t="s">
        <v>2111</v>
      </c>
      <c r="F1146" t="s">
        <v>3581</v>
      </c>
      <c r="G1146" t="s">
        <v>550</v>
      </c>
      <c r="H1146">
        <v>12</v>
      </c>
      <c r="I1146">
        <v>5</v>
      </c>
      <c r="J1146" t="s">
        <v>1</v>
      </c>
    </row>
    <row r="1147" spans="3:10" x14ac:dyDescent="0.25">
      <c r="C1147">
        <v>1144</v>
      </c>
      <c r="D1147">
        <v>119950492</v>
      </c>
      <c r="E1147" t="s">
        <v>2112</v>
      </c>
      <c r="F1147" t="s">
        <v>3582</v>
      </c>
      <c r="G1147" t="s">
        <v>550</v>
      </c>
      <c r="H1147">
        <v>12</v>
      </c>
      <c r="I1147">
        <v>5</v>
      </c>
      <c r="J1147" t="s">
        <v>1</v>
      </c>
    </row>
    <row r="1148" spans="3:10" x14ac:dyDescent="0.25">
      <c r="C1148">
        <v>1145</v>
      </c>
      <c r="D1148">
        <v>208940574</v>
      </c>
      <c r="E1148" t="s">
        <v>2113</v>
      </c>
      <c r="F1148" t="s">
        <v>3583</v>
      </c>
      <c r="G1148" t="s">
        <v>550</v>
      </c>
      <c r="H1148">
        <v>12</v>
      </c>
      <c r="I1148">
        <v>5</v>
      </c>
      <c r="J1148" t="s">
        <v>1</v>
      </c>
    </row>
    <row r="1149" spans="3:10" x14ac:dyDescent="0.25">
      <c r="C1149">
        <v>1146</v>
      </c>
      <c r="D1149">
        <v>208880403</v>
      </c>
      <c r="E1149" t="s">
        <v>2114</v>
      </c>
      <c r="F1149" t="s">
        <v>3584</v>
      </c>
      <c r="G1149" t="s">
        <v>550</v>
      </c>
      <c r="H1149">
        <v>12</v>
      </c>
      <c r="I1149">
        <v>5</v>
      </c>
      <c r="J1149" t="s">
        <v>1</v>
      </c>
    </row>
    <row r="1150" spans="3:10" x14ac:dyDescent="0.25">
      <c r="C1150">
        <v>1147</v>
      </c>
      <c r="D1150">
        <v>402770093</v>
      </c>
      <c r="E1150" t="s">
        <v>2115</v>
      </c>
      <c r="F1150" t="s">
        <v>3585</v>
      </c>
      <c r="G1150" t="s">
        <v>582</v>
      </c>
      <c r="H1150">
        <v>12</v>
      </c>
      <c r="I1150">
        <v>5</v>
      </c>
      <c r="J1150" t="s">
        <v>0</v>
      </c>
    </row>
    <row r="1151" spans="3:10" x14ac:dyDescent="0.25">
      <c r="C1151">
        <v>1148</v>
      </c>
      <c r="D1151">
        <v>208870328</v>
      </c>
      <c r="E1151" t="s">
        <v>2116</v>
      </c>
      <c r="F1151" t="s">
        <v>3586</v>
      </c>
      <c r="G1151" t="s">
        <v>582</v>
      </c>
      <c r="H1151">
        <v>12</v>
      </c>
      <c r="I1151">
        <v>5</v>
      </c>
      <c r="J1151" t="s">
        <v>0</v>
      </c>
    </row>
    <row r="1152" spans="3:10" x14ac:dyDescent="0.25">
      <c r="C1152">
        <v>1149</v>
      </c>
      <c r="D1152">
        <v>208940809</v>
      </c>
      <c r="E1152" t="s">
        <v>2117</v>
      </c>
      <c r="F1152" t="s">
        <v>3587</v>
      </c>
      <c r="G1152" t="s">
        <v>582</v>
      </c>
      <c r="H1152">
        <v>12</v>
      </c>
      <c r="I1152">
        <v>5</v>
      </c>
      <c r="J1152" t="s">
        <v>0</v>
      </c>
    </row>
    <row r="1153" spans="3:10" x14ac:dyDescent="0.25">
      <c r="C1153">
        <v>1150</v>
      </c>
      <c r="D1153">
        <v>208860754</v>
      </c>
      <c r="E1153" t="s">
        <v>2118</v>
      </c>
      <c r="F1153" t="s">
        <v>3588</v>
      </c>
      <c r="G1153" t="s">
        <v>582</v>
      </c>
      <c r="H1153">
        <v>12</v>
      </c>
      <c r="I1153">
        <v>5</v>
      </c>
      <c r="J1153" t="s">
        <v>0</v>
      </c>
    </row>
    <row r="1154" spans="3:10" x14ac:dyDescent="0.25">
      <c r="C1154">
        <v>1151</v>
      </c>
      <c r="D1154">
        <v>208870649</v>
      </c>
      <c r="E1154" t="s">
        <v>2120</v>
      </c>
      <c r="F1154" t="s">
        <v>3589</v>
      </c>
      <c r="G1154" t="s">
        <v>582</v>
      </c>
      <c r="H1154">
        <v>12</v>
      </c>
      <c r="I1154">
        <v>5</v>
      </c>
      <c r="J1154" t="s">
        <v>0</v>
      </c>
    </row>
    <row r="1155" spans="3:10" x14ac:dyDescent="0.25">
      <c r="C1155">
        <v>1152</v>
      </c>
      <c r="D1155">
        <v>402750318</v>
      </c>
      <c r="E1155" t="s">
        <v>2121</v>
      </c>
      <c r="F1155" t="s">
        <v>3590</v>
      </c>
      <c r="G1155" t="s">
        <v>582</v>
      </c>
      <c r="H1155">
        <v>12</v>
      </c>
      <c r="I1155">
        <v>5</v>
      </c>
      <c r="J1155" t="s">
        <v>0</v>
      </c>
    </row>
    <row r="1156" spans="3:10" x14ac:dyDescent="0.25">
      <c r="C1156">
        <v>1153</v>
      </c>
      <c r="D1156">
        <v>402760497</v>
      </c>
      <c r="E1156" t="s">
        <v>2122</v>
      </c>
      <c r="F1156" t="s">
        <v>3591</v>
      </c>
      <c r="G1156" t="s">
        <v>582</v>
      </c>
      <c r="H1156">
        <v>12</v>
      </c>
      <c r="I1156">
        <v>5</v>
      </c>
      <c r="J1156" t="s">
        <v>0</v>
      </c>
    </row>
    <row r="1157" spans="3:10" x14ac:dyDescent="0.25">
      <c r="C1157">
        <v>1154</v>
      </c>
      <c r="D1157">
        <v>120060390</v>
      </c>
      <c r="E1157" t="s">
        <v>2123</v>
      </c>
      <c r="F1157" t="s">
        <v>3592</v>
      </c>
      <c r="G1157" t="s">
        <v>582</v>
      </c>
      <c r="H1157">
        <v>12</v>
      </c>
      <c r="I1157">
        <v>5</v>
      </c>
      <c r="J1157" t="s">
        <v>0</v>
      </c>
    </row>
    <row r="1158" spans="3:10" x14ac:dyDescent="0.25">
      <c r="C1158">
        <v>1155</v>
      </c>
      <c r="D1158">
        <v>208910334</v>
      </c>
      <c r="E1158" t="s">
        <v>2124</v>
      </c>
      <c r="F1158" t="s">
        <v>3593</v>
      </c>
      <c r="G1158" t="s">
        <v>582</v>
      </c>
      <c r="H1158">
        <v>12</v>
      </c>
      <c r="I1158">
        <v>5</v>
      </c>
      <c r="J1158" t="s">
        <v>0</v>
      </c>
    </row>
    <row r="1159" spans="3:10" x14ac:dyDescent="0.25">
      <c r="C1159">
        <v>1156</v>
      </c>
      <c r="D1159">
        <v>208810989</v>
      </c>
      <c r="E1159" t="s">
        <v>2125</v>
      </c>
      <c r="F1159" t="s">
        <v>3594</v>
      </c>
      <c r="G1159" t="s">
        <v>582</v>
      </c>
      <c r="H1159">
        <v>12</v>
      </c>
      <c r="I1159">
        <v>5</v>
      </c>
      <c r="J1159" t="s">
        <v>0</v>
      </c>
    </row>
    <row r="1160" spans="3:10" x14ac:dyDescent="0.25">
      <c r="C1160">
        <v>1157</v>
      </c>
      <c r="D1160">
        <v>208920632</v>
      </c>
      <c r="E1160" t="s">
        <v>2126</v>
      </c>
      <c r="F1160" t="s">
        <v>3595</v>
      </c>
      <c r="G1160" t="s">
        <v>582</v>
      </c>
      <c r="H1160">
        <v>12</v>
      </c>
      <c r="I1160">
        <v>5</v>
      </c>
      <c r="J1160" t="s">
        <v>0</v>
      </c>
    </row>
    <row r="1161" spans="3:10" x14ac:dyDescent="0.25">
      <c r="C1161">
        <v>1158</v>
      </c>
      <c r="D1161">
        <v>402770649</v>
      </c>
      <c r="E1161" t="s">
        <v>2127</v>
      </c>
      <c r="F1161" t="s">
        <v>3596</v>
      </c>
      <c r="G1161" t="s">
        <v>582</v>
      </c>
      <c r="H1161">
        <v>12</v>
      </c>
      <c r="I1161">
        <v>5</v>
      </c>
      <c r="J1161" t="s">
        <v>0</v>
      </c>
    </row>
    <row r="1162" spans="3:10" x14ac:dyDescent="0.25">
      <c r="C1162">
        <v>1159</v>
      </c>
      <c r="D1162">
        <v>402760355</v>
      </c>
      <c r="E1162" t="s">
        <v>2128</v>
      </c>
      <c r="F1162" t="s">
        <v>3597</v>
      </c>
      <c r="G1162" t="s">
        <v>582</v>
      </c>
      <c r="H1162">
        <v>12</v>
      </c>
      <c r="I1162">
        <v>5</v>
      </c>
      <c r="J1162" t="s">
        <v>0</v>
      </c>
    </row>
    <row r="1163" spans="3:10" x14ac:dyDescent="0.25">
      <c r="C1163">
        <v>1160</v>
      </c>
      <c r="D1163">
        <v>402760814</v>
      </c>
      <c r="E1163" t="s">
        <v>2129</v>
      </c>
      <c r="F1163" t="s">
        <v>3598</v>
      </c>
      <c r="G1163" t="s">
        <v>582</v>
      </c>
      <c r="H1163">
        <v>12</v>
      </c>
      <c r="I1163">
        <v>5</v>
      </c>
      <c r="J1163" t="s">
        <v>0</v>
      </c>
    </row>
    <row r="1164" spans="3:10" x14ac:dyDescent="0.25">
      <c r="C1164">
        <v>1161</v>
      </c>
      <c r="D1164">
        <v>120100874</v>
      </c>
      <c r="E1164" t="s">
        <v>2130</v>
      </c>
      <c r="F1164" t="s">
        <v>3599</v>
      </c>
      <c r="G1164" t="s">
        <v>675</v>
      </c>
      <c r="H1164">
        <v>12</v>
      </c>
      <c r="I1164">
        <v>6</v>
      </c>
      <c r="J1164" t="s">
        <v>1</v>
      </c>
    </row>
    <row r="1165" spans="3:10" x14ac:dyDescent="0.25">
      <c r="C1165">
        <v>1162</v>
      </c>
      <c r="D1165">
        <v>120080999</v>
      </c>
      <c r="E1165" t="s">
        <v>2131</v>
      </c>
      <c r="F1165" t="s">
        <v>3600</v>
      </c>
      <c r="G1165" t="s">
        <v>675</v>
      </c>
      <c r="H1165">
        <v>12</v>
      </c>
      <c r="I1165">
        <v>6</v>
      </c>
      <c r="J1165" t="s">
        <v>1</v>
      </c>
    </row>
    <row r="1166" spans="3:10" x14ac:dyDescent="0.25">
      <c r="C1166">
        <v>1163</v>
      </c>
      <c r="D1166">
        <v>402740121</v>
      </c>
      <c r="E1166" t="s">
        <v>2132</v>
      </c>
      <c r="F1166" t="s">
        <v>3601</v>
      </c>
      <c r="G1166" t="s">
        <v>675</v>
      </c>
      <c r="H1166">
        <v>12</v>
      </c>
      <c r="I1166">
        <v>6</v>
      </c>
      <c r="J1166" t="s">
        <v>1</v>
      </c>
    </row>
    <row r="1167" spans="3:10" x14ac:dyDescent="0.25">
      <c r="C1167">
        <v>1164</v>
      </c>
      <c r="D1167">
        <v>208960472</v>
      </c>
      <c r="E1167" t="s">
        <v>2133</v>
      </c>
      <c r="F1167" t="s">
        <v>3602</v>
      </c>
      <c r="G1167" t="s">
        <v>675</v>
      </c>
      <c r="H1167">
        <v>12</v>
      </c>
      <c r="I1167">
        <v>6</v>
      </c>
      <c r="J1167" t="s">
        <v>1</v>
      </c>
    </row>
    <row r="1168" spans="3:10" x14ac:dyDescent="0.25">
      <c r="C1168">
        <v>1165</v>
      </c>
      <c r="D1168">
        <v>402760964</v>
      </c>
      <c r="E1168" t="s">
        <v>2134</v>
      </c>
      <c r="F1168" t="s">
        <v>3603</v>
      </c>
      <c r="G1168" t="s">
        <v>675</v>
      </c>
      <c r="H1168">
        <v>12</v>
      </c>
      <c r="I1168">
        <v>6</v>
      </c>
      <c r="J1168" t="s">
        <v>1</v>
      </c>
    </row>
    <row r="1169" spans="3:10" x14ac:dyDescent="0.25">
      <c r="C1169">
        <v>1166</v>
      </c>
      <c r="D1169">
        <v>402760445</v>
      </c>
      <c r="E1169" t="s">
        <v>2135</v>
      </c>
      <c r="F1169" t="s">
        <v>3604</v>
      </c>
      <c r="G1169" t="s">
        <v>675</v>
      </c>
      <c r="H1169">
        <v>12</v>
      </c>
      <c r="I1169">
        <v>6</v>
      </c>
      <c r="J1169" t="s">
        <v>1</v>
      </c>
    </row>
    <row r="1170" spans="3:10" x14ac:dyDescent="0.25">
      <c r="C1170">
        <v>1167</v>
      </c>
      <c r="D1170">
        <v>208880598</v>
      </c>
      <c r="E1170" t="s">
        <v>2136</v>
      </c>
      <c r="F1170" t="s">
        <v>3605</v>
      </c>
      <c r="G1170" t="s">
        <v>675</v>
      </c>
      <c r="H1170">
        <v>12</v>
      </c>
      <c r="I1170">
        <v>6</v>
      </c>
      <c r="J1170" t="s">
        <v>1</v>
      </c>
    </row>
    <row r="1171" spans="3:10" x14ac:dyDescent="0.25">
      <c r="C1171">
        <v>1168</v>
      </c>
      <c r="D1171">
        <v>208840812</v>
      </c>
      <c r="E1171" t="s">
        <v>1884</v>
      </c>
      <c r="F1171" t="s">
        <v>3306</v>
      </c>
      <c r="G1171" t="s">
        <v>675</v>
      </c>
      <c r="H1171">
        <v>12</v>
      </c>
      <c r="I1171">
        <v>6</v>
      </c>
      <c r="J1171" t="s">
        <v>1</v>
      </c>
    </row>
    <row r="1172" spans="3:10" x14ac:dyDescent="0.25">
      <c r="C1172">
        <v>1169</v>
      </c>
      <c r="D1172">
        <v>120080304</v>
      </c>
      <c r="E1172" t="s">
        <v>2137</v>
      </c>
      <c r="F1172" t="s">
        <v>3606</v>
      </c>
      <c r="G1172" t="s">
        <v>675</v>
      </c>
      <c r="H1172">
        <v>12</v>
      </c>
      <c r="I1172">
        <v>6</v>
      </c>
      <c r="J1172" t="s">
        <v>1</v>
      </c>
    </row>
    <row r="1173" spans="3:10" x14ac:dyDescent="0.25">
      <c r="C1173">
        <v>1170</v>
      </c>
      <c r="D1173">
        <v>402760999</v>
      </c>
      <c r="E1173" t="s">
        <v>2138</v>
      </c>
      <c r="F1173" t="s">
        <v>3607</v>
      </c>
      <c r="G1173" t="s">
        <v>675</v>
      </c>
      <c r="H1173">
        <v>12</v>
      </c>
      <c r="I1173">
        <v>6</v>
      </c>
      <c r="J1173" t="s">
        <v>1</v>
      </c>
    </row>
    <row r="1174" spans="3:10" x14ac:dyDescent="0.25">
      <c r="C1174">
        <v>1171</v>
      </c>
      <c r="D1174" t="s">
        <v>1032</v>
      </c>
      <c r="E1174" t="s">
        <v>1032</v>
      </c>
      <c r="F1174" t="s">
        <v>3608</v>
      </c>
      <c r="G1174" t="s">
        <v>675</v>
      </c>
      <c r="H1174">
        <v>12</v>
      </c>
      <c r="I1174">
        <v>6</v>
      </c>
      <c r="J1174" t="s">
        <v>1</v>
      </c>
    </row>
    <row r="1175" spans="3:10" x14ac:dyDescent="0.25">
      <c r="C1175">
        <v>1172</v>
      </c>
      <c r="D1175">
        <v>208910238</v>
      </c>
      <c r="E1175" t="s">
        <v>2139</v>
      </c>
      <c r="F1175" t="s">
        <v>3609</v>
      </c>
      <c r="G1175" t="s">
        <v>675</v>
      </c>
      <c r="H1175">
        <v>12</v>
      </c>
      <c r="I1175">
        <v>6</v>
      </c>
      <c r="J1175" t="s">
        <v>1</v>
      </c>
    </row>
    <row r="1176" spans="3:10" x14ac:dyDescent="0.25">
      <c r="C1176">
        <v>1173</v>
      </c>
      <c r="D1176">
        <v>402740708</v>
      </c>
      <c r="E1176" t="s">
        <v>2140</v>
      </c>
      <c r="F1176" t="s">
        <v>3610</v>
      </c>
      <c r="G1176" t="s">
        <v>675</v>
      </c>
      <c r="H1176">
        <v>12</v>
      </c>
      <c r="I1176">
        <v>6</v>
      </c>
      <c r="J1176" t="s">
        <v>1</v>
      </c>
    </row>
    <row r="1177" spans="3:10" x14ac:dyDescent="0.25">
      <c r="C1177">
        <v>1174</v>
      </c>
      <c r="D1177">
        <v>208910562</v>
      </c>
      <c r="E1177" t="s">
        <v>2141</v>
      </c>
      <c r="F1177" t="s">
        <v>3611</v>
      </c>
      <c r="G1177" t="s">
        <v>675</v>
      </c>
      <c r="H1177">
        <v>12</v>
      </c>
      <c r="I1177">
        <v>6</v>
      </c>
      <c r="J1177" t="s">
        <v>1</v>
      </c>
    </row>
    <row r="1178" spans="3:10" x14ac:dyDescent="0.25">
      <c r="C1178">
        <v>1175</v>
      </c>
      <c r="D1178">
        <v>504730674</v>
      </c>
      <c r="E1178" t="s">
        <v>2142</v>
      </c>
      <c r="F1178" t="s">
        <v>3612</v>
      </c>
      <c r="G1178" t="s">
        <v>675</v>
      </c>
      <c r="H1178">
        <v>12</v>
      </c>
      <c r="I1178">
        <v>6</v>
      </c>
      <c r="J1178" t="s">
        <v>1</v>
      </c>
    </row>
    <row r="1179" spans="3:10" x14ac:dyDescent="0.25">
      <c r="C1179">
        <v>1176</v>
      </c>
      <c r="D1179">
        <v>208960024</v>
      </c>
      <c r="E1179" t="s">
        <v>2143</v>
      </c>
      <c r="F1179" t="s">
        <v>3613</v>
      </c>
      <c r="G1179" t="s">
        <v>675</v>
      </c>
      <c r="H1179">
        <v>12</v>
      </c>
      <c r="I1179">
        <v>6</v>
      </c>
      <c r="J1179" t="s">
        <v>1</v>
      </c>
    </row>
    <row r="1180" spans="3:10" x14ac:dyDescent="0.25">
      <c r="C1180">
        <v>1177</v>
      </c>
      <c r="D1180">
        <v>208840466</v>
      </c>
      <c r="E1180" t="s">
        <v>2144</v>
      </c>
      <c r="F1180" t="s">
        <v>3614</v>
      </c>
      <c r="G1180" t="s">
        <v>675</v>
      </c>
      <c r="H1180">
        <v>12</v>
      </c>
      <c r="I1180">
        <v>6</v>
      </c>
      <c r="J1180" t="s">
        <v>1</v>
      </c>
    </row>
    <row r="1181" spans="3:10" x14ac:dyDescent="0.25">
      <c r="C1181">
        <v>1178</v>
      </c>
      <c r="D1181">
        <v>208860688</v>
      </c>
      <c r="E1181" t="s">
        <v>2145</v>
      </c>
      <c r="F1181" t="s">
        <v>3615</v>
      </c>
      <c r="G1181" t="s">
        <v>675</v>
      </c>
      <c r="H1181">
        <v>12</v>
      </c>
      <c r="I1181">
        <v>6</v>
      </c>
      <c r="J1181" t="s">
        <v>1</v>
      </c>
    </row>
    <row r="1182" spans="3:10" x14ac:dyDescent="0.25">
      <c r="C1182">
        <v>1179</v>
      </c>
      <c r="D1182">
        <v>402740631</v>
      </c>
      <c r="E1182" t="s">
        <v>2146</v>
      </c>
      <c r="F1182" t="s">
        <v>3616</v>
      </c>
      <c r="G1182" t="s">
        <v>675</v>
      </c>
      <c r="H1182">
        <v>12</v>
      </c>
      <c r="I1182">
        <v>6</v>
      </c>
      <c r="J1182" t="s">
        <v>1</v>
      </c>
    </row>
    <row r="1183" spans="3:10" x14ac:dyDescent="0.25">
      <c r="C1183">
        <v>1180</v>
      </c>
      <c r="D1183">
        <v>120030443</v>
      </c>
      <c r="E1183" t="s">
        <v>2147</v>
      </c>
      <c r="F1183" t="s">
        <v>3617</v>
      </c>
      <c r="G1183" t="s">
        <v>2348</v>
      </c>
      <c r="H1183">
        <v>12</v>
      </c>
      <c r="I1183">
        <v>6</v>
      </c>
      <c r="J1183" t="s">
        <v>0</v>
      </c>
    </row>
    <row r="1184" spans="3:10" x14ac:dyDescent="0.25">
      <c r="C1184">
        <v>1181</v>
      </c>
      <c r="D1184">
        <v>402740758</v>
      </c>
      <c r="E1184" t="s">
        <v>2148</v>
      </c>
      <c r="F1184" t="s">
        <v>3618</v>
      </c>
      <c r="G1184" t="s">
        <v>2348</v>
      </c>
      <c r="H1184">
        <v>12</v>
      </c>
      <c r="I1184">
        <v>6</v>
      </c>
      <c r="J1184" t="s">
        <v>0</v>
      </c>
    </row>
    <row r="1185" spans="3:10" x14ac:dyDescent="0.25">
      <c r="C1185">
        <v>1182</v>
      </c>
      <c r="D1185">
        <v>402750085</v>
      </c>
      <c r="E1185" t="s">
        <v>2149</v>
      </c>
      <c r="F1185" t="s">
        <v>3619</v>
      </c>
      <c r="G1185" t="s">
        <v>2348</v>
      </c>
      <c r="H1185">
        <v>12</v>
      </c>
      <c r="I1185">
        <v>6</v>
      </c>
      <c r="J1185" t="s">
        <v>0</v>
      </c>
    </row>
    <row r="1186" spans="3:10" x14ac:dyDescent="0.25">
      <c r="C1186">
        <v>1183</v>
      </c>
      <c r="D1186">
        <v>208850100</v>
      </c>
      <c r="E1186" t="s">
        <v>2150</v>
      </c>
      <c r="F1186" t="s">
        <v>3620</v>
      </c>
      <c r="G1186" t="s">
        <v>2348</v>
      </c>
      <c r="H1186">
        <v>12</v>
      </c>
      <c r="I1186">
        <v>6</v>
      </c>
      <c r="J1186" t="s">
        <v>0</v>
      </c>
    </row>
    <row r="1187" spans="3:10" x14ac:dyDescent="0.25">
      <c r="C1187">
        <v>1184</v>
      </c>
      <c r="D1187">
        <v>703320110</v>
      </c>
      <c r="E1187" t="s">
        <v>2151</v>
      </c>
      <c r="F1187" t="s">
        <v>3621</v>
      </c>
      <c r="G1187" t="s">
        <v>2348</v>
      </c>
      <c r="H1187">
        <v>12</v>
      </c>
      <c r="I1187">
        <v>6</v>
      </c>
      <c r="J1187" t="s">
        <v>0</v>
      </c>
    </row>
    <row r="1188" spans="3:10" x14ac:dyDescent="0.25">
      <c r="C1188">
        <v>1185</v>
      </c>
      <c r="D1188">
        <v>120030808</v>
      </c>
      <c r="E1188" t="s">
        <v>2152</v>
      </c>
      <c r="F1188" t="s">
        <v>3622</v>
      </c>
      <c r="G1188" t="s">
        <v>2348</v>
      </c>
      <c r="H1188">
        <v>12</v>
      </c>
      <c r="I1188">
        <v>6</v>
      </c>
      <c r="J1188" t="s">
        <v>0</v>
      </c>
    </row>
    <row r="1189" spans="3:10" x14ac:dyDescent="0.25">
      <c r="C1189">
        <v>1186</v>
      </c>
      <c r="D1189">
        <v>605030771</v>
      </c>
      <c r="E1189" t="s">
        <v>2153</v>
      </c>
      <c r="F1189" t="s">
        <v>3623</v>
      </c>
      <c r="G1189" t="s">
        <v>2348</v>
      </c>
      <c r="H1189">
        <v>12</v>
      </c>
      <c r="I1189">
        <v>6</v>
      </c>
      <c r="J1189" t="s">
        <v>0</v>
      </c>
    </row>
    <row r="1190" spans="3:10" x14ac:dyDescent="0.25">
      <c r="C1190">
        <v>1187</v>
      </c>
      <c r="D1190">
        <v>305750281</v>
      </c>
      <c r="E1190" t="s">
        <v>2154</v>
      </c>
      <c r="F1190" t="s">
        <v>3624</v>
      </c>
      <c r="G1190" t="s">
        <v>2348</v>
      </c>
      <c r="H1190">
        <v>12</v>
      </c>
      <c r="I1190">
        <v>6</v>
      </c>
      <c r="J1190" t="s">
        <v>0</v>
      </c>
    </row>
    <row r="1191" spans="3:10" x14ac:dyDescent="0.25">
      <c r="C1191">
        <v>1188</v>
      </c>
      <c r="D1191">
        <v>402760672</v>
      </c>
      <c r="E1191" t="s">
        <v>2155</v>
      </c>
      <c r="F1191" t="s">
        <v>3625</v>
      </c>
      <c r="G1191" t="s">
        <v>2348</v>
      </c>
      <c r="H1191">
        <v>12</v>
      </c>
      <c r="I1191">
        <v>6</v>
      </c>
      <c r="J1191" t="s">
        <v>0</v>
      </c>
    </row>
    <row r="1192" spans="3:10" x14ac:dyDescent="0.25">
      <c r="C1192">
        <v>1189</v>
      </c>
      <c r="D1192">
        <v>208940194</v>
      </c>
      <c r="E1192" t="s">
        <v>2156</v>
      </c>
      <c r="F1192" t="s">
        <v>3626</v>
      </c>
      <c r="G1192" t="s">
        <v>2348</v>
      </c>
      <c r="H1192">
        <v>12</v>
      </c>
      <c r="I1192">
        <v>6</v>
      </c>
      <c r="J1192" t="s">
        <v>0</v>
      </c>
    </row>
    <row r="1193" spans="3:10" x14ac:dyDescent="0.25">
      <c r="C1193">
        <v>1190</v>
      </c>
      <c r="D1193">
        <v>208890940</v>
      </c>
      <c r="E1193" t="s">
        <v>2157</v>
      </c>
      <c r="F1193" t="s">
        <v>3627</v>
      </c>
      <c r="G1193" t="s">
        <v>2348</v>
      </c>
      <c r="H1193">
        <v>12</v>
      </c>
      <c r="I1193">
        <v>6</v>
      </c>
      <c r="J1193" t="s">
        <v>0</v>
      </c>
    </row>
    <row r="1194" spans="3:10" x14ac:dyDescent="0.25">
      <c r="C1194">
        <v>1191</v>
      </c>
      <c r="D1194">
        <v>119960039</v>
      </c>
      <c r="E1194" t="s">
        <v>2158</v>
      </c>
      <c r="F1194" t="s">
        <v>3628</v>
      </c>
      <c r="G1194" t="s">
        <v>2348</v>
      </c>
      <c r="H1194">
        <v>12</v>
      </c>
      <c r="I1194">
        <v>6</v>
      </c>
      <c r="J1194" t="s">
        <v>0</v>
      </c>
    </row>
    <row r="1195" spans="3:10" x14ac:dyDescent="0.25">
      <c r="C1195">
        <v>1192</v>
      </c>
      <c r="D1195">
        <v>208900891</v>
      </c>
      <c r="E1195" t="s">
        <v>2159</v>
      </c>
      <c r="F1195" t="s">
        <v>3629</v>
      </c>
      <c r="G1195" t="s">
        <v>2348</v>
      </c>
      <c r="H1195">
        <v>12</v>
      </c>
      <c r="I1195">
        <v>6</v>
      </c>
      <c r="J1195" t="s">
        <v>0</v>
      </c>
    </row>
    <row r="1196" spans="3:10" x14ac:dyDescent="0.25">
      <c r="C1196">
        <v>1193</v>
      </c>
      <c r="D1196">
        <v>208920989</v>
      </c>
      <c r="E1196" t="s">
        <v>2160</v>
      </c>
      <c r="F1196" t="s">
        <v>3630</v>
      </c>
      <c r="G1196" t="s">
        <v>2348</v>
      </c>
      <c r="H1196">
        <v>12</v>
      </c>
      <c r="I1196">
        <v>6</v>
      </c>
      <c r="J1196" t="s">
        <v>0</v>
      </c>
    </row>
    <row r="1197" spans="3:10" x14ac:dyDescent="0.25">
      <c r="C1197">
        <v>1194</v>
      </c>
      <c r="D1197">
        <v>208510608</v>
      </c>
      <c r="E1197" t="s">
        <v>2161</v>
      </c>
      <c r="F1197" t="s">
        <v>3631</v>
      </c>
      <c r="G1197" t="s">
        <v>2348</v>
      </c>
      <c r="H1197">
        <v>12</v>
      </c>
      <c r="I1197">
        <v>6</v>
      </c>
      <c r="J1197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79ACA-43DE-4555-84CC-1DEBB28B2746}">
  <sheetPr codeName="Hoja5"/>
  <dimension ref="C1:E805"/>
  <sheetViews>
    <sheetView workbookViewId="0">
      <selection activeCell="C5" sqref="C5"/>
    </sheetView>
  </sheetViews>
  <sheetFormatPr baseColWidth="10" defaultRowHeight="15" x14ac:dyDescent="0.25"/>
  <cols>
    <col min="1" max="2" width="11.42578125" style="1"/>
    <col min="3" max="3" width="16.140625" style="23" customWidth="1"/>
    <col min="4" max="4" width="43.28515625" style="4" bestFit="1" customWidth="1"/>
    <col min="5" max="5" width="14.7109375" style="4" customWidth="1"/>
    <col min="6" max="6" width="11.42578125" style="1"/>
    <col min="7" max="7" width="12" style="1" bestFit="1" customWidth="1"/>
    <col min="8" max="9" width="11.42578125" style="1"/>
    <col min="10" max="10" width="11.85546875" style="1" bestFit="1" customWidth="1"/>
    <col min="11" max="16384" width="11.42578125" style="1"/>
  </cols>
  <sheetData>
    <row r="1" spans="3:5" x14ac:dyDescent="0.25">
      <c r="C1" s="4"/>
    </row>
    <row r="2" spans="3:5" ht="18.75" x14ac:dyDescent="0.3">
      <c r="C2" s="103" t="s">
        <v>2371</v>
      </c>
      <c r="D2" s="103"/>
      <c r="E2" s="103"/>
    </row>
    <row r="3" spans="3:5" x14ac:dyDescent="0.25">
      <c r="C3" s="4"/>
    </row>
    <row r="4" spans="3:5" x14ac:dyDescent="0.25">
      <c r="C4" s="5" t="s">
        <v>5</v>
      </c>
      <c r="D4" s="13" t="s">
        <v>7</v>
      </c>
      <c r="E4" s="13" t="s">
        <v>4</v>
      </c>
    </row>
    <row r="5" spans="3:5" x14ac:dyDescent="0.25">
      <c r="C5" s="30"/>
      <c r="D5" s="11" t="str">
        <f>IFERROR(INDEX(Catalogo!$E$4:$E$1502,_xlfn.IFNA(MATCH(C5,Catalogo!$C$4:$C$1502,0),-1)),"")</f>
        <v/>
      </c>
      <c r="E5" s="12" t="str">
        <f>IFERROR(_xlfn.CONCAT(INDEX(Catalogo!$G$4:$G$1502,_xlfn.IFNA(MATCH(C5,Catalogo!$C$4:$C$1502,0),-1)),"-",INDEX(Catalogo!$H$4:$H$1502,_xlfn.IFNA(MATCH(C5,Catalogo!$C$4:$C$1502,0),-1))),"")</f>
        <v/>
      </c>
    </row>
    <row r="6" spans="3:5" x14ac:dyDescent="0.25">
      <c r="C6" s="31"/>
      <c r="D6" s="11" t="str">
        <f>IFERROR(INDEX(Catalogo!$E$4:$E$1502,_xlfn.IFNA(MATCH(C6,Catalogo!$C$4:$C$1502,0),-1)),"")</f>
        <v/>
      </c>
      <c r="E6" s="12" t="str">
        <f>IFERROR(_xlfn.CONCAT(INDEX(Catalogo!$G$4:$G$1502,_xlfn.IFNA(MATCH(C6,Catalogo!$C$4:$C$1502,0),-1)),"-",INDEX(Catalogo!$H$4:$H$1502,_xlfn.IFNA(MATCH(C6,Catalogo!$C$4:$C$1502,0),-1))),"")</f>
        <v/>
      </c>
    </row>
    <row r="7" spans="3:5" x14ac:dyDescent="0.25">
      <c r="C7" s="30"/>
      <c r="D7" s="11" t="str">
        <f>IFERROR(INDEX(Catalogo!$E$4:$E$1502,_xlfn.IFNA(MATCH(C7,Catalogo!$C$4:$C$1502,0),-1)),"")</f>
        <v/>
      </c>
      <c r="E7" s="12" t="str">
        <f>IFERROR(_xlfn.CONCAT(INDEX(Catalogo!$G$4:$G$1502,_xlfn.IFNA(MATCH(C7,Catalogo!$C$4:$C$1502,0),-1)),"-",INDEX(Catalogo!$H$4:$H$1502,_xlfn.IFNA(MATCH(C7,Catalogo!$C$4:$C$1502,0),-1))),"")</f>
        <v/>
      </c>
    </row>
    <row r="8" spans="3:5" x14ac:dyDescent="0.25">
      <c r="C8" s="31"/>
      <c r="D8" s="11" t="str">
        <f>IFERROR(INDEX(Catalogo!$E$4:$E$1502,_xlfn.IFNA(MATCH(C8,Catalogo!$C$4:$C$1502,0),-1)),"")</f>
        <v/>
      </c>
      <c r="E8" s="12" t="str">
        <f>IFERROR(_xlfn.CONCAT(INDEX(Catalogo!$G$4:$G$1502,_xlfn.IFNA(MATCH(C8,Catalogo!$C$4:$C$1502,0),-1)),"-",INDEX(Catalogo!$H$4:$H$1502,_xlfn.IFNA(MATCH(C8,Catalogo!$C$4:$C$1502,0),-1))),"")</f>
        <v/>
      </c>
    </row>
    <row r="9" spans="3:5" x14ac:dyDescent="0.25">
      <c r="C9" s="31"/>
      <c r="D9" s="11" t="str">
        <f>IFERROR(INDEX(Catalogo!$E$4:$E$1502,_xlfn.IFNA(MATCH(C9,Catalogo!$C$4:$C$1502,0),-1)),"")</f>
        <v/>
      </c>
      <c r="E9" s="12" t="str">
        <f>IFERROR(_xlfn.CONCAT(INDEX(Catalogo!$G$4:$G$1502,_xlfn.IFNA(MATCH(C9,Catalogo!$C$4:$C$1502,0),-1)),"-",INDEX(Catalogo!$H$4:$H$1502,_xlfn.IFNA(MATCH(C9,Catalogo!$C$4:$C$1502,0),-1))),"")</f>
        <v/>
      </c>
    </row>
    <row r="10" spans="3:5" x14ac:dyDescent="0.25">
      <c r="C10" s="31"/>
      <c r="D10" s="11" t="str">
        <f>IFERROR(INDEX(Catalogo!$E$4:$E$1502,_xlfn.IFNA(MATCH(C10,Catalogo!$C$4:$C$1502,0),-1)),"")</f>
        <v/>
      </c>
      <c r="E10" s="12" t="str">
        <f>IFERROR(_xlfn.CONCAT(INDEX(Catalogo!$G$4:$G$1502,_xlfn.IFNA(MATCH(C10,Catalogo!$C$4:$C$1502,0),-1)),"-",INDEX(Catalogo!$H$4:$H$1502,_xlfn.IFNA(MATCH(C10,Catalogo!$C$4:$C$1502,0),-1))),"")</f>
        <v/>
      </c>
    </row>
    <row r="11" spans="3:5" x14ac:dyDescent="0.25">
      <c r="C11" s="31"/>
      <c r="D11" s="11" t="str">
        <f>IFERROR(INDEX(Catalogo!$E$4:$E$1502,_xlfn.IFNA(MATCH(C11,Catalogo!$C$4:$C$1502,0),-1)),"")</f>
        <v/>
      </c>
      <c r="E11" s="12" t="str">
        <f>IFERROR(_xlfn.CONCAT(INDEX(Catalogo!$G$4:$G$1502,_xlfn.IFNA(MATCH(C11,Catalogo!$C$4:$C$1502,0),-1)),"-",INDEX(Catalogo!$H$4:$H$1502,_xlfn.IFNA(MATCH(C11,Catalogo!$C$4:$C$1502,0),-1))),"")</f>
        <v/>
      </c>
    </row>
    <row r="12" spans="3:5" x14ac:dyDescent="0.25">
      <c r="C12" s="31"/>
      <c r="D12" s="11" t="str">
        <f>IFERROR(INDEX(Catalogo!$E$4:$E$1502,_xlfn.IFNA(MATCH(C12,Catalogo!$C$4:$C$1502,0),-1)),"")</f>
        <v/>
      </c>
      <c r="E12" s="12" t="str">
        <f>IFERROR(_xlfn.CONCAT(INDEX(Catalogo!$G$4:$G$1502,_xlfn.IFNA(MATCH(C12,Catalogo!$C$4:$C$1502,0),-1)),"-",INDEX(Catalogo!$H$4:$H$1502,_xlfn.IFNA(MATCH(C12,Catalogo!$C$4:$C$1502,0),-1))),"")</f>
        <v/>
      </c>
    </row>
    <row r="13" spans="3:5" x14ac:dyDescent="0.25">
      <c r="C13" s="31"/>
      <c r="D13" s="11" t="str">
        <f>IFERROR(INDEX(Catalogo!$E$4:$E$1502,_xlfn.IFNA(MATCH(C13,Catalogo!$C$4:$C$1502,0),-1)),"")</f>
        <v/>
      </c>
      <c r="E13" s="12" t="str">
        <f>IFERROR(_xlfn.CONCAT(INDEX(Catalogo!$G$4:$G$1502,_xlfn.IFNA(MATCH(C13,Catalogo!$C$4:$C$1502,0),-1)),"-",INDEX(Catalogo!$H$4:$H$1502,_xlfn.IFNA(MATCH(C13,Catalogo!$C$4:$C$1502,0),-1))),"")</f>
        <v/>
      </c>
    </row>
    <row r="14" spans="3:5" x14ac:dyDescent="0.25">
      <c r="C14" s="65"/>
      <c r="D14" s="11" t="str">
        <f>IFERROR(INDEX(Catalogo!$E$4:$E$1502,_xlfn.IFNA(MATCH(C14,Catalogo!$C$4:$C$1502,0),-1)),"")</f>
        <v/>
      </c>
      <c r="E14" s="12" t="str">
        <f>IFERROR(_xlfn.CONCAT(INDEX(Catalogo!$G$4:$G$1502,_xlfn.IFNA(MATCH(C14,Catalogo!$C$4:$C$1502,0),-1)),"-",INDEX(Catalogo!$H$4:$H$1502,_xlfn.IFNA(MATCH(C14,Catalogo!$C$4:$C$1502,0),-1))),"")</f>
        <v/>
      </c>
    </row>
    <row r="15" spans="3:5" x14ac:dyDescent="0.25">
      <c r="C15" s="66"/>
      <c r="D15" s="11" t="str">
        <f>IFERROR(INDEX(Catalogo!$E$4:$E$1502,_xlfn.IFNA(MATCH(C15,Catalogo!$C$4:$C$1502,0),-1)),"")</f>
        <v/>
      </c>
      <c r="E15" s="12" t="str">
        <f>IFERROR(_xlfn.CONCAT(INDEX(Catalogo!$G$4:$G$1502,_xlfn.IFNA(MATCH(C15,Catalogo!$C$4:$C$1502,0),-1)),"-",INDEX(Catalogo!$H$4:$H$1502,_xlfn.IFNA(MATCH(C15,Catalogo!$C$4:$C$1502,0),-1))),"")</f>
        <v/>
      </c>
    </row>
    <row r="16" spans="3:5" x14ac:dyDescent="0.25">
      <c r="C16" s="31"/>
      <c r="D16" s="11" t="str">
        <f>IFERROR(INDEX(Catalogo!$E$4:$E$1502,_xlfn.IFNA(MATCH(C16,Catalogo!$C$4:$C$1502,0),-1)),"")</f>
        <v/>
      </c>
      <c r="E16" s="12" t="str">
        <f>IFERROR(_xlfn.CONCAT(INDEX(Catalogo!$G$4:$G$1502,_xlfn.IFNA(MATCH(C16,Catalogo!$C$4:$C$1502,0),-1)),"-",INDEX(Catalogo!$H$4:$H$1502,_xlfn.IFNA(MATCH(C16,Catalogo!$C$4:$C$1502,0),-1))),"")</f>
        <v/>
      </c>
    </row>
    <row r="17" spans="3:5" x14ac:dyDescent="0.25">
      <c r="C17" s="31"/>
      <c r="D17" s="11" t="str">
        <f>IFERROR(INDEX(Catalogo!$E$4:$E$1502,_xlfn.IFNA(MATCH(C17,Catalogo!$C$4:$C$1502,0),-1)),"")</f>
        <v/>
      </c>
      <c r="E17" s="12" t="str">
        <f>IFERROR(_xlfn.CONCAT(INDEX(Catalogo!$G$4:$G$1502,_xlfn.IFNA(MATCH(C17,Catalogo!$C$4:$C$1502,0),-1)),"-",INDEX(Catalogo!$H$4:$H$1502,_xlfn.IFNA(MATCH(C17,Catalogo!$C$4:$C$1502,0),-1))),"")</f>
        <v/>
      </c>
    </row>
    <row r="18" spans="3:5" x14ac:dyDescent="0.25">
      <c r="C18" s="31"/>
      <c r="D18" s="11" t="str">
        <f>IFERROR(INDEX(Catalogo!$E$4:$E$1502,_xlfn.IFNA(MATCH(C18,Catalogo!$C$4:$C$1502,0),-1)),"")</f>
        <v/>
      </c>
      <c r="E18" s="12" t="str">
        <f>IFERROR(_xlfn.CONCAT(INDEX(Catalogo!$G$4:$G$1502,_xlfn.IFNA(MATCH(C18,Catalogo!$C$4:$C$1502,0),-1)),"-",INDEX(Catalogo!$H$4:$H$1502,_xlfn.IFNA(MATCH(C18,Catalogo!$C$4:$C$1502,0),-1))),"")</f>
        <v/>
      </c>
    </row>
    <row r="19" spans="3:5" x14ac:dyDescent="0.25">
      <c r="C19" s="31"/>
      <c r="D19" s="11" t="str">
        <f>IFERROR(INDEX(Catalogo!$E$4:$E$1502,_xlfn.IFNA(MATCH(C19,Catalogo!$C$4:$C$1502,0),-1)),"")</f>
        <v/>
      </c>
      <c r="E19" s="12" t="str">
        <f>IFERROR(_xlfn.CONCAT(INDEX(Catalogo!$G$4:$G$1502,_xlfn.IFNA(MATCH(C19,Catalogo!$C$4:$C$1502,0),-1)),"-",INDEX(Catalogo!$H$4:$H$1502,_xlfn.IFNA(MATCH(C19,Catalogo!$C$4:$C$1502,0),-1))),"")</f>
        <v/>
      </c>
    </row>
    <row r="20" spans="3:5" x14ac:dyDescent="0.25">
      <c r="C20" s="31"/>
      <c r="D20" s="11" t="str">
        <f>IFERROR(INDEX(Catalogo!$E$4:$E$1502,_xlfn.IFNA(MATCH(C20,Catalogo!$C$4:$C$1502,0),-1)),"")</f>
        <v/>
      </c>
      <c r="E20" s="12" t="str">
        <f>IFERROR(_xlfn.CONCAT(INDEX(Catalogo!$G$4:$G$1502,_xlfn.IFNA(MATCH(C20,Catalogo!$C$4:$C$1502,0),-1)),"-",INDEX(Catalogo!$H$4:$H$1502,_xlfn.IFNA(MATCH(C20,Catalogo!$C$4:$C$1502,0),-1))),"")</f>
        <v/>
      </c>
    </row>
    <row r="21" spans="3:5" x14ac:dyDescent="0.25">
      <c r="C21" s="31"/>
      <c r="D21" s="11" t="str">
        <f>IFERROR(INDEX(Catalogo!$E$4:$E$1502,_xlfn.IFNA(MATCH(C21,Catalogo!$C$4:$C$1502,0),-1)),"")</f>
        <v/>
      </c>
      <c r="E21" s="12" t="str">
        <f>IFERROR(_xlfn.CONCAT(INDEX(Catalogo!$G$4:$G$1502,_xlfn.IFNA(MATCH(C21,Catalogo!$C$4:$C$1502,0),-1)),"-",INDEX(Catalogo!$H$4:$H$1502,_xlfn.IFNA(MATCH(C21,Catalogo!$C$4:$C$1502,0),-1))),"")</f>
        <v/>
      </c>
    </row>
    <row r="22" spans="3:5" x14ac:dyDescent="0.25">
      <c r="C22" s="31"/>
      <c r="D22" s="11" t="str">
        <f>IFERROR(INDEX(Catalogo!$E$4:$E$1502,_xlfn.IFNA(MATCH(C22,Catalogo!$C$4:$C$1502,0),-1)),"")</f>
        <v/>
      </c>
      <c r="E22" s="12" t="str">
        <f>IFERROR(_xlfn.CONCAT(INDEX(Catalogo!$G$4:$G$1502,_xlfn.IFNA(MATCH(C22,Catalogo!$C$4:$C$1502,0),-1)),"-",INDEX(Catalogo!$H$4:$H$1502,_xlfn.IFNA(MATCH(C22,Catalogo!$C$4:$C$1502,0),-1))),"")</f>
        <v/>
      </c>
    </row>
    <row r="23" spans="3:5" x14ac:dyDescent="0.25">
      <c r="C23" s="66"/>
      <c r="D23" s="11" t="str">
        <f>IFERROR(INDEX(Catalogo!$E$4:$E$1502,_xlfn.IFNA(MATCH(C23,Catalogo!$C$4:$C$1502,0),-1)),"")</f>
        <v/>
      </c>
      <c r="E23" s="12" t="str">
        <f>IFERROR(_xlfn.CONCAT(INDEX(Catalogo!$G$4:$G$1502,_xlfn.IFNA(MATCH(C23,Catalogo!$C$4:$C$1502,0),-1)),"-",INDEX(Catalogo!$H$4:$H$1502,_xlfn.IFNA(MATCH(C23,Catalogo!$C$4:$C$1502,0),-1))),"")</f>
        <v/>
      </c>
    </row>
    <row r="24" spans="3:5" x14ac:dyDescent="0.25">
      <c r="C24" s="31"/>
      <c r="D24" s="11" t="str">
        <f>IFERROR(INDEX(Catalogo!$E$4:$E$1502,_xlfn.IFNA(MATCH(C24,Catalogo!$C$4:$C$1502,0),-1)),"")</f>
        <v/>
      </c>
      <c r="E24" s="12" t="str">
        <f>IFERROR(_xlfn.CONCAT(INDEX(Catalogo!$G$4:$G$1502,_xlfn.IFNA(MATCH(C24,Catalogo!$C$4:$C$1502,0),-1)),"-",INDEX(Catalogo!$H$4:$H$1502,_xlfn.IFNA(MATCH(C24,Catalogo!$C$4:$C$1502,0),-1))),"")</f>
        <v/>
      </c>
    </row>
    <row r="25" spans="3:5" x14ac:dyDescent="0.25">
      <c r="C25" s="31"/>
      <c r="D25" s="11" t="str">
        <f>IFERROR(INDEX(Catalogo!$E$4:$E$1502,_xlfn.IFNA(MATCH(C25,Catalogo!$C$4:$C$1502,0),-1)),"")</f>
        <v/>
      </c>
      <c r="E25" s="12" t="str">
        <f>IFERROR(_xlfn.CONCAT(INDEX(Catalogo!$G$4:$G$1502,_xlfn.IFNA(MATCH(C25,Catalogo!$C$4:$C$1502,0),-1)),"-",INDEX(Catalogo!$H$4:$H$1502,_xlfn.IFNA(MATCH(C25,Catalogo!$C$4:$C$1502,0),-1))),"")</f>
        <v/>
      </c>
    </row>
    <row r="26" spans="3:5" x14ac:dyDescent="0.25">
      <c r="C26" s="31"/>
      <c r="D26" s="11" t="str">
        <f>IFERROR(INDEX(Catalogo!$E$4:$E$1502,_xlfn.IFNA(MATCH(C26,Catalogo!$C$4:$C$1502,0),-1)),"")</f>
        <v/>
      </c>
      <c r="E26" s="12" t="str">
        <f>IFERROR(_xlfn.CONCAT(INDEX(Catalogo!$G$4:$G$1502,_xlfn.IFNA(MATCH(C26,Catalogo!$C$4:$C$1502,0),-1)),"-",INDEX(Catalogo!$H$4:$H$1502,_xlfn.IFNA(MATCH(C26,Catalogo!$C$4:$C$1502,0),-1))),"")</f>
        <v/>
      </c>
    </row>
    <row r="27" spans="3:5" x14ac:dyDescent="0.25">
      <c r="C27" s="31"/>
      <c r="D27" s="11" t="str">
        <f>IFERROR(INDEX(Catalogo!$E$4:$E$1502,_xlfn.IFNA(MATCH(C27,Catalogo!$C$4:$C$1502,0),-1)),"")</f>
        <v/>
      </c>
      <c r="E27" s="12" t="str">
        <f>IFERROR(_xlfn.CONCAT(INDEX(Catalogo!$G$4:$G$1502,_xlfn.IFNA(MATCH(C27,Catalogo!$C$4:$C$1502,0),-1)),"-",INDEX(Catalogo!$H$4:$H$1502,_xlfn.IFNA(MATCH(C27,Catalogo!$C$4:$C$1502,0),-1))),"")</f>
        <v/>
      </c>
    </row>
    <row r="28" spans="3:5" x14ac:dyDescent="0.25">
      <c r="C28" s="31"/>
      <c r="D28" s="11" t="str">
        <f>IFERROR(INDEX(Catalogo!$E$4:$E$1502,_xlfn.IFNA(MATCH(C28,Catalogo!$C$4:$C$1502,0),-1)),"")</f>
        <v/>
      </c>
      <c r="E28" s="12" t="str">
        <f>IFERROR(_xlfn.CONCAT(INDEX(Catalogo!$G$4:$G$1502,_xlfn.IFNA(MATCH(C28,Catalogo!$C$4:$C$1502,0),-1)),"-",INDEX(Catalogo!$H$4:$H$1502,_xlfn.IFNA(MATCH(C28,Catalogo!$C$4:$C$1502,0),-1))),"")</f>
        <v/>
      </c>
    </row>
    <row r="29" spans="3:5" x14ac:dyDescent="0.25">
      <c r="C29" s="31"/>
      <c r="D29" s="11" t="str">
        <f>IFERROR(INDEX(Catalogo!$E$4:$E$1502,_xlfn.IFNA(MATCH(C29,Catalogo!$C$4:$C$1502,0),-1)),"")</f>
        <v/>
      </c>
      <c r="E29" s="12" t="str">
        <f>IFERROR(_xlfn.CONCAT(INDEX(Catalogo!$G$4:$G$1502,_xlfn.IFNA(MATCH(C29,Catalogo!$C$4:$C$1502,0),-1)),"-",INDEX(Catalogo!$H$4:$H$1502,_xlfn.IFNA(MATCH(C29,Catalogo!$C$4:$C$1502,0),-1))),"")</f>
        <v/>
      </c>
    </row>
    <row r="30" spans="3:5" x14ac:dyDescent="0.25">
      <c r="C30" s="31"/>
      <c r="D30" s="11" t="str">
        <f>IFERROR(INDEX(Catalogo!$E$4:$E$1502,_xlfn.IFNA(MATCH(C30,Catalogo!$C$4:$C$1502,0),-1)),"")</f>
        <v/>
      </c>
      <c r="E30" s="12" t="str">
        <f>IFERROR(_xlfn.CONCAT(INDEX(Catalogo!$G$4:$G$1502,_xlfn.IFNA(MATCH(C30,Catalogo!$C$4:$C$1502,0),-1)),"-",INDEX(Catalogo!$H$4:$H$1502,_xlfn.IFNA(MATCH(C30,Catalogo!$C$4:$C$1502,0),-1))),"")</f>
        <v/>
      </c>
    </row>
    <row r="31" spans="3:5" x14ac:dyDescent="0.25">
      <c r="C31" s="67"/>
      <c r="D31" s="11" t="str">
        <f>IFERROR(INDEX(Catalogo!$E$4:$E$1502,_xlfn.IFNA(MATCH(C31,Catalogo!$C$4:$C$1502,0),-1)),"")</f>
        <v/>
      </c>
      <c r="E31" s="12" t="str">
        <f>IFERROR(_xlfn.CONCAT(INDEX(Catalogo!$G$4:$G$1502,_xlfn.IFNA(MATCH(C31,Catalogo!$C$4:$C$1502,0),-1)),"-",INDEX(Catalogo!$H$4:$H$1502,_xlfn.IFNA(MATCH(C31,Catalogo!$C$4:$C$1502,0),-1))),"")</f>
        <v/>
      </c>
    </row>
    <row r="32" spans="3:5" x14ac:dyDescent="0.25">
      <c r="C32" s="67"/>
      <c r="D32" s="11" t="str">
        <f>IFERROR(INDEX(Catalogo!$E$4:$E$1502,_xlfn.IFNA(MATCH(C32,Catalogo!$C$4:$C$1502,0),-1)),"")</f>
        <v/>
      </c>
      <c r="E32" s="12" t="str">
        <f>IFERROR(_xlfn.CONCAT(INDEX(Catalogo!$G$4:$G$1502,_xlfn.IFNA(MATCH(C32,Catalogo!$C$4:$C$1502,0),-1)),"-",INDEX(Catalogo!$H$4:$H$1502,_xlfn.IFNA(MATCH(C32,Catalogo!$C$4:$C$1502,0),-1))),"")</f>
        <v/>
      </c>
    </row>
    <row r="33" spans="3:5" x14ac:dyDescent="0.25">
      <c r="C33" s="66"/>
      <c r="D33" s="11" t="str">
        <f>IFERROR(INDEX(Catalogo!$E$4:$E$1502,_xlfn.IFNA(MATCH(C33,Catalogo!$C$4:$C$1502,0),-1)),"")</f>
        <v/>
      </c>
      <c r="E33" s="12" t="str">
        <f>IFERROR(_xlfn.CONCAT(INDEX(Catalogo!$G$4:$G$1502,_xlfn.IFNA(MATCH(C33,Catalogo!$C$4:$C$1502,0),-1)),"-",INDEX(Catalogo!$H$4:$H$1502,_xlfn.IFNA(MATCH(C33,Catalogo!$C$4:$C$1502,0),-1))),"")</f>
        <v/>
      </c>
    </row>
    <row r="34" spans="3:5" x14ac:dyDescent="0.25">
      <c r="C34" s="31"/>
      <c r="D34" s="11" t="str">
        <f>IFERROR(INDEX(Catalogo!$E$4:$E$1502,_xlfn.IFNA(MATCH(C34,Catalogo!$C$4:$C$1502,0),-1)),"")</f>
        <v/>
      </c>
      <c r="E34" s="12" t="str">
        <f>IFERROR(_xlfn.CONCAT(INDEX(Catalogo!$G$4:$G$1502,_xlfn.IFNA(MATCH(C34,Catalogo!$C$4:$C$1502,0),-1)),"-",INDEX(Catalogo!$H$4:$H$1502,_xlfn.IFNA(MATCH(C34,Catalogo!$C$4:$C$1502,0),-1))),"")</f>
        <v/>
      </c>
    </row>
    <row r="35" spans="3:5" x14ac:dyDescent="0.25">
      <c r="C35" s="31"/>
      <c r="D35" s="11" t="str">
        <f>IFERROR(INDEX(Catalogo!$E$4:$E$1502,_xlfn.IFNA(MATCH(C35,Catalogo!$C$4:$C$1502,0),-1)),"")</f>
        <v/>
      </c>
      <c r="E35" s="12" t="str">
        <f>IFERROR(_xlfn.CONCAT(INDEX(Catalogo!$G$4:$G$1502,_xlfn.IFNA(MATCH(C35,Catalogo!$C$4:$C$1502,0),-1)),"-",INDEX(Catalogo!$H$4:$H$1502,_xlfn.IFNA(MATCH(C35,Catalogo!$C$4:$C$1502,0),-1))),"")</f>
        <v/>
      </c>
    </row>
    <row r="36" spans="3:5" x14ac:dyDescent="0.25">
      <c r="C36" s="31"/>
      <c r="D36" s="11" t="str">
        <f>IFERROR(INDEX(Catalogo!$E$4:$E$1502,_xlfn.IFNA(MATCH(C36,Catalogo!$C$4:$C$1502,0),-1)),"")</f>
        <v/>
      </c>
      <c r="E36" s="12" t="str">
        <f>IFERROR(_xlfn.CONCAT(INDEX(Catalogo!$G$4:$G$1502,_xlfn.IFNA(MATCH(C36,Catalogo!$C$4:$C$1502,0),-1)),"-",INDEX(Catalogo!$H$4:$H$1502,_xlfn.IFNA(MATCH(C36,Catalogo!$C$4:$C$1502,0),-1))),"")</f>
        <v/>
      </c>
    </row>
    <row r="37" spans="3:5" x14ac:dyDescent="0.25">
      <c r="C37" s="31"/>
      <c r="D37" s="11" t="str">
        <f>IFERROR(INDEX(Catalogo!$E$4:$E$1502,_xlfn.IFNA(MATCH(C37,Catalogo!$C$4:$C$1502,0),-1)),"")</f>
        <v/>
      </c>
      <c r="E37" s="12" t="str">
        <f>IFERROR(_xlfn.CONCAT(INDEX(Catalogo!$G$4:$G$1502,_xlfn.IFNA(MATCH(C37,Catalogo!$C$4:$C$1502,0),-1)),"-",INDEX(Catalogo!$H$4:$H$1502,_xlfn.IFNA(MATCH(C37,Catalogo!$C$4:$C$1502,0),-1))),"")</f>
        <v/>
      </c>
    </row>
    <row r="38" spans="3:5" x14ac:dyDescent="0.25">
      <c r="C38" s="31"/>
      <c r="D38" s="11" t="str">
        <f>IFERROR(INDEX(Catalogo!$E$4:$E$1502,_xlfn.IFNA(MATCH(C38,Catalogo!$C$4:$C$1502,0),-1)),"")</f>
        <v/>
      </c>
      <c r="E38" s="12" t="str">
        <f>IFERROR(_xlfn.CONCAT(INDEX(Catalogo!$G$4:$G$1502,_xlfn.IFNA(MATCH(C38,Catalogo!$C$4:$C$1502,0),-1)),"-",INDEX(Catalogo!$H$4:$H$1502,_xlfn.IFNA(MATCH(C38,Catalogo!$C$4:$C$1502,0),-1))),"")</f>
        <v/>
      </c>
    </row>
    <row r="39" spans="3:5" x14ac:dyDescent="0.25">
      <c r="C39" s="31"/>
      <c r="D39" s="11" t="str">
        <f>IFERROR(INDEX(Catalogo!$E$4:$E$1502,_xlfn.IFNA(MATCH(C39,Catalogo!$C$4:$C$1502,0),-1)),"")</f>
        <v/>
      </c>
      <c r="E39" s="12" t="str">
        <f>IFERROR(_xlfn.CONCAT(INDEX(Catalogo!$G$4:$G$1502,_xlfn.IFNA(MATCH(C39,Catalogo!$C$4:$C$1502,0),-1)),"-",INDEX(Catalogo!$H$4:$H$1502,_xlfn.IFNA(MATCH(C39,Catalogo!$C$4:$C$1502,0),-1))),"")</f>
        <v/>
      </c>
    </row>
    <row r="40" spans="3:5" x14ac:dyDescent="0.25">
      <c r="C40" s="31"/>
      <c r="D40" s="11" t="str">
        <f>IFERROR(INDEX(Catalogo!$E$4:$E$1502,_xlfn.IFNA(MATCH(C40,Catalogo!$C$4:$C$1502,0),-1)),"")</f>
        <v/>
      </c>
      <c r="E40" s="12" t="str">
        <f>IFERROR(_xlfn.CONCAT(INDEX(Catalogo!$G$4:$G$1502,_xlfn.IFNA(MATCH(C40,Catalogo!$C$4:$C$1502,0),-1)),"-",INDEX(Catalogo!$H$4:$H$1502,_xlfn.IFNA(MATCH(C40,Catalogo!$C$4:$C$1502,0),-1))),"")</f>
        <v/>
      </c>
    </row>
    <row r="41" spans="3:5" x14ac:dyDescent="0.25">
      <c r="C41" s="65"/>
      <c r="D41" s="11" t="str">
        <f>IFERROR(INDEX(Catalogo!$E$4:$E$1502,_xlfn.IFNA(MATCH(C41,Catalogo!$C$4:$C$1502,0),-1)),"")</f>
        <v/>
      </c>
      <c r="E41" s="12" t="str">
        <f>IFERROR(_xlfn.CONCAT(INDEX(Catalogo!$G$4:$G$1502,_xlfn.IFNA(MATCH(C41,Catalogo!$C$4:$C$1502,0),-1)),"-",INDEX(Catalogo!$H$4:$H$1502,_xlfn.IFNA(MATCH(C41,Catalogo!$C$4:$C$1502,0),-1))),"")</f>
        <v/>
      </c>
    </row>
    <row r="42" spans="3:5" x14ac:dyDescent="0.25">
      <c r="C42" s="31"/>
      <c r="D42" s="11" t="str">
        <f>IFERROR(INDEX(Catalogo!$E$4:$E$1502,_xlfn.IFNA(MATCH(C42,Catalogo!$C$4:$C$1502,0),-1)),"")</f>
        <v/>
      </c>
      <c r="E42" s="12" t="str">
        <f>IFERROR(_xlfn.CONCAT(INDEX(Catalogo!$G$4:$G$1502,_xlfn.IFNA(MATCH(C42,Catalogo!$C$4:$C$1502,0),-1)),"-",INDEX(Catalogo!$H$4:$H$1502,_xlfn.IFNA(MATCH(C42,Catalogo!$C$4:$C$1502,0),-1))),"")</f>
        <v/>
      </c>
    </row>
    <row r="43" spans="3:5" x14ac:dyDescent="0.25">
      <c r="C43" s="31"/>
      <c r="D43" s="11" t="str">
        <f>IFERROR(INDEX(Catalogo!$E$4:$E$1502,_xlfn.IFNA(MATCH(C43,Catalogo!$C$4:$C$1502,0),-1)),"")</f>
        <v/>
      </c>
      <c r="E43" s="12" t="str">
        <f>IFERROR(_xlfn.CONCAT(INDEX(Catalogo!$G$4:$G$1502,_xlfn.IFNA(MATCH(C43,Catalogo!$C$4:$C$1502,0),-1)),"-",INDEX(Catalogo!$H$4:$H$1502,_xlfn.IFNA(MATCH(C43,Catalogo!$C$4:$C$1502,0),-1))),"")</f>
        <v/>
      </c>
    </row>
    <row r="44" spans="3:5" x14ac:dyDescent="0.25">
      <c r="C44" s="31"/>
      <c r="D44" s="11" t="str">
        <f>IFERROR(INDEX(Catalogo!$E$4:$E$1502,_xlfn.IFNA(MATCH(C44,Catalogo!$C$4:$C$1502,0),-1)),"")</f>
        <v/>
      </c>
      <c r="E44" s="12" t="str">
        <f>IFERROR(_xlfn.CONCAT(INDEX(Catalogo!$G$4:$G$1502,_xlfn.IFNA(MATCH(C44,Catalogo!$C$4:$C$1502,0),-1)),"-",INDEX(Catalogo!$H$4:$H$1502,_xlfn.IFNA(MATCH(C44,Catalogo!$C$4:$C$1502,0),-1))),"")</f>
        <v/>
      </c>
    </row>
    <row r="45" spans="3:5" x14ac:dyDescent="0.25">
      <c r="C45" s="31"/>
      <c r="D45" s="11" t="str">
        <f>IFERROR(INDEX(Catalogo!$E$4:$E$1502,_xlfn.IFNA(MATCH(C45,Catalogo!$C$4:$C$1502,0),-1)),"")</f>
        <v/>
      </c>
      <c r="E45" s="12" t="str">
        <f>IFERROR(_xlfn.CONCAT(INDEX(Catalogo!$G$4:$G$1502,_xlfn.IFNA(MATCH(C45,Catalogo!$C$4:$C$1502,0),-1)),"-",INDEX(Catalogo!$H$4:$H$1502,_xlfn.IFNA(MATCH(C45,Catalogo!$C$4:$C$1502,0),-1))),"")</f>
        <v/>
      </c>
    </row>
    <row r="46" spans="3:5" x14ac:dyDescent="0.25">
      <c r="C46" s="31"/>
      <c r="D46" s="11" t="str">
        <f>IFERROR(INDEX(Catalogo!$E$4:$E$1502,_xlfn.IFNA(MATCH(C46,Catalogo!$C$4:$C$1502,0),-1)),"")</f>
        <v/>
      </c>
      <c r="E46" s="12" t="str">
        <f>IFERROR(_xlfn.CONCAT(INDEX(Catalogo!$G$4:$G$1502,_xlfn.IFNA(MATCH(C46,Catalogo!$C$4:$C$1502,0),-1)),"-",INDEX(Catalogo!$H$4:$H$1502,_xlfn.IFNA(MATCH(C46,Catalogo!$C$4:$C$1502,0),-1))),"")</f>
        <v/>
      </c>
    </row>
    <row r="47" spans="3:5" x14ac:dyDescent="0.25">
      <c r="C47" s="31"/>
      <c r="D47" s="11" t="str">
        <f>IFERROR(INDEX(Catalogo!$E$4:$E$1502,_xlfn.IFNA(MATCH(C47,Catalogo!$C$4:$C$1502,0),-1)),"")</f>
        <v/>
      </c>
      <c r="E47" s="12" t="str">
        <f>IFERROR(_xlfn.CONCAT(INDEX(Catalogo!$G$4:$G$1502,_xlfn.IFNA(MATCH(C47,Catalogo!$C$4:$C$1502,0),-1)),"-",INDEX(Catalogo!$H$4:$H$1502,_xlfn.IFNA(MATCH(C47,Catalogo!$C$4:$C$1502,0),-1))),"")</f>
        <v/>
      </c>
    </row>
    <row r="48" spans="3:5" x14ac:dyDescent="0.25">
      <c r="C48" s="31"/>
      <c r="D48" s="11" t="str">
        <f>IFERROR(INDEX(Catalogo!$E$4:$E$1502,_xlfn.IFNA(MATCH(C48,Catalogo!$C$4:$C$1502,0),-1)),"")</f>
        <v/>
      </c>
      <c r="E48" s="12" t="str">
        <f>IFERROR(_xlfn.CONCAT(INDEX(Catalogo!$G$4:$G$1502,_xlfn.IFNA(MATCH(C48,Catalogo!$C$4:$C$1502,0),-1)),"-",INDEX(Catalogo!$H$4:$H$1502,_xlfn.IFNA(MATCH(C48,Catalogo!$C$4:$C$1502,0),-1))),"")</f>
        <v/>
      </c>
    </row>
    <row r="49" spans="3:5" x14ac:dyDescent="0.25">
      <c r="C49" s="69"/>
      <c r="D49" s="11" t="str">
        <f>IFERROR(INDEX(Catalogo!$E$4:$E$1502,_xlfn.IFNA(MATCH(C49,Catalogo!$C$4:$C$1502,0),-1)),"")</f>
        <v/>
      </c>
      <c r="E49" s="12" t="str">
        <f>IFERROR(_xlfn.CONCAT(INDEX(Catalogo!$G$4:$G$1502,_xlfn.IFNA(MATCH(C49,Catalogo!$C$4:$C$1502,0),-1)),"-",INDEX(Catalogo!$H$4:$H$1502,_xlfn.IFNA(MATCH(C49,Catalogo!$C$4:$C$1502,0),-1))),"")</f>
        <v/>
      </c>
    </row>
    <row r="50" spans="3:5" x14ac:dyDescent="0.25">
      <c r="C50" s="31"/>
      <c r="D50" s="11" t="str">
        <f>IFERROR(INDEX(Catalogo!$E$4:$E$1502,_xlfn.IFNA(MATCH(C50,Catalogo!$C$4:$C$1502,0),-1)),"")</f>
        <v/>
      </c>
      <c r="E50" s="12" t="str">
        <f>IFERROR(_xlfn.CONCAT(INDEX(Catalogo!$G$4:$G$1502,_xlfn.IFNA(MATCH(C50,Catalogo!$C$4:$C$1502,0),-1)),"-",INDEX(Catalogo!$H$4:$H$1502,_xlfn.IFNA(MATCH(C50,Catalogo!$C$4:$C$1502,0),-1))),"")</f>
        <v/>
      </c>
    </row>
    <row r="51" spans="3:5" x14ac:dyDescent="0.25">
      <c r="C51" s="68"/>
      <c r="D51" s="11" t="str">
        <f>IFERROR(INDEX(Catalogo!$E$4:$E$1502,_xlfn.IFNA(MATCH(C51,Catalogo!$C$4:$C$1502,0),-1)),"")</f>
        <v/>
      </c>
      <c r="E51" s="12" t="str">
        <f>IFERROR(_xlfn.CONCAT(INDEX(Catalogo!$G$4:$G$1502,_xlfn.IFNA(MATCH(C51,Catalogo!$C$4:$C$1502,0),-1)),"-",INDEX(Catalogo!$H$4:$H$1502,_xlfn.IFNA(MATCH(C51,Catalogo!$C$4:$C$1502,0),-1))),"")</f>
        <v/>
      </c>
    </row>
    <row r="52" spans="3:5" x14ac:dyDescent="0.25">
      <c r="C52" s="31"/>
      <c r="D52" s="11" t="str">
        <f>IFERROR(INDEX(Catalogo!$E$4:$E$1502,_xlfn.IFNA(MATCH(C52,Catalogo!$C$4:$C$1502,0),-1)),"")</f>
        <v/>
      </c>
      <c r="E52" s="12" t="str">
        <f>IFERROR(_xlfn.CONCAT(INDEX(Catalogo!$G$4:$G$1502,_xlfn.IFNA(MATCH(C52,Catalogo!$C$4:$C$1502,0),-1)),"-",INDEX(Catalogo!$H$4:$H$1502,_xlfn.IFNA(MATCH(C52,Catalogo!$C$4:$C$1502,0),-1))),"")</f>
        <v/>
      </c>
    </row>
    <row r="53" spans="3:5" x14ac:dyDescent="0.25">
      <c r="C53" s="31"/>
      <c r="D53" s="11" t="str">
        <f>IFERROR(INDEX(Catalogo!$E$4:$E$1502,_xlfn.IFNA(MATCH(C53,Catalogo!$C$4:$C$1502,0),-1)),"")</f>
        <v/>
      </c>
      <c r="E53" s="12" t="str">
        <f>IFERROR(_xlfn.CONCAT(INDEX(Catalogo!$G$4:$G$1502,_xlfn.IFNA(MATCH(C53,Catalogo!$C$4:$C$1502,0),-1)),"-",INDEX(Catalogo!$H$4:$H$1502,_xlfn.IFNA(MATCH(C53,Catalogo!$C$4:$C$1502,0),-1))),"")</f>
        <v/>
      </c>
    </row>
    <row r="54" spans="3:5" x14ac:dyDescent="0.25">
      <c r="C54" s="31"/>
      <c r="D54" s="11" t="str">
        <f>IFERROR(INDEX(Catalogo!$E$4:$E$1502,_xlfn.IFNA(MATCH(C54,Catalogo!$C$4:$C$1502,0),-1)),"")</f>
        <v/>
      </c>
      <c r="E54" s="12" t="str">
        <f>IFERROR(_xlfn.CONCAT(INDEX(Catalogo!$G$4:$G$1502,_xlfn.IFNA(MATCH(C54,Catalogo!$C$4:$C$1502,0),-1)),"-",INDEX(Catalogo!$H$4:$H$1502,_xlfn.IFNA(MATCH(C54,Catalogo!$C$4:$C$1502,0),-1))),"")</f>
        <v/>
      </c>
    </row>
    <row r="55" spans="3:5" x14ac:dyDescent="0.25">
      <c r="C55" s="31"/>
      <c r="D55" s="11" t="str">
        <f>IFERROR(INDEX(Catalogo!$E$4:$E$1502,_xlfn.IFNA(MATCH(C55,Catalogo!$C$4:$C$1502,0),-1)),"")</f>
        <v/>
      </c>
      <c r="E55" s="12" t="str">
        <f>IFERROR(_xlfn.CONCAT(INDEX(Catalogo!$G$4:$G$1502,_xlfn.IFNA(MATCH(C55,Catalogo!$C$4:$C$1502,0),-1)),"-",INDEX(Catalogo!$H$4:$H$1502,_xlfn.IFNA(MATCH(C55,Catalogo!$C$4:$C$1502,0),-1))),"")</f>
        <v/>
      </c>
    </row>
    <row r="56" spans="3:5" x14ac:dyDescent="0.25">
      <c r="C56" s="31"/>
      <c r="D56" s="11" t="str">
        <f>IFERROR(INDEX(Catalogo!$E$4:$E$1502,_xlfn.IFNA(MATCH(C56,Catalogo!$C$4:$C$1502,0),-1)),"")</f>
        <v/>
      </c>
      <c r="E56" s="12" t="str">
        <f>IFERROR(_xlfn.CONCAT(INDEX(Catalogo!$G$4:$G$1502,_xlfn.IFNA(MATCH(C56,Catalogo!$C$4:$C$1502,0),-1)),"-",INDEX(Catalogo!$H$4:$H$1502,_xlfn.IFNA(MATCH(C56,Catalogo!$C$4:$C$1502,0),-1))),"")</f>
        <v/>
      </c>
    </row>
    <row r="57" spans="3:5" x14ac:dyDescent="0.25">
      <c r="C57" s="68"/>
      <c r="D57" s="11" t="str">
        <f>IFERROR(INDEX(Catalogo!$E$4:$E$1502,_xlfn.IFNA(MATCH(C57,Catalogo!$C$4:$C$1502,0),-1)),"")</f>
        <v/>
      </c>
      <c r="E57" s="12" t="str">
        <f>IFERROR(_xlfn.CONCAT(INDEX(Catalogo!$G$4:$G$1502,_xlfn.IFNA(MATCH(C57,Catalogo!$C$4:$C$1502,0),-1)),"-",INDEX(Catalogo!$H$4:$H$1502,_xlfn.IFNA(MATCH(C57,Catalogo!$C$4:$C$1502,0),-1))),"")</f>
        <v/>
      </c>
    </row>
    <row r="58" spans="3:5" x14ac:dyDescent="0.25">
      <c r="C58" s="31"/>
      <c r="D58" s="11" t="str">
        <f>IFERROR(INDEX(Catalogo!$E$4:$E$1502,_xlfn.IFNA(MATCH(C58,Catalogo!$C$4:$C$1502,0),-1)),"")</f>
        <v/>
      </c>
      <c r="E58" s="12" t="str">
        <f>IFERROR(_xlfn.CONCAT(INDEX(Catalogo!$G$4:$G$1502,_xlfn.IFNA(MATCH(C58,Catalogo!$C$4:$C$1502,0),-1)),"-",INDEX(Catalogo!$H$4:$H$1502,_xlfn.IFNA(MATCH(C58,Catalogo!$C$4:$C$1502,0),-1))),"")</f>
        <v/>
      </c>
    </row>
    <row r="59" spans="3:5" x14ac:dyDescent="0.25">
      <c r="C59" s="31"/>
      <c r="D59" s="11" t="str">
        <f>IFERROR(INDEX(Catalogo!$E$4:$E$1502,_xlfn.IFNA(MATCH(C59,Catalogo!$C$4:$C$1502,0),-1)),"")</f>
        <v/>
      </c>
      <c r="E59" s="12" t="str">
        <f>IFERROR(_xlfn.CONCAT(INDEX(Catalogo!$G$4:$G$1502,_xlfn.IFNA(MATCH(C59,Catalogo!$C$4:$C$1502,0),-1)),"-",INDEX(Catalogo!$H$4:$H$1502,_xlfn.IFNA(MATCH(C59,Catalogo!$C$4:$C$1502,0),-1))),"")</f>
        <v/>
      </c>
    </row>
    <row r="60" spans="3:5" x14ac:dyDescent="0.25">
      <c r="C60" s="31"/>
      <c r="D60" s="11" t="str">
        <f>IFERROR(INDEX(Catalogo!$E$4:$E$1502,_xlfn.IFNA(MATCH(C60,Catalogo!$C$4:$C$1502,0),-1)),"")</f>
        <v/>
      </c>
      <c r="E60" s="12" t="str">
        <f>IFERROR(_xlfn.CONCAT(INDEX(Catalogo!$G$4:$G$1502,_xlfn.IFNA(MATCH(C60,Catalogo!$C$4:$C$1502,0),-1)),"-",INDEX(Catalogo!$H$4:$H$1502,_xlfn.IFNA(MATCH(C60,Catalogo!$C$4:$C$1502,0),-1))),"")</f>
        <v/>
      </c>
    </row>
    <row r="61" spans="3:5" x14ac:dyDescent="0.25">
      <c r="C61" s="31"/>
      <c r="D61" s="11" t="str">
        <f>IFERROR(INDEX(Catalogo!$E$4:$E$1502,_xlfn.IFNA(MATCH(C61,Catalogo!$C$4:$C$1502,0),-1)),"")</f>
        <v/>
      </c>
      <c r="E61" s="12" t="str">
        <f>IFERROR(_xlfn.CONCAT(INDEX(Catalogo!$G$4:$G$1502,_xlfn.IFNA(MATCH(C61,Catalogo!$C$4:$C$1502,0),-1)),"-",INDEX(Catalogo!$H$4:$H$1502,_xlfn.IFNA(MATCH(C61,Catalogo!$C$4:$C$1502,0),-1))),"")</f>
        <v/>
      </c>
    </row>
    <row r="62" spans="3:5" x14ac:dyDescent="0.25">
      <c r="C62" s="31"/>
      <c r="D62" s="11" t="str">
        <f>IFERROR(INDEX(Catalogo!$E$4:$E$1502,_xlfn.IFNA(MATCH(C62,Catalogo!$C$4:$C$1502,0),-1)),"")</f>
        <v/>
      </c>
      <c r="E62" s="12" t="str">
        <f>IFERROR(_xlfn.CONCAT(INDEX(Catalogo!$G$4:$G$1502,_xlfn.IFNA(MATCH(C62,Catalogo!$C$4:$C$1502,0),-1)),"-",INDEX(Catalogo!$H$4:$H$1502,_xlfn.IFNA(MATCH(C62,Catalogo!$C$4:$C$1502,0),-1))),"")</f>
        <v/>
      </c>
    </row>
    <row r="63" spans="3:5" x14ac:dyDescent="0.25">
      <c r="C63" s="68"/>
      <c r="D63" s="11" t="str">
        <f>IFERROR(INDEX(Catalogo!$E$4:$E$1502,_xlfn.IFNA(MATCH(C63,Catalogo!$C$4:$C$1502,0),-1)),"")</f>
        <v/>
      </c>
      <c r="E63" s="12" t="str">
        <f>IFERROR(_xlfn.CONCAT(INDEX(Catalogo!$G$4:$G$1502,_xlfn.IFNA(MATCH(C63,Catalogo!$C$4:$C$1502,0),-1)),"-",INDEX(Catalogo!$H$4:$H$1502,_xlfn.IFNA(MATCH(C63,Catalogo!$C$4:$C$1502,0),-1))),"")</f>
        <v/>
      </c>
    </row>
    <row r="64" spans="3:5" x14ac:dyDescent="0.25">
      <c r="C64" s="31"/>
      <c r="D64" s="11" t="str">
        <f>IFERROR(INDEX(Catalogo!$E$4:$E$1502,_xlfn.IFNA(MATCH(C64,Catalogo!$C$4:$C$1502,0),-1)),"")</f>
        <v/>
      </c>
      <c r="E64" s="12" t="str">
        <f>IFERROR(_xlfn.CONCAT(INDEX(Catalogo!$G$4:$G$1502,_xlfn.IFNA(MATCH(C64,Catalogo!$C$4:$C$1502,0),-1)),"-",INDEX(Catalogo!$H$4:$H$1502,_xlfn.IFNA(MATCH(C64,Catalogo!$C$4:$C$1502,0),-1))),"")</f>
        <v/>
      </c>
    </row>
    <row r="65" spans="3:5" x14ac:dyDescent="0.25">
      <c r="C65" s="31"/>
      <c r="D65" s="11" t="str">
        <f>IFERROR(INDEX(Catalogo!$E$4:$E$1502,_xlfn.IFNA(MATCH(C65,Catalogo!$C$4:$C$1502,0),-1)),"")</f>
        <v/>
      </c>
      <c r="E65" s="12" t="str">
        <f>IFERROR(_xlfn.CONCAT(INDEX(Catalogo!$G$4:$G$1502,_xlfn.IFNA(MATCH(C65,Catalogo!$C$4:$C$1502,0),-1)),"-",INDEX(Catalogo!$H$4:$H$1502,_xlfn.IFNA(MATCH(C65,Catalogo!$C$4:$C$1502,0),-1))),"")</f>
        <v/>
      </c>
    </row>
    <row r="66" spans="3:5" x14ac:dyDescent="0.25">
      <c r="C66" s="31"/>
      <c r="D66" s="11" t="str">
        <f>IFERROR(INDEX(Catalogo!$E$4:$E$1502,_xlfn.IFNA(MATCH(C66,Catalogo!$C$4:$C$1502,0),-1)),"")</f>
        <v/>
      </c>
      <c r="E66" s="12" t="str">
        <f>IFERROR(_xlfn.CONCAT(INDEX(Catalogo!$G$4:$G$1502,_xlfn.IFNA(MATCH(C66,Catalogo!$C$4:$C$1502,0),-1)),"-",INDEX(Catalogo!$H$4:$H$1502,_xlfn.IFNA(MATCH(C66,Catalogo!$C$4:$C$1502,0),-1))),"")</f>
        <v/>
      </c>
    </row>
    <row r="67" spans="3:5" x14ac:dyDescent="0.25">
      <c r="C67" s="31"/>
      <c r="D67" s="11" t="str">
        <f>IFERROR(INDEX(Catalogo!$E$4:$E$1502,_xlfn.IFNA(MATCH(C67,Catalogo!$C$4:$C$1502,0),-1)),"")</f>
        <v/>
      </c>
      <c r="E67" s="12" t="str">
        <f>IFERROR(_xlfn.CONCAT(INDEX(Catalogo!$G$4:$G$1502,_xlfn.IFNA(MATCH(C67,Catalogo!$C$4:$C$1502,0),-1)),"-",INDEX(Catalogo!$H$4:$H$1502,_xlfn.IFNA(MATCH(C67,Catalogo!$C$4:$C$1502,0),-1))),"")</f>
        <v/>
      </c>
    </row>
    <row r="68" spans="3:5" x14ac:dyDescent="0.25">
      <c r="C68" s="68"/>
      <c r="D68" s="11" t="str">
        <f>IFERROR(INDEX(Catalogo!$E$4:$E$1502,_xlfn.IFNA(MATCH(C68,Catalogo!$C$4:$C$1502,0),-1)),"")</f>
        <v/>
      </c>
      <c r="E68" s="12" t="str">
        <f>IFERROR(_xlfn.CONCAT(INDEX(Catalogo!$G$4:$G$1502,_xlfn.IFNA(MATCH(C68,Catalogo!$C$4:$C$1502,0),-1)),"-",INDEX(Catalogo!$H$4:$H$1502,_xlfn.IFNA(MATCH(C68,Catalogo!$C$4:$C$1502,0),-1))),"")</f>
        <v/>
      </c>
    </row>
    <row r="69" spans="3:5" x14ac:dyDescent="0.25">
      <c r="C69" s="31"/>
      <c r="D69" s="11" t="str">
        <f>IFERROR(INDEX(Catalogo!$E$4:$E$1502,_xlfn.IFNA(MATCH(C69,Catalogo!$C$4:$C$1502,0),-1)),"")</f>
        <v/>
      </c>
      <c r="E69" s="12" t="str">
        <f>IFERROR(_xlfn.CONCAT(INDEX(Catalogo!$G$4:$G$1502,_xlfn.IFNA(MATCH(C69,Catalogo!$C$4:$C$1502,0),-1)),"-",INDEX(Catalogo!$H$4:$H$1502,_xlfn.IFNA(MATCH(C69,Catalogo!$C$4:$C$1502,0),-1))),"")</f>
        <v/>
      </c>
    </row>
    <row r="70" spans="3:5" x14ac:dyDescent="0.25">
      <c r="C70" s="31"/>
      <c r="D70" s="11" t="str">
        <f>IFERROR(INDEX(Catalogo!$E$4:$E$1502,_xlfn.IFNA(MATCH(C70,Catalogo!$C$4:$C$1502,0),-1)),"")</f>
        <v/>
      </c>
      <c r="E70" s="12" t="str">
        <f>IFERROR(_xlfn.CONCAT(INDEX(Catalogo!$G$4:$G$1502,_xlfn.IFNA(MATCH(C70,Catalogo!$C$4:$C$1502,0),-1)),"-",INDEX(Catalogo!$H$4:$H$1502,_xlfn.IFNA(MATCH(C70,Catalogo!$C$4:$C$1502,0),-1))),"")</f>
        <v/>
      </c>
    </row>
    <row r="71" spans="3:5" x14ac:dyDescent="0.25">
      <c r="C71" s="31"/>
      <c r="D71" s="11" t="str">
        <f>IFERROR(INDEX(Catalogo!$E$4:$E$1502,_xlfn.IFNA(MATCH(C71,Catalogo!$C$4:$C$1502,0),-1)),"")</f>
        <v/>
      </c>
      <c r="E71" s="12" t="str">
        <f>IFERROR(_xlfn.CONCAT(INDEX(Catalogo!$G$4:$G$1502,_xlfn.IFNA(MATCH(C71,Catalogo!$C$4:$C$1502,0),-1)),"-",INDEX(Catalogo!$H$4:$H$1502,_xlfn.IFNA(MATCH(C71,Catalogo!$C$4:$C$1502,0),-1))),"")</f>
        <v/>
      </c>
    </row>
    <row r="72" spans="3:5" x14ac:dyDescent="0.25">
      <c r="C72" s="31"/>
      <c r="D72" s="11" t="str">
        <f>IFERROR(INDEX(Catalogo!$E$4:$E$1502,_xlfn.IFNA(MATCH(C72,Catalogo!$C$4:$C$1502,0),-1)),"")</f>
        <v/>
      </c>
      <c r="E72" s="12" t="str">
        <f>IFERROR(_xlfn.CONCAT(INDEX(Catalogo!$G$4:$G$1502,_xlfn.IFNA(MATCH(C72,Catalogo!$C$4:$C$1502,0),-1)),"-",INDEX(Catalogo!$H$4:$H$1502,_xlfn.IFNA(MATCH(C72,Catalogo!$C$4:$C$1502,0),-1))),"")</f>
        <v/>
      </c>
    </row>
    <row r="73" spans="3:5" x14ac:dyDescent="0.25">
      <c r="C73" s="68"/>
      <c r="D73" s="11" t="str">
        <f>IFERROR(INDEX(Catalogo!$E$4:$E$1502,_xlfn.IFNA(MATCH(C73,Catalogo!$C$4:$C$1502,0),-1)),"")</f>
        <v/>
      </c>
      <c r="E73" s="12" t="str">
        <f>IFERROR(_xlfn.CONCAT(INDEX(Catalogo!$G$4:$G$1502,_xlfn.IFNA(MATCH(C73,Catalogo!$C$4:$C$1502,0),-1)),"-",INDEX(Catalogo!$H$4:$H$1502,_xlfn.IFNA(MATCH(C73,Catalogo!$C$4:$C$1502,0),-1))),"")</f>
        <v/>
      </c>
    </row>
    <row r="74" spans="3:5" x14ac:dyDescent="0.25">
      <c r="C74" s="31"/>
      <c r="D74" s="11" t="str">
        <f>IFERROR(INDEX(Catalogo!$E$4:$E$1502,_xlfn.IFNA(MATCH(C74,Catalogo!$C$4:$C$1502,0),-1)),"")</f>
        <v/>
      </c>
      <c r="E74" s="12" t="str">
        <f>IFERROR(_xlfn.CONCAT(INDEX(Catalogo!$G$4:$G$1502,_xlfn.IFNA(MATCH(C74,Catalogo!$C$4:$C$1502,0),-1)),"-",INDEX(Catalogo!$H$4:$H$1502,_xlfn.IFNA(MATCH(C74,Catalogo!$C$4:$C$1502,0),-1))),"")</f>
        <v/>
      </c>
    </row>
    <row r="75" spans="3:5" x14ac:dyDescent="0.25">
      <c r="C75" s="31"/>
      <c r="D75" s="11" t="str">
        <f>IFERROR(INDEX(Catalogo!$E$4:$E$1502,_xlfn.IFNA(MATCH(C75,Catalogo!$C$4:$C$1502,0),-1)),"")</f>
        <v/>
      </c>
      <c r="E75" s="12" t="str">
        <f>IFERROR(_xlfn.CONCAT(INDEX(Catalogo!$G$4:$G$1502,_xlfn.IFNA(MATCH(C75,Catalogo!$C$4:$C$1502,0),-1)),"-",INDEX(Catalogo!$H$4:$H$1502,_xlfn.IFNA(MATCH(C75,Catalogo!$C$4:$C$1502,0),-1))),"")</f>
        <v/>
      </c>
    </row>
    <row r="76" spans="3:5" x14ac:dyDescent="0.25">
      <c r="C76" s="31"/>
      <c r="D76" s="11" t="str">
        <f>IFERROR(INDEX(Catalogo!$E$4:$E$1502,_xlfn.IFNA(MATCH(C76,Catalogo!$C$4:$C$1502,0),-1)),"")</f>
        <v/>
      </c>
      <c r="E76" s="12" t="str">
        <f>IFERROR(_xlfn.CONCAT(INDEX(Catalogo!$G$4:$G$1502,_xlfn.IFNA(MATCH(C76,Catalogo!$C$4:$C$1502,0),-1)),"-",INDEX(Catalogo!$H$4:$H$1502,_xlfn.IFNA(MATCH(C76,Catalogo!$C$4:$C$1502,0),-1))),"")</f>
        <v/>
      </c>
    </row>
    <row r="77" spans="3:5" x14ac:dyDescent="0.25">
      <c r="C77" s="66"/>
      <c r="D77" s="11" t="str">
        <f>IFERROR(INDEX(Catalogo!$E$4:$E$1502,_xlfn.IFNA(MATCH(C77,Catalogo!$C$4:$C$1502,0),-1)),"")</f>
        <v/>
      </c>
      <c r="E77" s="12" t="str">
        <f>IFERROR(_xlfn.CONCAT(INDEX(Catalogo!$G$4:$G$1502,_xlfn.IFNA(MATCH(C77,Catalogo!$C$4:$C$1502,0),-1)),"-",INDEX(Catalogo!$H$4:$H$1502,_xlfn.IFNA(MATCH(C77,Catalogo!$C$4:$C$1502,0),-1))),"")</f>
        <v/>
      </c>
    </row>
    <row r="78" spans="3:5" x14ac:dyDescent="0.25">
      <c r="C78" s="31"/>
      <c r="D78" s="11" t="str">
        <f>IFERROR(INDEX(Catalogo!$E$4:$E$1502,_xlfn.IFNA(MATCH(C78,Catalogo!$C$4:$C$1502,0),-1)),"")</f>
        <v/>
      </c>
      <c r="E78" s="12" t="str">
        <f>IFERROR(_xlfn.CONCAT(INDEX(Catalogo!$G$4:$G$1502,_xlfn.IFNA(MATCH(C78,Catalogo!$C$4:$C$1502,0),-1)),"-",INDEX(Catalogo!$H$4:$H$1502,_xlfn.IFNA(MATCH(C78,Catalogo!$C$4:$C$1502,0),-1))),"")</f>
        <v/>
      </c>
    </row>
    <row r="79" spans="3:5" x14ac:dyDescent="0.25">
      <c r="C79" s="31"/>
      <c r="D79" s="11" t="str">
        <f>IFERROR(INDEX(Catalogo!$E$4:$E$1502,_xlfn.IFNA(MATCH(C79,Catalogo!$C$4:$C$1502,0),-1)),"")</f>
        <v/>
      </c>
      <c r="E79" s="12" t="str">
        <f>IFERROR(_xlfn.CONCAT(INDEX(Catalogo!$G$4:$G$1502,_xlfn.IFNA(MATCH(C79,Catalogo!$C$4:$C$1502,0),-1)),"-",INDEX(Catalogo!$H$4:$H$1502,_xlfn.IFNA(MATCH(C79,Catalogo!$C$4:$C$1502,0),-1))),"")</f>
        <v/>
      </c>
    </row>
    <row r="80" spans="3:5" x14ac:dyDescent="0.25">
      <c r="C80" s="31"/>
      <c r="D80" s="11" t="str">
        <f>IFERROR(INDEX(Catalogo!$E$4:$E$1502,_xlfn.IFNA(MATCH(C80,Catalogo!$C$4:$C$1502,0),-1)),"")</f>
        <v/>
      </c>
      <c r="E80" s="12" t="str">
        <f>IFERROR(_xlfn.CONCAT(INDEX(Catalogo!$G$4:$G$1502,_xlfn.IFNA(MATCH(C80,Catalogo!$C$4:$C$1502,0),-1)),"-",INDEX(Catalogo!$H$4:$H$1502,_xlfn.IFNA(MATCH(C80,Catalogo!$C$4:$C$1502,0),-1))),"")</f>
        <v/>
      </c>
    </row>
    <row r="81" spans="3:5" x14ac:dyDescent="0.25">
      <c r="C81" s="66"/>
      <c r="D81" s="11" t="str">
        <f>IFERROR(INDEX(Catalogo!$E$4:$E$1502,_xlfn.IFNA(MATCH(C81,Catalogo!$C$4:$C$1502,0),-1)),"")</f>
        <v/>
      </c>
      <c r="E81" s="12" t="str">
        <f>IFERROR(_xlfn.CONCAT(INDEX(Catalogo!$G$4:$G$1502,_xlfn.IFNA(MATCH(C81,Catalogo!$C$4:$C$1502,0),-1)),"-",INDEX(Catalogo!$H$4:$H$1502,_xlfn.IFNA(MATCH(C81,Catalogo!$C$4:$C$1502,0),-1))),"")</f>
        <v/>
      </c>
    </row>
    <row r="82" spans="3:5" x14ac:dyDescent="0.25">
      <c r="C82" s="68"/>
      <c r="D82" s="11" t="str">
        <f>IFERROR(INDEX(Catalogo!$E$4:$E$1502,_xlfn.IFNA(MATCH(C82,Catalogo!$C$4:$C$1502,0),-1)),"")</f>
        <v/>
      </c>
      <c r="E82" s="12" t="str">
        <f>IFERROR(_xlfn.CONCAT(INDEX(Catalogo!$G$4:$G$1502,_xlfn.IFNA(MATCH(C82,Catalogo!$C$4:$C$1502,0),-1)),"-",INDEX(Catalogo!$H$4:$H$1502,_xlfn.IFNA(MATCH(C82,Catalogo!$C$4:$C$1502,0),-1))),"")</f>
        <v/>
      </c>
    </row>
    <row r="83" spans="3:5" x14ac:dyDescent="0.25">
      <c r="C83" s="31"/>
      <c r="D83" s="11" t="str">
        <f>IFERROR(INDEX(Catalogo!$E$4:$E$1502,_xlfn.IFNA(MATCH(C83,Catalogo!$C$4:$C$1502,0),-1)),"")</f>
        <v/>
      </c>
      <c r="E83" s="12" t="str">
        <f>IFERROR(_xlfn.CONCAT(INDEX(Catalogo!$G$4:$G$1502,_xlfn.IFNA(MATCH(C83,Catalogo!$C$4:$C$1502,0),-1)),"-",INDEX(Catalogo!$H$4:$H$1502,_xlfn.IFNA(MATCH(C83,Catalogo!$C$4:$C$1502,0),-1))),"")</f>
        <v/>
      </c>
    </row>
    <row r="84" spans="3:5" x14ac:dyDescent="0.25">
      <c r="C84" s="68"/>
      <c r="D84" s="11" t="str">
        <f>IFERROR(INDEX(Catalogo!$E$4:$E$1502,_xlfn.IFNA(MATCH(C84,Catalogo!$C$4:$C$1502,0),-1)),"")</f>
        <v/>
      </c>
      <c r="E84" s="12" t="str">
        <f>IFERROR(_xlfn.CONCAT(INDEX(Catalogo!$G$4:$G$1502,_xlfn.IFNA(MATCH(C84,Catalogo!$C$4:$C$1502,0),-1)),"-",INDEX(Catalogo!$H$4:$H$1502,_xlfn.IFNA(MATCH(C84,Catalogo!$C$4:$C$1502,0),-1))),"")</f>
        <v/>
      </c>
    </row>
    <row r="85" spans="3:5" x14ac:dyDescent="0.25">
      <c r="C85" s="68"/>
      <c r="D85" s="11" t="str">
        <f>IFERROR(INDEX(Catalogo!$E$4:$E$1502,_xlfn.IFNA(MATCH(C85,Catalogo!$C$4:$C$1502,0),-1)),"")</f>
        <v/>
      </c>
      <c r="E85" s="12" t="str">
        <f>IFERROR(_xlfn.CONCAT(INDEX(Catalogo!$G$4:$G$1502,_xlfn.IFNA(MATCH(C85,Catalogo!$C$4:$C$1502,0),-1)),"-",INDEX(Catalogo!$H$4:$H$1502,_xlfn.IFNA(MATCH(C85,Catalogo!$C$4:$C$1502,0),-1))),"")</f>
        <v/>
      </c>
    </row>
    <row r="86" spans="3:5" x14ac:dyDescent="0.25">
      <c r="C86" s="31"/>
      <c r="D86" s="11" t="str">
        <f>IFERROR(INDEX(Catalogo!$E$4:$E$1502,_xlfn.IFNA(MATCH(C86,Catalogo!$C$4:$C$1502,0),-1)),"")</f>
        <v/>
      </c>
      <c r="E86" s="12" t="str">
        <f>IFERROR(_xlfn.CONCAT(INDEX(Catalogo!$G$4:$G$1502,_xlfn.IFNA(MATCH(C86,Catalogo!$C$4:$C$1502,0),-1)),"-",INDEX(Catalogo!$H$4:$H$1502,_xlfn.IFNA(MATCH(C86,Catalogo!$C$4:$C$1502,0),-1))),"")</f>
        <v/>
      </c>
    </row>
    <row r="87" spans="3:5" x14ac:dyDescent="0.25">
      <c r="C87" s="31"/>
      <c r="D87" s="11" t="str">
        <f>IFERROR(INDEX(Catalogo!$E$4:$E$1502,_xlfn.IFNA(MATCH(C87,Catalogo!$C$4:$C$1502,0),-1)),"")</f>
        <v/>
      </c>
      <c r="E87" s="12" t="str">
        <f>IFERROR(_xlfn.CONCAT(INDEX(Catalogo!$G$4:$G$1502,_xlfn.IFNA(MATCH(C87,Catalogo!$C$4:$C$1502,0),-1)),"-",INDEX(Catalogo!$H$4:$H$1502,_xlfn.IFNA(MATCH(C87,Catalogo!$C$4:$C$1502,0),-1))),"")</f>
        <v/>
      </c>
    </row>
    <row r="88" spans="3:5" x14ac:dyDescent="0.25">
      <c r="C88" s="31"/>
      <c r="D88" s="11" t="str">
        <f>IFERROR(INDEX(Catalogo!$E$4:$E$1502,_xlfn.IFNA(MATCH(C88,Catalogo!$C$4:$C$1502,0),-1)),"")</f>
        <v/>
      </c>
      <c r="E88" s="12" t="str">
        <f>IFERROR(_xlfn.CONCAT(INDEX(Catalogo!$G$4:$G$1502,_xlfn.IFNA(MATCH(C88,Catalogo!$C$4:$C$1502,0),-1)),"-",INDEX(Catalogo!$H$4:$H$1502,_xlfn.IFNA(MATCH(C88,Catalogo!$C$4:$C$1502,0),-1))),"")</f>
        <v/>
      </c>
    </row>
    <row r="89" spans="3:5" x14ac:dyDescent="0.25">
      <c r="C89" s="68"/>
      <c r="D89" s="11" t="str">
        <f>IFERROR(INDEX(Catalogo!$E$4:$E$1502,_xlfn.IFNA(MATCH(C89,Catalogo!$C$4:$C$1502,0),-1)),"")</f>
        <v/>
      </c>
      <c r="E89" s="12" t="str">
        <f>IFERROR(_xlfn.CONCAT(INDEX(Catalogo!$G$4:$G$1502,_xlfn.IFNA(MATCH(C89,Catalogo!$C$4:$C$1502,0),-1)),"-",INDEX(Catalogo!$H$4:$H$1502,_xlfn.IFNA(MATCH(C89,Catalogo!$C$4:$C$1502,0),-1))),"")</f>
        <v/>
      </c>
    </row>
    <row r="90" spans="3:5" x14ac:dyDescent="0.25">
      <c r="C90" s="68"/>
      <c r="D90" s="11" t="str">
        <f>IFERROR(INDEX(Catalogo!$E$4:$E$1502,_xlfn.IFNA(MATCH(C90,Catalogo!$C$4:$C$1502,0),-1)),"")</f>
        <v/>
      </c>
      <c r="E90" s="12" t="str">
        <f>IFERROR(_xlfn.CONCAT(INDEX(Catalogo!$G$4:$G$1502,_xlfn.IFNA(MATCH(C90,Catalogo!$C$4:$C$1502,0),-1)),"-",INDEX(Catalogo!$H$4:$H$1502,_xlfn.IFNA(MATCH(C90,Catalogo!$C$4:$C$1502,0),-1))),"")</f>
        <v/>
      </c>
    </row>
    <row r="91" spans="3:5" x14ac:dyDescent="0.25">
      <c r="C91" s="31"/>
      <c r="D91" s="11" t="str">
        <f>IFERROR(INDEX(Catalogo!$E$4:$E$1502,_xlfn.IFNA(MATCH(C91,Catalogo!$C$4:$C$1502,0),-1)),"")</f>
        <v/>
      </c>
      <c r="E91" s="12" t="str">
        <f>IFERROR(_xlfn.CONCAT(INDEX(Catalogo!$G$4:$G$1502,_xlfn.IFNA(MATCH(C91,Catalogo!$C$4:$C$1502,0),-1)),"-",INDEX(Catalogo!$H$4:$H$1502,_xlfn.IFNA(MATCH(C91,Catalogo!$C$4:$C$1502,0),-1))),"")</f>
        <v/>
      </c>
    </row>
    <row r="92" spans="3:5" x14ac:dyDescent="0.25">
      <c r="C92" s="68"/>
      <c r="D92" s="11" t="str">
        <f>IFERROR(INDEX(Catalogo!$E$4:$E$1502,_xlfn.IFNA(MATCH(C92,Catalogo!$C$4:$C$1502,0),-1)),"")</f>
        <v/>
      </c>
      <c r="E92" s="12" t="str">
        <f>IFERROR(_xlfn.CONCAT(INDEX(Catalogo!$G$4:$G$1502,_xlfn.IFNA(MATCH(C92,Catalogo!$C$4:$C$1502,0),-1)),"-",INDEX(Catalogo!$H$4:$H$1502,_xlfn.IFNA(MATCH(C92,Catalogo!$C$4:$C$1502,0),-1))),"")</f>
        <v/>
      </c>
    </row>
    <row r="93" spans="3:5" x14ac:dyDescent="0.25">
      <c r="C93" s="68"/>
      <c r="D93" s="11" t="str">
        <f>IFERROR(INDEX(Catalogo!$E$4:$E$1502,_xlfn.IFNA(MATCH(C93,Catalogo!$C$4:$C$1502,0),-1)),"")</f>
        <v/>
      </c>
      <c r="E93" s="12" t="str">
        <f>IFERROR(_xlfn.CONCAT(INDEX(Catalogo!$G$4:$G$1502,_xlfn.IFNA(MATCH(C93,Catalogo!$C$4:$C$1502,0),-1)),"-",INDEX(Catalogo!$H$4:$H$1502,_xlfn.IFNA(MATCH(C93,Catalogo!$C$4:$C$1502,0),-1))),"")</f>
        <v/>
      </c>
    </row>
    <row r="94" spans="3:5" x14ac:dyDescent="0.25">
      <c r="C94" s="68"/>
      <c r="D94" s="11" t="str">
        <f>IFERROR(INDEX(Catalogo!$E$4:$E$1502,_xlfn.IFNA(MATCH(C94,Catalogo!$C$4:$C$1502,0),-1)),"")</f>
        <v/>
      </c>
      <c r="E94" s="12" t="str">
        <f>IFERROR(_xlfn.CONCAT(INDEX(Catalogo!$G$4:$G$1502,_xlfn.IFNA(MATCH(C94,Catalogo!$C$4:$C$1502,0),-1)),"-",INDEX(Catalogo!$H$4:$H$1502,_xlfn.IFNA(MATCH(C94,Catalogo!$C$4:$C$1502,0),-1))),"")</f>
        <v/>
      </c>
    </row>
    <row r="95" spans="3:5" x14ac:dyDescent="0.25">
      <c r="C95" s="68"/>
      <c r="D95" s="11" t="str">
        <f>IFERROR(INDEX(Catalogo!$E$4:$E$1502,_xlfn.IFNA(MATCH(C95,Catalogo!$C$4:$C$1502,0),-1)),"")</f>
        <v/>
      </c>
      <c r="E95" s="12" t="str">
        <f>IFERROR(_xlfn.CONCAT(INDEX(Catalogo!$G$4:$G$1502,_xlfn.IFNA(MATCH(C95,Catalogo!$C$4:$C$1502,0),-1)),"-",INDEX(Catalogo!$H$4:$H$1502,_xlfn.IFNA(MATCH(C95,Catalogo!$C$4:$C$1502,0),-1))),"")</f>
        <v/>
      </c>
    </row>
    <row r="96" spans="3:5" x14ac:dyDescent="0.25">
      <c r="C96" s="68"/>
      <c r="D96" s="11" t="str">
        <f>IFERROR(INDEX(Catalogo!$E$4:$E$1502,_xlfn.IFNA(MATCH(C96,Catalogo!$C$4:$C$1502,0),-1)),"")</f>
        <v/>
      </c>
      <c r="E96" s="12" t="str">
        <f>IFERROR(_xlfn.CONCAT(INDEX(Catalogo!$G$4:$G$1502,_xlfn.IFNA(MATCH(C96,Catalogo!$C$4:$C$1502,0),-1)),"-",INDEX(Catalogo!$H$4:$H$1502,_xlfn.IFNA(MATCH(C96,Catalogo!$C$4:$C$1502,0),-1))),"")</f>
        <v/>
      </c>
    </row>
    <row r="97" spans="3:5" x14ac:dyDescent="0.25">
      <c r="C97" s="68"/>
      <c r="D97" s="11" t="str">
        <f>IFERROR(INDEX(Catalogo!$E$4:$E$1502,_xlfn.IFNA(MATCH(C97,Catalogo!$C$4:$C$1502,0),-1)),"")</f>
        <v/>
      </c>
      <c r="E97" s="12" t="str">
        <f>IFERROR(_xlfn.CONCAT(INDEX(Catalogo!$G$4:$G$1502,_xlfn.IFNA(MATCH(C97,Catalogo!$C$4:$C$1502,0),-1)),"-",INDEX(Catalogo!$H$4:$H$1502,_xlfn.IFNA(MATCH(C97,Catalogo!$C$4:$C$1502,0),-1))),"")</f>
        <v/>
      </c>
    </row>
    <row r="98" spans="3:5" x14ac:dyDescent="0.25">
      <c r="C98" s="31"/>
      <c r="D98" s="11" t="str">
        <f>IFERROR(INDEX(Catalogo!$E$4:$E$1502,_xlfn.IFNA(MATCH(C98,Catalogo!$C$4:$C$1502,0),-1)),"")</f>
        <v/>
      </c>
      <c r="E98" s="12" t="str">
        <f>IFERROR(_xlfn.CONCAT(INDEX(Catalogo!$G$4:$G$1502,_xlfn.IFNA(MATCH(C98,Catalogo!$C$4:$C$1502,0),-1)),"-",INDEX(Catalogo!$H$4:$H$1502,_xlfn.IFNA(MATCH(C98,Catalogo!$C$4:$C$1502,0),-1))),"")</f>
        <v/>
      </c>
    </row>
    <row r="99" spans="3:5" x14ac:dyDescent="0.25">
      <c r="C99" s="31"/>
      <c r="D99" s="11" t="str">
        <f>IFERROR(INDEX(Catalogo!$E$4:$E$1502,_xlfn.IFNA(MATCH(C99,Catalogo!$C$4:$C$1502,0),-1)),"")</f>
        <v/>
      </c>
      <c r="E99" s="12" t="str">
        <f>IFERROR(_xlfn.CONCAT(INDEX(Catalogo!$G$4:$G$1502,_xlfn.IFNA(MATCH(C99,Catalogo!$C$4:$C$1502,0),-1)),"-",INDEX(Catalogo!$H$4:$H$1502,_xlfn.IFNA(MATCH(C99,Catalogo!$C$4:$C$1502,0),-1))),"")</f>
        <v/>
      </c>
    </row>
    <row r="100" spans="3:5" x14ac:dyDescent="0.25">
      <c r="C100" s="31"/>
      <c r="D100" s="11" t="str">
        <f>IFERROR(INDEX(Catalogo!$E$4:$E$1502,_xlfn.IFNA(MATCH(C100,Catalogo!$C$4:$C$1502,0),-1)),"")</f>
        <v/>
      </c>
      <c r="E100" s="12" t="str">
        <f>IFERROR(_xlfn.CONCAT(INDEX(Catalogo!$G$4:$G$1502,_xlfn.IFNA(MATCH(C100,Catalogo!$C$4:$C$1502,0),-1)),"-",INDEX(Catalogo!$H$4:$H$1502,_xlfn.IFNA(MATCH(C100,Catalogo!$C$4:$C$1502,0),-1))),"")</f>
        <v/>
      </c>
    </row>
    <row r="101" spans="3:5" x14ac:dyDescent="0.25">
      <c r="C101" s="31"/>
      <c r="D101" s="11" t="str">
        <f>IFERROR(INDEX(Catalogo!$E$4:$E$1502,_xlfn.IFNA(MATCH(C101,Catalogo!$C$4:$C$1502,0),-1)),"")</f>
        <v/>
      </c>
      <c r="E101" s="12" t="str">
        <f>IFERROR(_xlfn.CONCAT(INDEX(Catalogo!$G$4:$G$1502,_xlfn.IFNA(MATCH(C101,Catalogo!$C$4:$C$1502,0),-1)),"-",INDEX(Catalogo!$H$4:$H$1502,_xlfn.IFNA(MATCH(C101,Catalogo!$C$4:$C$1502,0),-1))),"")</f>
        <v/>
      </c>
    </row>
    <row r="102" spans="3:5" x14ac:dyDescent="0.25">
      <c r="C102" s="31"/>
      <c r="D102" s="11" t="str">
        <f>IFERROR(INDEX(Catalogo!$E$4:$E$1502,_xlfn.IFNA(MATCH(C102,Catalogo!$C$4:$C$1502,0),-1)),"")</f>
        <v/>
      </c>
      <c r="E102" s="12" t="str">
        <f>IFERROR(_xlfn.CONCAT(INDEX(Catalogo!$G$4:$G$1502,_xlfn.IFNA(MATCH(C102,Catalogo!$C$4:$C$1502,0),-1)),"-",INDEX(Catalogo!$H$4:$H$1502,_xlfn.IFNA(MATCH(C102,Catalogo!$C$4:$C$1502,0),-1))),"")</f>
        <v/>
      </c>
    </row>
    <row r="103" spans="3:5" x14ac:dyDescent="0.25">
      <c r="C103" s="31"/>
      <c r="D103" s="11" t="str">
        <f>IFERROR(INDEX(Catalogo!$E$4:$E$1502,_xlfn.IFNA(MATCH(C103,Catalogo!$C$4:$C$1502,0),-1)),"")</f>
        <v/>
      </c>
      <c r="E103" s="12" t="str">
        <f>IFERROR(_xlfn.CONCAT(INDEX(Catalogo!$G$4:$G$1502,_xlfn.IFNA(MATCH(C103,Catalogo!$C$4:$C$1502,0),-1)),"-",INDEX(Catalogo!$H$4:$H$1502,_xlfn.IFNA(MATCH(C103,Catalogo!$C$4:$C$1502,0),-1))),"")</f>
        <v/>
      </c>
    </row>
    <row r="104" spans="3:5" x14ac:dyDescent="0.25">
      <c r="C104" s="31"/>
      <c r="D104" s="11" t="str">
        <f>IFERROR(INDEX(Catalogo!$E$4:$E$1502,_xlfn.IFNA(MATCH(C104,Catalogo!$C$4:$C$1502,0),-1)),"")</f>
        <v/>
      </c>
      <c r="E104" s="12" t="str">
        <f>IFERROR(_xlfn.CONCAT(INDEX(Catalogo!$G$4:$G$1502,_xlfn.IFNA(MATCH(C104,Catalogo!$C$4:$C$1502,0),-1)),"-",INDEX(Catalogo!$H$4:$H$1502,_xlfn.IFNA(MATCH(C104,Catalogo!$C$4:$C$1502,0),-1))),"")</f>
        <v/>
      </c>
    </row>
    <row r="105" spans="3:5" x14ac:dyDescent="0.25">
      <c r="C105" s="31"/>
      <c r="D105" s="11" t="str">
        <f>IFERROR(INDEX(Catalogo!$E$4:$E$1502,_xlfn.IFNA(MATCH(C105,Catalogo!$C$4:$C$1502,0),-1)),"")</f>
        <v/>
      </c>
      <c r="E105" s="12" t="str">
        <f>IFERROR(_xlfn.CONCAT(INDEX(Catalogo!$G$4:$G$1502,_xlfn.IFNA(MATCH(C105,Catalogo!$C$4:$C$1502,0),-1)),"-",INDEX(Catalogo!$H$4:$H$1502,_xlfn.IFNA(MATCH(C105,Catalogo!$C$4:$C$1502,0),-1))),"")</f>
        <v/>
      </c>
    </row>
    <row r="106" spans="3:5" x14ac:dyDescent="0.25">
      <c r="C106" s="31"/>
      <c r="D106" s="11" t="str">
        <f>IFERROR(INDEX(Catalogo!$E$4:$E$1502,_xlfn.IFNA(MATCH(C106,Catalogo!$C$4:$C$1502,0),-1)),"")</f>
        <v/>
      </c>
      <c r="E106" s="12" t="str">
        <f>IFERROR(_xlfn.CONCAT(INDEX(Catalogo!$G$4:$G$1502,_xlfn.IFNA(MATCH(C106,Catalogo!$C$4:$C$1502,0),-1)),"-",INDEX(Catalogo!$H$4:$H$1502,_xlfn.IFNA(MATCH(C106,Catalogo!$C$4:$C$1502,0),-1))),"")</f>
        <v/>
      </c>
    </row>
    <row r="107" spans="3:5" x14ac:dyDescent="0.25">
      <c r="C107" s="31"/>
      <c r="D107" s="11" t="str">
        <f>IFERROR(INDEX(Catalogo!$E$4:$E$1502,_xlfn.IFNA(MATCH(C107,Catalogo!$C$4:$C$1502,0),-1)),"")</f>
        <v/>
      </c>
      <c r="E107" s="12" t="str">
        <f>IFERROR(_xlfn.CONCAT(INDEX(Catalogo!$G$4:$G$1502,_xlfn.IFNA(MATCH(C107,Catalogo!$C$4:$C$1502,0),-1)),"-",INDEX(Catalogo!$H$4:$H$1502,_xlfn.IFNA(MATCH(C107,Catalogo!$C$4:$C$1502,0),-1))),"")</f>
        <v/>
      </c>
    </row>
    <row r="108" spans="3:5" x14ac:dyDescent="0.25">
      <c r="C108" s="31"/>
      <c r="D108" s="11" t="str">
        <f>IFERROR(INDEX(Catalogo!$E$4:$E$1502,_xlfn.IFNA(MATCH(C108,Catalogo!$C$4:$C$1502,0),-1)),"")</f>
        <v/>
      </c>
      <c r="E108" s="12" t="str">
        <f>IFERROR(_xlfn.CONCAT(INDEX(Catalogo!$G$4:$G$1502,_xlfn.IFNA(MATCH(C108,Catalogo!$C$4:$C$1502,0),-1)),"-",INDEX(Catalogo!$H$4:$H$1502,_xlfn.IFNA(MATCH(C108,Catalogo!$C$4:$C$1502,0),-1))),"")</f>
        <v/>
      </c>
    </row>
    <row r="109" spans="3:5" x14ac:dyDescent="0.25">
      <c r="C109" s="31"/>
      <c r="D109" s="11" t="str">
        <f>IFERROR(INDEX(Catalogo!$E$4:$E$1502,_xlfn.IFNA(MATCH(C109,Catalogo!$C$4:$C$1502,0),-1)),"")</f>
        <v/>
      </c>
      <c r="E109" s="12" t="str">
        <f>IFERROR(_xlfn.CONCAT(INDEX(Catalogo!$G$4:$G$1502,_xlfn.IFNA(MATCH(C109,Catalogo!$C$4:$C$1502,0),-1)),"-",INDEX(Catalogo!$H$4:$H$1502,_xlfn.IFNA(MATCH(C109,Catalogo!$C$4:$C$1502,0),-1))),"")</f>
        <v/>
      </c>
    </row>
    <row r="110" spans="3:5" x14ac:dyDescent="0.25">
      <c r="C110" s="31"/>
      <c r="D110" s="11" t="str">
        <f>IFERROR(INDEX(Catalogo!$E$4:$E$1502,_xlfn.IFNA(MATCH(C110,Catalogo!$C$4:$C$1502,0),-1)),"")</f>
        <v/>
      </c>
      <c r="E110" s="12" t="str">
        <f>IFERROR(_xlfn.CONCAT(INDEX(Catalogo!$G$4:$G$1502,_xlfn.IFNA(MATCH(C110,Catalogo!$C$4:$C$1502,0),-1)),"-",INDEX(Catalogo!$H$4:$H$1502,_xlfn.IFNA(MATCH(C110,Catalogo!$C$4:$C$1502,0),-1))),"")</f>
        <v/>
      </c>
    </row>
    <row r="111" spans="3:5" x14ac:dyDescent="0.25">
      <c r="C111" s="31"/>
      <c r="D111" s="11" t="str">
        <f>IFERROR(INDEX(Catalogo!$E$4:$E$1502,_xlfn.IFNA(MATCH(C111,Catalogo!$C$4:$C$1502,0),-1)),"")</f>
        <v/>
      </c>
      <c r="E111" s="12" t="str">
        <f>IFERROR(_xlfn.CONCAT(INDEX(Catalogo!$G$4:$G$1502,_xlfn.IFNA(MATCH(C111,Catalogo!$C$4:$C$1502,0),-1)),"-",INDEX(Catalogo!$H$4:$H$1502,_xlfn.IFNA(MATCH(C111,Catalogo!$C$4:$C$1502,0),-1))),"")</f>
        <v/>
      </c>
    </row>
    <row r="112" spans="3:5" x14ac:dyDescent="0.25">
      <c r="C112" s="69"/>
      <c r="D112" s="11" t="str">
        <f>IFERROR(INDEX(Catalogo!$E$4:$E$1502,_xlfn.IFNA(MATCH(C112,Catalogo!$C$4:$C$1502,0),-1)),"")</f>
        <v/>
      </c>
      <c r="E112" s="12" t="str">
        <f>IFERROR(_xlfn.CONCAT(INDEX(Catalogo!$G$4:$G$1502,_xlfn.IFNA(MATCH(C112,Catalogo!$C$4:$C$1502,0),-1)),"-",INDEX(Catalogo!$H$4:$H$1502,_xlfn.IFNA(MATCH(C112,Catalogo!$C$4:$C$1502,0),-1))),"")</f>
        <v/>
      </c>
    </row>
    <row r="113" spans="3:5" x14ac:dyDescent="0.25">
      <c r="C113" s="65"/>
      <c r="D113" s="11" t="str">
        <f>IFERROR(INDEX(Catalogo!$E$4:$E$1502,_xlfn.IFNA(MATCH(C113,Catalogo!$C$4:$C$1502,0),-1)),"")</f>
        <v/>
      </c>
      <c r="E113" s="12" t="str">
        <f>IFERROR(_xlfn.CONCAT(INDEX(Catalogo!$G$4:$G$1502,_xlfn.IFNA(MATCH(C113,Catalogo!$C$4:$C$1502,0),-1)),"-",INDEX(Catalogo!$H$4:$H$1502,_xlfn.IFNA(MATCH(C113,Catalogo!$C$4:$C$1502,0),-1))),"")</f>
        <v/>
      </c>
    </row>
    <row r="114" spans="3:5" x14ac:dyDescent="0.25">
      <c r="C114" s="65"/>
      <c r="D114" s="11" t="str">
        <f>IFERROR(INDEX(Catalogo!$E$4:$E$1502,_xlfn.IFNA(MATCH(C114,Catalogo!$C$4:$C$1502,0),-1)),"")</f>
        <v/>
      </c>
      <c r="E114" s="12" t="str">
        <f>IFERROR(_xlfn.CONCAT(INDEX(Catalogo!$G$4:$G$1502,_xlfn.IFNA(MATCH(C114,Catalogo!$C$4:$C$1502,0),-1)),"-",INDEX(Catalogo!$H$4:$H$1502,_xlfn.IFNA(MATCH(C114,Catalogo!$C$4:$C$1502,0),-1))),"")</f>
        <v/>
      </c>
    </row>
    <row r="115" spans="3:5" x14ac:dyDescent="0.25">
      <c r="C115" s="65"/>
      <c r="D115" s="11" t="str">
        <f>IFERROR(INDEX(Catalogo!$E$4:$E$1502,_xlfn.IFNA(MATCH(C115,Catalogo!$C$4:$C$1502,0),-1)),"")</f>
        <v/>
      </c>
      <c r="E115" s="12" t="str">
        <f>IFERROR(_xlfn.CONCAT(INDEX(Catalogo!$G$4:$G$1502,_xlfn.IFNA(MATCH(C115,Catalogo!$C$4:$C$1502,0),-1)),"-",INDEX(Catalogo!$H$4:$H$1502,_xlfn.IFNA(MATCH(C115,Catalogo!$C$4:$C$1502,0),-1))),"")</f>
        <v/>
      </c>
    </row>
    <row r="116" spans="3:5" x14ac:dyDescent="0.25">
      <c r="C116" s="65"/>
      <c r="D116" s="11" t="str">
        <f>IFERROR(INDEX(Catalogo!$E$4:$E$1502,_xlfn.IFNA(MATCH(C116,Catalogo!$C$4:$C$1502,0),-1)),"")</f>
        <v/>
      </c>
      <c r="E116" s="12" t="str">
        <f>IFERROR(_xlfn.CONCAT(INDEX(Catalogo!$G$4:$G$1502,_xlfn.IFNA(MATCH(C116,Catalogo!$C$4:$C$1502,0),-1)),"-",INDEX(Catalogo!$H$4:$H$1502,_xlfn.IFNA(MATCH(C116,Catalogo!$C$4:$C$1502,0),-1))),"")</f>
        <v/>
      </c>
    </row>
    <row r="117" spans="3:5" x14ac:dyDescent="0.25">
      <c r="C117" s="65"/>
      <c r="D117" s="11" t="str">
        <f>IFERROR(INDEX(Catalogo!$E$4:$E$1502,_xlfn.IFNA(MATCH(C117,Catalogo!$C$4:$C$1502,0),-1)),"")</f>
        <v/>
      </c>
      <c r="E117" s="12" t="str">
        <f>IFERROR(_xlfn.CONCAT(INDEX(Catalogo!$G$4:$G$1502,_xlfn.IFNA(MATCH(C117,Catalogo!$C$4:$C$1502,0),-1)),"-",INDEX(Catalogo!$H$4:$H$1502,_xlfn.IFNA(MATCH(C117,Catalogo!$C$4:$C$1502,0),-1))),"")</f>
        <v/>
      </c>
    </row>
    <row r="118" spans="3:5" x14ac:dyDescent="0.25">
      <c r="C118" s="65"/>
      <c r="D118" s="11" t="str">
        <f>IFERROR(INDEX(Catalogo!$E$4:$E$1502,_xlfn.IFNA(MATCH(C118,Catalogo!$C$4:$C$1502,0),-1)),"")</f>
        <v/>
      </c>
      <c r="E118" s="12" t="str">
        <f>IFERROR(_xlfn.CONCAT(INDEX(Catalogo!$G$4:$G$1502,_xlfn.IFNA(MATCH(C118,Catalogo!$C$4:$C$1502,0),-1)),"-",INDEX(Catalogo!$H$4:$H$1502,_xlfn.IFNA(MATCH(C118,Catalogo!$C$4:$C$1502,0),-1))),"")</f>
        <v/>
      </c>
    </row>
    <row r="119" spans="3:5" x14ac:dyDescent="0.25">
      <c r="C119" s="65"/>
      <c r="D119" s="11" t="str">
        <f>IFERROR(INDEX(Catalogo!$E$4:$E$1502,_xlfn.IFNA(MATCH(C119,Catalogo!$C$4:$C$1502,0),-1)),"")</f>
        <v/>
      </c>
      <c r="E119" s="12" t="str">
        <f>IFERROR(_xlfn.CONCAT(INDEX(Catalogo!$G$4:$G$1502,_xlfn.IFNA(MATCH(C119,Catalogo!$C$4:$C$1502,0),-1)),"-",INDEX(Catalogo!$H$4:$H$1502,_xlfn.IFNA(MATCH(C119,Catalogo!$C$4:$C$1502,0),-1))),"")</f>
        <v/>
      </c>
    </row>
    <row r="120" spans="3:5" x14ac:dyDescent="0.25">
      <c r="C120" s="65"/>
      <c r="D120" s="11" t="str">
        <f>IFERROR(INDEX(Catalogo!$E$4:$E$1502,_xlfn.IFNA(MATCH(C120,Catalogo!$C$4:$C$1502,0),-1)),"")</f>
        <v/>
      </c>
      <c r="E120" s="12" t="str">
        <f>IFERROR(_xlfn.CONCAT(INDEX(Catalogo!$G$4:$G$1502,_xlfn.IFNA(MATCH(C120,Catalogo!$C$4:$C$1502,0),-1)),"-",INDEX(Catalogo!$H$4:$H$1502,_xlfn.IFNA(MATCH(C120,Catalogo!$C$4:$C$1502,0),-1))),"")</f>
        <v/>
      </c>
    </row>
    <row r="121" spans="3:5" x14ac:dyDescent="0.25">
      <c r="C121" s="65"/>
      <c r="D121" s="11" t="str">
        <f>IFERROR(INDEX(Catalogo!$E$4:$E$1502,_xlfn.IFNA(MATCH(C121,Catalogo!$C$4:$C$1502,0),-1)),"")</f>
        <v/>
      </c>
      <c r="E121" s="12" t="str">
        <f>IFERROR(_xlfn.CONCAT(INDEX(Catalogo!$G$4:$G$1502,_xlfn.IFNA(MATCH(C121,Catalogo!$C$4:$C$1502,0),-1)),"-",INDEX(Catalogo!$H$4:$H$1502,_xlfn.IFNA(MATCH(C121,Catalogo!$C$4:$C$1502,0),-1))),"")</f>
        <v/>
      </c>
    </row>
    <row r="122" spans="3:5" x14ac:dyDescent="0.25">
      <c r="C122" s="65"/>
      <c r="D122" s="11" t="str">
        <f>IFERROR(INDEX(Catalogo!$E$4:$E$1502,_xlfn.IFNA(MATCH(C122,Catalogo!$C$4:$C$1502,0),-1)),"")</f>
        <v/>
      </c>
      <c r="E122" s="12" t="str">
        <f>IFERROR(_xlfn.CONCAT(INDEX(Catalogo!$G$4:$G$1502,_xlfn.IFNA(MATCH(C122,Catalogo!$C$4:$C$1502,0),-1)),"-",INDEX(Catalogo!$H$4:$H$1502,_xlfn.IFNA(MATCH(C122,Catalogo!$C$4:$C$1502,0),-1))),"")</f>
        <v/>
      </c>
    </row>
    <row r="123" spans="3:5" x14ac:dyDescent="0.25">
      <c r="C123" s="65"/>
      <c r="D123" s="11" t="str">
        <f>IFERROR(INDEX(Catalogo!$E$4:$E$1502,_xlfn.IFNA(MATCH(C123,Catalogo!$C$4:$C$1502,0),-1)),"")</f>
        <v/>
      </c>
      <c r="E123" s="12" t="str">
        <f>IFERROR(_xlfn.CONCAT(INDEX(Catalogo!$G$4:$G$1502,_xlfn.IFNA(MATCH(C123,Catalogo!$C$4:$C$1502,0),-1)),"-",INDEX(Catalogo!$H$4:$H$1502,_xlfn.IFNA(MATCH(C123,Catalogo!$C$4:$C$1502,0),-1))),"")</f>
        <v/>
      </c>
    </row>
    <row r="124" spans="3:5" x14ac:dyDescent="0.25">
      <c r="C124" s="31"/>
      <c r="D124" s="11" t="str">
        <f>IFERROR(INDEX(Catalogo!$E$4:$E$1502,_xlfn.IFNA(MATCH(C124,Catalogo!$C$4:$C$1502,0),-1)),"")</f>
        <v/>
      </c>
      <c r="E124" s="12" t="str">
        <f>IFERROR(_xlfn.CONCAT(INDEX(Catalogo!$G$4:$G$1502,_xlfn.IFNA(MATCH(C124,Catalogo!$C$4:$C$1502,0),-1)),"-",INDEX(Catalogo!$H$4:$H$1502,_xlfn.IFNA(MATCH(C124,Catalogo!$C$4:$C$1502,0),-1))),"")</f>
        <v/>
      </c>
    </row>
    <row r="125" spans="3:5" x14ac:dyDescent="0.25">
      <c r="C125" s="31"/>
      <c r="D125" s="11" t="str">
        <f>IFERROR(INDEX(Catalogo!$E$4:$E$1502,_xlfn.IFNA(MATCH(C125,Catalogo!$C$4:$C$1502,0),-1)),"")</f>
        <v/>
      </c>
      <c r="E125" s="12" t="str">
        <f>IFERROR(_xlfn.CONCAT(INDEX(Catalogo!$G$4:$G$1502,_xlfn.IFNA(MATCH(C125,Catalogo!$C$4:$C$1502,0),-1)),"-",INDEX(Catalogo!$H$4:$H$1502,_xlfn.IFNA(MATCH(C125,Catalogo!$C$4:$C$1502,0),-1))),"")</f>
        <v/>
      </c>
    </row>
    <row r="126" spans="3:5" x14ac:dyDescent="0.25">
      <c r="C126" s="66"/>
      <c r="D126" s="11" t="str">
        <f>IFERROR(INDEX(Catalogo!$E$4:$E$1502,_xlfn.IFNA(MATCH(C126,Catalogo!$C$4:$C$1502,0),-1)),"")</f>
        <v/>
      </c>
      <c r="E126" s="12" t="str">
        <f>IFERROR(_xlfn.CONCAT(INDEX(Catalogo!$G$4:$G$1502,_xlfn.IFNA(MATCH(C126,Catalogo!$C$4:$C$1502,0),-1)),"-",INDEX(Catalogo!$H$4:$H$1502,_xlfn.IFNA(MATCH(C126,Catalogo!$C$4:$C$1502,0),-1))),"")</f>
        <v/>
      </c>
    </row>
    <row r="127" spans="3:5" x14ac:dyDescent="0.25">
      <c r="C127" s="66"/>
      <c r="D127" s="11" t="str">
        <f>IFERROR(INDEX(Catalogo!$E$4:$E$1502,_xlfn.IFNA(MATCH(C127,Catalogo!$C$4:$C$1502,0),-1)),"")</f>
        <v/>
      </c>
      <c r="E127" s="12" t="str">
        <f>IFERROR(_xlfn.CONCAT(INDEX(Catalogo!$G$4:$G$1502,_xlfn.IFNA(MATCH(C127,Catalogo!$C$4:$C$1502,0),-1)),"-",INDEX(Catalogo!$H$4:$H$1502,_xlfn.IFNA(MATCH(C127,Catalogo!$C$4:$C$1502,0),-1))),"")</f>
        <v/>
      </c>
    </row>
    <row r="128" spans="3:5" x14ac:dyDescent="0.25">
      <c r="C128" s="31"/>
      <c r="D128" s="11" t="str">
        <f>IFERROR(INDEX(Catalogo!$E$4:$E$1502,_xlfn.IFNA(MATCH(C128,Catalogo!$C$4:$C$1502,0),-1)),"")</f>
        <v/>
      </c>
      <c r="E128" s="12" t="str">
        <f>IFERROR(_xlfn.CONCAT(INDEX(Catalogo!$G$4:$G$1502,_xlfn.IFNA(MATCH(C128,Catalogo!$C$4:$C$1502,0),-1)),"-",INDEX(Catalogo!$H$4:$H$1502,_xlfn.IFNA(MATCH(C128,Catalogo!$C$4:$C$1502,0),-1))),"")</f>
        <v/>
      </c>
    </row>
    <row r="129" spans="3:5" x14ac:dyDescent="0.25">
      <c r="C129" s="31"/>
      <c r="D129" s="11" t="str">
        <f>IFERROR(INDEX(Catalogo!$E$4:$E$1502,_xlfn.IFNA(MATCH(C129,Catalogo!$C$4:$C$1502,0),-1)),"")</f>
        <v/>
      </c>
      <c r="E129" s="12" t="str">
        <f>IFERROR(_xlfn.CONCAT(INDEX(Catalogo!$G$4:$G$1502,_xlfn.IFNA(MATCH(C129,Catalogo!$C$4:$C$1502,0),-1)),"-",INDEX(Catalogo!$H$4:$H$1502,_xlfn.IFNA(MATCH(C129,Catalogo!$C$4:$C$1502,0),-1))),"")</f>
        <v/>
      </c>
    </row>
    <row r="130" spans="3:5" x14ac:dyDescent="0.25">
      <c r="C130" s="66"/>
      <c r="D130" s="11" t="str">
        <f>IFERROR(INDEX(Catalogo!$E$4:$E$1502,_xlfn.IFNA(MATCH(C130,Catalogo!$C$4:$C$1502,0),-1)),"")</f>
        <v/>
      </c>
      <c r="E130" s="12" t="str">
        <f>IFERROR(_xlfn.CONCAT(INDEX(Catalogo!$G$4:$G$1502,_xlfn.IFNA(MATCH(C130,Catalogo!$C$4:$C$1502,0),-1)),"-",INDEX(Catalogo!$H$4:$H$1502,_xlfn.IFNA(MATCH(C130,Catalogo!$C$4:$C$1502,0),-1))),"")</f>
        <v/>
      </c>
    </row>
    <row r="131" spans="3:5" x14ac:dyDescent="0.25">
      <c r="C131" s="66"/>
      <c r="D131" s="11" t="str">
        <f>IFERROR(INDEX(Catalogo!$E$4:$E$1502,_xlfn.IFNA(MATCH(C131,Catalogo!$C$4:$C$1502,0),-1)),"")</f>
        <v/>
      </c>
      <c r="E131" s="12" t="str">
        <f>IFERROR(_xlfn.CONCAT(INDEX(Catalogo!$G$4:$G$1502,_xlfn.IFNA(MATCH(C131,Catalogo!$C$4:$C$1502,0),-1)),"-",INDEX(Catalogo!$H$4:$H$1502,_xlfn.IFNA(MATCH(C131,Catalogo!$C$4:$C$1502,0),-1))),"")</f>
        <v/>
      </c>
    </row>
    <row r="132" spans="3:5" x14ac:dyDescent="0.25">
      <c r="C132" s="31"/>
      <c r="D132" s="11" t="str">
        <f>IFERROR(INDEX(Catalogo!$E$4:$E$1502,_xlfn.IFNA(MATCH(C132,Catalogo!$C$4:$C$1502,0),-1)),"")</f>
        <v/>
      </c>
      <c r="E132" s="12" t="str">
        <f>IFERROR(_xlfn.CONCAT(INDEX(Catalogo!$G$4:$G$1502,_xlfn.IFNA(MATCH(C132,Catalogo!$C$4:$C$1502,0),-1)),"-",INDEX(Catalogo!$H$4:$H$1502,_xlfn.IFNA(MATCH(C132,Catalogo!$C$4:$C$1502,0),-1))),"")</f>
        <v/>
      </c>
    </row>
    <row r="133" spans="3:5" x14ac:dyDescent="0.25">
      <c r="C133" s="66"/>
      <c r="D133" s="11" t="str">
        <f>IFERROR(INDEX(Catalogo!$E$4:$E$1502,_xlfn.IFNA(MATCH(C133,Catalogo!$C$4:$C$1502,0),-1)),"")</f>
        <v/>
      </c>
      <c r="E133" s="12" t="str">
        <f>IFERROR(_xlfn.CONCAT(INDEX(Catalogo!$G$4:$G$1502,_xlfn.IFNA(MATCH(C133,Catalogo!$C$4:$C$1502,0),-1)),"-",INDEX(Catalogo!$H$4:$H$1502,_xlfn.IFNA(MATCH(C133,Catalogo!$C$4:$C$1502,0),-1))),"")</f>
        <v/>
      </c>
    </row>
    <row r="134" spans="3:5" x14ac:dyDescent="0.25">
      <c r="C134" s="31"/>
      <c r="D134" s="11" t="str">
        <f>IFERROR(INDEX(Catalogo!$E$4:$E$1502,_xlfn.IFNA(MATCH(C134,Catalogo!$C$4:$C$1502,0),-1)),"")</f>
        <v/>
      </c>
      <c r="E134" s="12" t="str">
        <f>IFERROR(_xlfn.CONCAT(INDEX(Catalogo!$G$4:$G$1502,_xlfn.IFNA(MATCH(C134,Catalogo!$C$4:$C$1502,0),-1)),"-",INDEX(Catalogo!$H$4:$H$1502,_xlfn.IFNA(MATCH(C134,Catalogo!$C$4:$C$1502,0),-1))),"")</f>
        <v/>
      </c>
    </row>
    <row r="135" spans="3:5" x14ac:dyDescent="0.25">
      <c r="C135" s="31"/>
      <c r="D135" s="11" t="str">
        <f>IFERROR(INDEX(Catalogo!$E$4:$E$1502,_xlfn.IFNA(MATCH(C135,Catalogo!$C$4:$C$1502,0),-1)),"")</f>
        <v/>
      </c>
      <c r="E135" s="12" t="str">
        <f>IFERROR(_xlfn.CONCAT(INDEX(Catalogo!$G$4:$G$1502,_xlfn.IFNA(MATCH(C135,Catalogo!$C$4:$C$1502,0),-1)),"-",INDEX(Catalogo!$H$4:$H$1502,_xlfn.IFNA(MATCH(C135,Catalogo!$C$4:$C$1502,0),-1))),"")</f>
        <v/>
      </c>
    </row>
    <row r="136" spans="3:5" x14ac:dyDescent="0.25">
      <c r="C136" s="31"/>
      <c r="D136" s="11" t="str">
        <f>IFERROR(INDEX(Catalogo!$E$4:$E$1502,_xlfn.IFNA(MATCH(C136,Catalogo!$C$4:$C$1502,0),-1)),"")</f>
        <v/>
      </c>
      <c r="E136" s="12" t="str">
        <f>IFERROR(_xlfn.CONCAT(INDEX(Catalogo!$G$4:$G$1502,_xlfn.IFNA(MATCH(C136,Catalogo!$C$4:$C$1502,0),-1)),"-",INDEX(Catalogo!$H$4:$H$1502,_xlfn.IFNA(MATCH(C136,Catalogo!$C$4:$C$1502,0),-1))),"")</f>
        <v/>
      </c>
    </row>
    <row r="137" spans="3:5" x14ac:dyDescent="0.25">
      <c r="C137" s="31"/>
      <c r="D137" s="11" t="str">
        <f>IFERROR(INDEX(Catalogo!$E$4:$E$1502,_xlfn.IFNA(MATCH(C137,Catalogo!$C$4:$C$1502,0),-1)),"")</f>
        <v/>
      </c>
      <c r="E137" s="12" t="str">
        <f>IFERROR(_xlfn.CONCAT(INDEX(Catalogo!$G$4:$G$1502,_xlfn.IFNA(MATCH(C137,Catalogo!$C$4:$C$1502,0),-1)),"-",INDEX(Catalogo!$H$4:$H$1502,_xlfn.IFNA(MATCH(C137,Catalogo!$C$4:$C$1502,0),-1))),"")</f>
        <v/>
      </c>
    </row>
    <row r="138" spans="3:5" x14ac:dyDescent="0.25">
      <c r="C138" s="31"/>
      <c r="D138" s="11" t="str">
        <f>IFERROR(INDEX(Catalogo!$E$4:$E$1502,_xlfn.IFNA(MATCH(C138,Catalogo!$C$4:$C$1502,0),-1)),"")</f>
        <v/>
      </c>
      <c r="E138" s="12" t="str">
        <f>IFERROR(_xlfn.CONCAT(INDEX(Catalogo!$G$4:$G$1502,_xlfn.IFNA(MATCH(C138,Catalogo!$C$4:$C$1502,0),-1)),"-",INDEX(Catalogo!$H$4:$H$1502,_xlfn.IFNA(MATCH(C138,Catalogo!$C$4:$C$1502,0),-1))),"")</f>
        <v/>
      </c>
    </row>
    <row r="139" spans="3:5" x14ac:dyDescent="0.25">
      <c r="C139" s="66"/>
      <c r="D139" s="11" t="str">
        <f>IFERROR(INDEX(Catalogo!$E$4:$E$1502,_xlfn.IFNA(MATCH(C139,Catalogo!$C$4:$C$1502,0),-1)),"")</f>
        <v/>
      </c>
      <c r="E139" s="12" t="str">
        <f>IFERROR(_xlfn.CONCAT(INDEX(Catalogo!$G$4:$G$1502,_xlfn.IFNA(MATCH(C139,Catalogo!$C$4:$C$1502,0),-1)),"-",INDEX(Catalogo!$H$4:$H$1502,_xlfn.IFNA(MATCH(C139,Catalogo!$C$4:$C$1502,0),-1))),"")</f>
        <v/>
      </c>
    </row>
    <row r="140" spans="3:5" x14ac:dyDescent="0.25">
      <c r="C140" s="66"/>
      <c r="D140" s="11" t="str">
        <f>IFERROR(INDEX(Catalogo!$E$4:$E$1502,_xlfn.IFNA(MATCH(C140,Catalogo!$C$4:$C$1502,0),-1)),"")</f>
        <v/>
      </c>
      <c r="E140" s="12" t="str">
        <f>IFERROR(_xlfn.CONCAT(INDEX(Catalogo!$G$4:$G$1502,_xlfn.IFNA(MATCH(C140,Catalogo!$C$4:$C$1502,0),-1)),"-",INDEX(Catalogo!$H$4:$H$1502,_xlfn.IFNA(MATCH(C140,Catalogo!$C$4:$C$1502,0),-1))),"")</f>
        <v/>
      </c>
    </row>
    <row r="141" spans="3:5" x14ac:dyDescent="0.25">
      <c r="C141" s="31"/>
      <c r="D141" s="11" t="str">
        <f>IFERROR(INDEX(Catalogo!$E$4:$E$1502,_xlfn.IFNA(MATCH(C141,Catalogo!$C$4:$C$1502,0),-1)),"")</f>
        <v/>
      </c>
      <c r="E141" s="12" t="str">
        <f>IFERROR(_xlfn.CONCAT(INDEX(Catalogo!$G$4:$G$1502,_xlfn.IFNA(MATCH(C141,Catalogo!$C$4:$C$1502,0),-1)),"-",INDEX(Catalogo!$H$4:$H$1502,_xlfn.IFNA(MATCH(C141,Catalogo!$C$4:$C$1502,0),-1))),"")</f>
        <v/>
      </c>
    </row>
    <row r="142" spans="3:5" x14ac:dyDescent="0.25">
      <c r="C142" s="31"/>
      <c r="D142" s="11" t="str">
        <f>IFERROR(INDEX(Catalogo!$E$4:$E$1502,_xlfn.IFNA(MATCH(C142,Catalogo!$C$4:$C$1502,0),-1)),"")</f>
        <v/>
      </c>
      <c r="E142" s="12" t="str">
        <f>IFERROR(_xlfn.CONCAT(INDEX(Catalogo!$G$4:$G$1502,_xlfn.IFNA(MATCH(C142,Catalogo!$C$4:$C$1502,0),-1)),"-",INDEX(Catalogo!$H$4:$H$1502,_xlfn.IFNA(MATCH(C142,Catalogo!$C$4:$C$1502,0),-1))),"")</f>
        <v/>
      </c>
    </row>
    <row r="143" spans="3:5" x14ac:dyDescent="0.25">
      <c r="C143" s="31"/>
      <c r="D143" s="11" t="str">
        <f>IFERROR(INDEX(Catalogo!$E$4:$E$1502,_xlfn.IFNA(MATCH(C143,Catalogo!$C$4:$C$1502,0),-1)),"")</f>
        <v/>
      </c>
      <c r="E143" s="12" t="str">
        <f>IFERROR(_xlfn.CONCAT(INDEX(Catalogo!$G$4:$G$1502,_xlfn.IFNA(MATCH(C143,Catalogo!$C$4:$C$1502,0),-1)),"-",INDEX(Catalogo!$H$4:$H$1502,_xlfn.IFNA(MATCH(C143,Catalogo!$C$4:$C$1502,0),-1))),"")</f>
        <v/>
      </c>
    </row>
    <row r="144" spans="3:5" x14ac:dyDescent="0.25">
      <c r="C144" s="66"/>
      <c r="D144" s="11" t="str">
        <f>IFERROR(INDEX(Catalogo!$E$4:$E$1502,_xlfn.IFNA(MATCH(C144,Catalogo!$C$4:$C$1502,0),-1)),"")</f>
        <v/>
      </c>
      <c r="E144" s="12" t="str">
        <f>IFERROR(_xlfn.CONCAT(INDEX(Catalogo!$G$4:$G$1502,_xlfn.IFNA(MATCH(C144,Catalogo!$C$4:$C$1502,0),-1)),"-",INDEX(Catalogo!$H$4:$H$1502,_xlfn.IFNA(MATCH(C144,Catalogo!$C$4:$C$1502,0),-1))),"")</f>
        <v/>
      </c>
    </row>
    <row r="145" spans="3:5" x14ac:dyDescent="0.25">
      <c r="C145" s="66"/>
      <c r="D145" s="11" t="str">
        <f>IFERROR(INDEX(Catalogo!$E$4:$E$1502,_xlfn.IFNA(MATCH(C145,Catalogo!$C$4:$C$1502,0),-1)),"")</f>
        <v/>
      </c>
      <c r="E145" s="12" t="str">
        <f>IFERROR(_xlfn.CONCAT(INDEX(Catalogo!$G$4:$G$1502,_xlfn.IFNA(MATCH(C145,Catalogo!$C$4:$C$1502,0),-1)),"-",INDEX(Catalogo!$H$4:$H$1502,_xlfn.IFNA(MATCH(C145,Catalogo!$C$4:$C$1502,0),-1))),"")</f>
        <v/>
      </c>
    </row>
    <row r="146" spans="3:5" x14ac:dyDescent="0.25">
      <c r="C146" s="31"/>
      <c r="D146" s="11" t="str">
        <f>IFERROR(INDEX(Catalogo!$E$4:$E$1502,_xlfn.IFNA(MATCH(C146,Catalogo!$C$4:$C$1502,0),-1)),"")</f>
        <v/>
      </c>
      <c r="E146" s="12" t="str">
        <f>IFERROR(_xlfn.CONCAT(INDEX(Catalogo!$G$4:$G$1502,_xlfn.IFNA(MATCH(C146,Catalogo!$C$4:$C$1502,0),-1)),"-",INDEX(Catalogo!$H$4:$H$1502,_xlfn.IFNA(MATCH(C146,Catalogo!$C$4:$C$1502,0),-1))),"")</f>
        <v/>
      </c>
    </row>
    <row r="147" spans="3:5" x14ac:dyDescent="0.25">
      <c r="C147" s="31"/>
      <c r="D147" s="11" t="str">
        <f>IFERROR(INDEX(Catalogo!$E$4:$E$1502,_xlfn.IFNA(MATCH(C147,Catalogo!$C$4:$C$1502,0),-1)),"")</f>
        <v/>
      </c>
      <c r="E147" s="12" t="str">
        <f>IFERROR(_xlfn.CONCAT(INDEX(Catalogo!$G$4:$G$1502,_xlfn.IFNA(MATCH(C147,Catalogo!$C$4:$C$1502,0),-1)),"-",INDEX(Catalogo!$H$4:$H$1502,_xlfn.IFNA(MATCH(C147,Catalogo!$C$4:$C$1502,0),-1))),"")</f>
        <v/>
      </c>
    </row>
    <row r="148" spans="3:5" x14ac:dyDescent="0.25">
      <c r="C148" s="31"/>
      <c r="D148" s="11" t="str">
        <f>IFERROR(INDEX(Catalogo!$E$4:$E$1502,_xlfn.IFNA(MATCH(C148,Catalogo!$C$4:$C$1502,0),-1)),"")</f>
        <v/>
      </c>
      <c r="E148" s="12" t="str">
        <f>IFERROR(_xlfn.CONCAT(INDEX(Catalogo!$G$4:$G$1502,_xlfn.IFNA(MATCH(C148,Catalogo!$C$4:$C$1502,0),-1)),"-",INDEX(Catalogo!$H$4:$H$1502,_xlfn.IFNA(MATCH(C148,Catalogo!$C$4:$C$1502,0),-1))),"")</f>
        <v/>
      </c>
    </row>
    <row r="149" spans="3:5" x14ac:dyDescent="0.25">
      <c r="C149" s="68"/>
      <c r="D149" s="11" t="str">
        <f>IFERROR(INDEX(Catalogo!$E$4:$E$1502,_xlfn.IFNA(MATCH(C149,Catalogo!$C$4:$C$1502,0),-1)),"")</f>
        <v/>
      </c>
      <c r="E149" s="12" t="str">
        <f>IFERROR(_xlfn.CONCAT(INDEX(Catalogo!$G$4:$G$1502,_xlfn.IFNA(MATCH(C149,Catalogo!$C$4:$C$1502,0),-1)),"-",INDEX(Catalogo!$H$4:$H$1502,_xlfn.IFNA(MATCH(C149,Catalogo!$C$4:$C$1502,0),-1))),"")</f>
        <v/>
      </c>
    </row>
    <row r="150" spans="3:5" x14ac:dyDescent="0.25">
      <c r="C150" s="31"/>
      <c r="D150" s="11" t="str">
        <f>IFERROR(INDEX(Catalogo!$E$4:$E$1502,_xlfn.IFNA(MATCH(C150,Catalogo!$C$4:$C$1502,0),-1)),"")</f>
        <v/>
      </c>
      <c r="E150" s="12" t="str">
        <f>IFERROR(_xlfn.CONCAT(INDEX(Catalogo!$G$4:$G$1502,_xlfn.IFNA(MATCH(C150,Catalogo!$C$4:$C$1502,0),-1)),"-",INDEX(Catalogo!$H$4:$H$1502,_xlfn.IFNA(MATCH(C150,Catalogo!$C$4:$C$1502,0),-1))),"")</f>
        <v/>
      </c>
    </row>
    <row r="151" spans="3:5" x14ac:dyDescent="0.25">
      <c r="C151" s="66"/>
      <c r="D151" s="11" t="str">
        <f>IFERROR(INDEX(Catalogo!$E$4:$E$1502,_xlfn.IFNA(MATCH(C151,Catalogo!$C$4:$C$1502,0),-1)),"")</f>
        <v/>
      </c>
      <c r="E151" s="12" t="str">
        <f>IFERROR(_xlfn.CONCAT(INDEX(Catalogo!$G$4:$G$1502,_xlfn.IFNA(MATCH(C151,Catalogo!$C$4:$C$1502,0),-1)),"-",INDEX(Catalogo!$H$4:$H$1502,_xlfn.IFNA(MATCH(C151,Catalogo!$C$4:$C$1502,0),-1))),"")</f>
        <v/>
      </c>
    </row>
    <row r="152" spans="3:5" x14ac:dyDescent="0.25">
      <c r="C152" s="67"/>
      <c r="D152" s="11" t="str">
        <f>IFERROR(INDEX(Catalogo!$E$4:$E$1502,_xlfn.IFNA(MATCH(C152,Catalogo!$C$4:$C$1502,0),-1)),"")</f>
        <v/>
      </c>
      <c r="E152" s="12" t="str">
        <f>IFERROR(_xlfn.CONCAT(INDEX(Catalogo!$G$4:$G$1502,_xlfn.IFNA(MATCH(C152,Catalogo!$C$4:$C$1502,0),-1)),"-",INDEX(Catalogo!$H$4:$H$1502,_xlfn.IFNA(MATCH(C152,Catalogo!$C$4:$C$1502,0),-1))),"")</f>
        <v/>
      </c>
    </row>
    <row r="153" spans="3:5" x14ac:dyDescent="0.25">
      <c r="C153" s="66"/>
      <c r="D153" s="11" t="str">
        <f>IFERROR(INDEX(Catalogo!$E$4:$E$1502,_xlfn.IFNA(MATCH(C153,Catalogo!$C$4:$C$1502,0),-1)),"")</f>
        <v/>
      </c>
      <c r="E153" s="12" t="str">
        <f>IFERROR(_xlfn.CONCAT(INDEX(Catalogo!$G$4:$G$1502,_xlfn.IFNA(MATCH(C153,Catalogo!$C$4:$C$1502,0),-1)),"-",INDEX(Catalogo!$H$4:$H$1502,_xlfn.IFNA(MATCH(C153,Catalogo!$C$4:$C$1502,0),-1))),"")</f>
        <v/>
      </c>
    </row>
    <row r="154" spans="3:5" x14ac:dyDescent="0.25">
      <c r="C154" s="31"/>
      <c r="D154" s="11" t="str">
        <f>IFERROR(INDEX(Catalogo!$E$4:$E$1502,_xlfn.IFNA(MATCH(C154,Catalogo!$C$4:$C$1502,0),-1)),"")</f>
        <v/>
      </c>
      <c r="E154" s="12" t="str">
        <f>IFERROR(_xlfn.CONCAT(INDEX(Catalogo!$G$4:$G$1502,_xlfn.IFNA(MATCH(C154,Catalogo!$C$4:$C$1502,0),-1)),"-",INDEX(Catalogo!$H$4:$H$1502,_xlfn.IFNA(MATCH(C154,Catalogo!$C$4:$C$1502,0),-1))),"")</f>
        <v/>
      </c>
    </row>
    <row r="155" spans="3:5" x14ac:dyDescent="0.25">
      <c r="C155" s="31"/>
      <c r="D155" s="11" t="str">
        <f>IFERROR(INDEX(Catalogo!$E$4:$E$1502,_xlfn.IFNA(MATCH(C155,Catalogo!$C$4:$C$1502,0),-1)),"")</f>
        <v/>
      </c>
      <c r="E155" s="12" t="str">
        <f>IFERROR(_xlfn.CONCAT(INDEX(Catalogo!$G$4:$G$1502,_xlfn.IFNA(MATCH(C155,Catalogo!$C$4:$C$1502,0),-1)),"-",INDEX(Catalogo!$H$4:$H$1502,_xlfn.IFNA(MATCH(C155,Catalogo!$C$4:$C$1502,0),-1))),"")</f>
        <v/>
      </c>
    </row>
    <row r="156" spans="3:5" x14ac:dyDescent="0.25">
      <c r="C156" s="67"/>
      <c r="D156" s="11" t="str">
        <f>IFERROR(INDEX(Catalogo!$E$4:$E$1502,_xlfn.IFNA(MATCH(C156,Catalogo!$C$4:$C$1502,0),-1)),"")</f>
        <v/>
      </c>
      <c r="E156" s="12" t="str">
        <f>IFERROR(_xlfn.CONCAT(INDEX(Catalogo!$G$4:$G$1502,_xlfn.IFNA(MATCH(C156,Catalogo!$C$4:$C$1502,0),-1)),"-",INDEX(Catalogo!$H$4:$H$1502,_xlfn.IFNA(MATCH(C156,Catalogo!$C$4:$C$1502,0),-1))),"")</f>
        <v/>
      </c>
    </row>
    <row r="157" spans="3:5" x14ac:dyDescent="0.25">
      <c r="C157" s="66"/>
      <c r="D157" s="11" t="str">
        <f>IFERROR(INDEX(Catalogo!$E$4:$E$1502,_xlfn.IFNA(MATCH(C157,Catalogo!$C$4:$C$1502,0),-1)),"")</f>
        <v/>
      </c>
      <c r="E157" s="12" t="str">
        <f>IFERROR(_xlfn.CONCAT(INDEX(Catalogo!$G$4:$G$1502,_xlfn.IFNA(MATCH(C157,Catalogo!$C$4:$C$1502,0),-1)),"-",INDEX(Catalogo!$H$4:$H$1502,_xlfn.IFNA(MATCH(C157,Catalogo!$C$4:$C$1502,0),-1))),"")</f>
        <v/>
      </c>
    </row>
    <row r="158" spans="3:5" x14ac:dyDescent="0.25">
      <c r="C158" s="31"/>
      <c r="D158" s="11" t="str">
        <f>IFERROR(INDEX(Catalogo!$E$4:$E$1502,_xlfn.IFNA(MATCH(C158,Catalogo!$C$4:$C$1502,0),-1)),"")</f>
        <v/>
      </c>
      <c r="E158" s="12" t="str">
        <f>IFERROR(_xlfn.CONCAT(INDEX(Catalogo!$G$4:$G$1502,_xlfn.IFNA(MATCH(C158,Catalogo!$C$4:$C$1502,0),-1)),"-",INDEX(Catalogo!$H$4:$H$1502,_xlfn.IFNA(MATCH(C158,Catalogo!$C$4:$C$1502,0),-1))),"")</f>
        <v/>
      </c>
    </row>
    <row r="159" spans="3:5" x14ac:dyDescent="0.25">
      <c r="C159" s="67"/>
      <c r="D159" s="11" t="str">
        <f>IFERROR(INDEX(Catalogo!$E$4:$E$1502,_xlfn.IFNA(MATCH(C159,Catalogo!$C$4:$C$1502,0),-1)),"")</f>
        <v/>
      </c>
      <c r="E159" s="12" t="str">
        <f>IFERROR(_xlfn.CONCAT(INDEX(Catalogo!$G$4:$G$1502,_xlfn.IFNA(MATCH(C159,Catalogo!$C$4:$C$1502,0),-1)),"-",INDEX(Catalogo!$H$4:$H$1502,_xlfn.IFNA(MATCH(C159,Catalogo!$C$4:$C$1502,0),-1))),"")</f>
        <v/>
      </c>
    </row>
    <row r="160" spans="3:5" x14ac:dyDescent="0.25">
      <c r="C160" s="66"/>
      <c r="D160" s="11" t="str">
        <f>IFERROR(INDEX(Catalogo!$E$4:$E$1502,_xlfn.IFNA(MATCH(C160,Catalogo!$C$4:$C$1502,0),-1)),"")</f>
        <v/>
      </c>
      <c r="E160" s="12" t="str">
        <f>IFERROR(_xlfn.CONCAT(INDEX(Catalogo!$G$4:$G$1502,_xlfn.IFNA(MATCH(C160,Catalogo!$C$4:$C$1502,0),-1)),"-",INDEX(Catalogo!$H$4:$H$1502,_xlfn.IFNA(MATCH(C160,Catalogo!$C$4:$C$1502,0),-1))),"")</f>
        <v/>
      </c>
    </row>
    <row r="161" spans="3:5" x14ac:dyDescent="0.25">
      <c r="C161" s="31"/>
      <c r="D161" s="11" t="str">
        <f>IFERROR(INDEX(Catalogo!$E$4:$E$1502,_xlfn.IFNA(MATCH(C161,Catalogo!$C$4:$C$1502,0),-1)),"")</f>
        <v/>
      </c>
      <c r="E161" s="12" t="str">
        <f>IFERROR(_xlfn.CONCAT(INDEX(Catalogo!$G$4:$G$1502,_xlfn.IFNA(MATCH(C161,Catalogo!$C$4:$C$1502,0),-1)),"-",INDEX(Catalogo!$H$4:$H$1502,_xlfn.IFNA(MATCH(C161,Catalogo!$C$4:$C$1502,0),-1))),"")</f>
        <v/>
      </c>
    </row>
    <row r="162" spans="3:5" x14ac:dyDescent="0.25">
      <c r="C162" s="31"/>
      <c r="D162" s="11" t="str">
        <f>IFERROR(INDEX(Catalogo!$E$4:$E$1502,_xlfn.IFNA(MATCH(C162,Catalogo!$C$4:$C$1502,0),-1)),"")</f>
        <v/>
      </c>
      <c r="E162" s="12" t="str">
        <f>IFERROR(_xlfn.CONCAT(INDEX(Catalogo!$G$4:$G$1502,_xlfn.IFNA(MATCH(C162,Catalogo!$C$4:$C$1502,0),-1)),"-",INDEX(Catalogo!$H$4:$H$1502,_xlfn.IFNA(MATCH(C162,Catalogo!$C$4:$C$1502,0),-1))),"")</f>
        <v/>
      </c>
    </row>
    <row r="163" spans="3:5" x14ac:dyDescent="0.25">
      <c r="C163" s="31"/>
      <c r="D163" s="11" t="str">
        <f>IFERROR(INDEX(Catalogo!$E$4:$E$1502,_xlfn.IFNA(MATCH(C163,Catalogo!$C$4:$C$1502,0),-1)),"")</f>
        <v/>
      </c>
      <c r="E163" s="12" t="str">
        <f>IFERROR(_xlfn.CONCAT(INDEX(Catalogo!$G$4:$G$1502,_xlfn.IFNA(MATCH(C163,Catalogo!$C$4:$C$1502,0),-1)),"-",INDEX(Catalogo!$H$4:$H$1502,_xlfn.IFNA(MATCH(C163,Catalogo!$C$4:$C$1502,0),-1))),"")</f>
        <v/>
      </c>
    </row>
    <row r="164" spans="3:5" x14ac:dyDescent="0.25">
      <c r="C164" s="68"/>
      <c r="D164" s="11" t="str">
        <f>IFERROR(INDEX(Catalogo!$E$4:$E$1502,_xlfn.IFNA(MATCH(C164,Catalogo!$C$4:$C$1502,0),-1)),"")</f>
        <v/>
      </c>
      <c r="E164" s="12" t="str">
        <f>IFERROR(_xlfn.CONCAT(INDEX(Catalogo!$G$4:$G$1502,_xlfn.IFNA(MATCH(C164,Catalogo!$C$4:$C$1502,0),-1)),"-",INDEX(Catalogo!$H$4:$H$1502,_xlfn.IFNA(MATCH(C164,Catalogo!$C$4:$C$1502,0),-1))),"")</f>
        <v/>
      </c>
    </row>
    <row r="165" spans="3:5" x14ac:dyDescent="0.25">
      <c r="C165" s="31"/>
      <c r="D165" s="11" t="str">
        <f>IFERROR(INDEX(Catalogo!$E$4:$E$1502,_xlfn.IFNA(MATCH(C165,Catalogo!$C$4:$C$1502,0),-1)),"")</f>
        <v/>
      </c>
      <c r="E165" s="12" t="str">
        <f>IFERROR(_xlfn.CONCAT(INDEX(Catalogo!$G$4:$G$1502,_xlfn.IFNA(MATCH(C165,Catalogo!$C$4:$C$1502,0),-1)),"-",INDEX(Catalogo!$H$4:$H$1502,_xlfn.IFNA(MATCH(C165,Catalogo!$C$4:$C$1502,0),-1))),"")</f>
        <v/>
      </c>
    </row>
    <row r="166" spans="3:5" x14ac:dyDescent="0.25">
      <c r="C166" s="31"/>
      <c r="D166" s="11" t="str">
        <f>IFERROR(INDEX(Catalogo!$E$4:$E$1502,_xlfn.IFNA(MATCH(C166,Catalogo!$C$4:$C$1502,0),-1)),"")</f>
        <v/>
      </c>
      <c r="E166" s="12" t="str">
        <f>IFERROR(_xlfn.CONCAT(INDEX(Catalogo!$G$4:$G$1502,_xlfn.IFNA(MATCH(C166,Catalogo!$C$4:$C$1502,0),-1)),"-",INDEX(Catalogo!$H$4:$H$1502,_xlfn.IFNA(MATCH(C166,Catalogo!$C$4:$C$1502,0),-1))),"")</f>
        <v/>
      </c>
    </row>
    <row r="167" spans="3:5" x14ac:dyDescent="0.25">
      <c r="C167" s="31"/>
      <c r="D167" s="11" t="str">
        <f>IFERROR(INDEX(Catalogo!$E$4:$E$1502,_xlfn.IFNA(MATCH(C167,Catalogo!$C$4:$C$1502,0),-1)),"")</f>
        <v/>
      </c>
      <c r="E167" s="12" t="str">
        <f>IFERROR(_xlfn.CONCAT(INDEX(Catalogo!$G$4:$G$1502,_xlfn.IFNA(MATCH(C167,Catalogo!$C$4:$C$1502,0),-1)),"-",INDEX(Catalogo!$H$4:$H$1502,_xlfn.IFNA(MATCH(C167,Catalogo!$C$4:$C$1502,0),-1))),"")</f>
        <v/>
      </c>
    </row>
    <row r="168" spans="3:5" x14ac:dyDescent="0.25">
      <c r="C168" s="66"/>
      <c r="D168" s="11" t="str">
        <f>IFERROR(INDEX(Catalogo!$E$4:$E$1502,_xlfn.IFNA(MATCH(C168,Catalogo!$C$4:$C$1502,0),-1)),"")</f>
        <v/>
      </c>
      <c r="E168" s="12" t="str">
        <f>IFERROR(_xlfn.CONCAT(INDEX(Catalogo!$G$4:$G$1502,_xlfn.IFNA(MATCH(C168,Catalogo!$C$4:$C$1502,0),-1)),"-",INDEX(Catalogo!$H$4:$H$1502,_xlfn.IFNA(MATCH(C168,Catalogo!$C$4:$C$1502,0),-1))),"")</f>
        <v/>
      </c>
    </row>
    <row r="169" spans="3:5" x14ac:dyDescent="0.25">
      <c r="C169" s="31"/>
      <c r="D169" s="11" t="str">
        <f>IFERROR(INDEX(Catalogo!$E$4:$E$1502,_xlfn.IFNA(MATCH(C169,Catalogo!$C$4:$C$1502,0),-1)),"")</f>
        <v/>
      </c>
      <c r="E169" s="12" t="str">
        <f>IFERROR(_xlfn.CONCAT(INDEX(Catalogo!$G$4:$G$1502,_xlfn.IFNA(MATCH(C169,Catalogo!$C$4:$C$1502,0),-1)),"-",INDEX(Catalogo!$H$4:$H$1502,_xlfn.IFNA(MATCH(C169,Catalogo!$C$4:$C$1502,0),-1))),"")</f>
        <v/>
      </c>
    </row>
    <row r="170" spans="3:5" x14ac:dyDescent="0.25">
      <c r="C170" s="31"/>
      <c r="D170" s="11" t="str">
        <f>IFERROR(INDEX(Catalogo!$E$4:$E$1502,_xlfn.IFNA(MATCH(C170,Catalogo!$C$4:$C$1502,0),-1)),"")</f>
        <v/>
      </c>
      <c r="E170" s="12" t="str">
        <f>IFERROR(_xlfn.CONCAT(INDEX(Catalogo!$G$4:$G$1502,_xlfn.IFNA(MATCH(C170,Catalogo!$C$4:$C$1502,0),-1)),"-",INDEX(Catalogo!$H$4:$H$1502,_xlfn.IFNA(MATCH(C170,Catalogo!$C$4:$C$1502,0),-1))),"")</f>
        <v/>
      </c>
    </row>
    <row r="171" spans="3:5" x14ac:dyDescent="0.25">
      <c r="C171" s="31"/>
      <c r="D171" s="11" t="str">
        <f>IFERROR(INDEX(Catalogo!$E$4:$E$1502,_xlfn.IFNA(MATCH(C171,Catalogo!$C$4:$C$1502,0),-1)),"")</f>
        <v/>
      </c>
      <c r="E171" s="12" t="str">
        <f>IFERROR(_xlfn.CONCAT(INDEX(Catalogo!$G$4:$G$1502,_xlfn.IFNA(MATCH(C171,Catalogo!$C$4:$C$1502,0),-1)),"-",INDEX(Catalogo!$H$4:$H$1502,_xlfn.IFNA(MATCH(C171,Catalogo!$C$4:$C$1502,0),-1))),"")</f>
        <v/>
      </c>
    </row>
    <row r="172" spans="3:5" x14ac:dyDescent="0.25">
      <c r="C172" s="31"/>
      <c r="D172" s="11" t="str">
        <f>IFERROR(INDEX(Catalogo!$E$4:$E$1502,_xlfn.IFNA(MATCH(C172,Catalogo!$C$4:$C$1502,0),-1)),"")</f>
        <v/>
      </c>
      <c r="E172" s="12" t="str">
        <f>IFERROR(_xlfn.CONCAT(INDEX(Catalogo!$G$4:$G$1502,_xlfn.IFNA(MATCH(C172,Catalogo!$C$4:$C$1502,0),-1)),"-",INDEX(Catalogo!$H$4:$H$1502,_xlfn.IFNA(MATCH(C172,Catalogo!$C$4:$C$1502,0),-1))),"")</f>
        <v/>
      </c>
    </row>
    <row r="173" spans="3:5" x14ac:dyDescent="0.25">
      <c r="C173" s="31"/>
      <c r="D173" s="11" t="str">
        <f>IFERROR(INDEX(Catalogo!$E$4:$E$1502,_xlfn.IFNA(MATCH(C173,Catalogo!$C$4:$C$1502,0),-1)),"")</f>
        <v/>
      </c>
      <c r="E173" s="12" t="str">
        <f>IFERROR(_xlfn.CONCAT(INDEX(Catalogo!$G$4:$G$1502,_xlfn.IFNA(MATCH(C173,Catalogo!$C$4:$C$1502,0),-1)),"-",INDEX(Catalogo!$H$4:$H$1502,_xlfn.IFNA(MATCH(C173,Catalogo!$C$4:$C$1502,0),-1))),"")</f>
        <v/>
      </c>
    </row>
    <row r="174" spans="3:5" x14ac:dyDescent="0.25">
      <c r="C174" s="67"/>
      <c r="D174" s="11" t="str">
        <f>IFERROR(INDEX(Catalogo!$E$4:$E$1502,_xlfn.IFNA(MATCH(C174,Catalogo!$C$4:$C$1502,0),-1)),"")</f>
        <v/>
      </c>
      <c r="E174" s="12" t="str">
        <f>IFERROR(_xlfn.CONCAT(INDEX(Catalogo!$G$4:$G$1502,_xlfn.IFNA(MATCH(C174,Catalogo!$C$4:$C$1502,0),-1)),"-",INDEX(Catalogo!$H$4:$H$1502,_xlfn.IFNA(MATCH(C174,Catalogo!$C$4:$C$1502,0),-1))),"")</f>
        <v/>
      </c>
    </row>
    <row r="175" spans="3:5" x14ac:dyDescent="0.25">
      <c r="C175" s="31"/>
      <c r="D175" s="11" t="str">
        <f>IFERROR(INDEX(Catalogo!$E$4:$E$1502,_xlfn.IFNA(MATCH(C175,Catalogo!$C$4:$C$1502,0),-1)),"")</f>
        <v/>
      </c>
      <c r="E175" s="12" t="str">
        <f>IFERROR(_xlfn.CONCAT(INDEX(Catalogo!$G$4:$G$1502,_xlfn.IFNA(MATCH(C175,Catalogo!$C$4:$C$1502,0),-1)),"-",INDEX(Catalogo!$H$4:$H$1502,_xlfn.IFNA(MATCH(C175,Catalogo!$C$4:$C$1502,0),-1))),"")</f>
        <v/>
      </c>
    </row>
    <row r="176" spans="3:5" x14ac:dyDescent="0.25">
      <c r="C176" s="31"/>
      <c r="D176" s="11" t="str">
        <f>IFERROR(INDEX(Catalogo!$E$4:$E$1502,_xlfn.IFNA(MATCH(C176,Catalogo!$C$4:$C$1502,0),-1)),"")</f>
        <v/>
      </c>
      <c r="E176" s="12" t="str">
        <f>IFERROR(_xlfn.CONCAT(INDEX(Catalogo!$G$4:$G$1502,_xlfn.IFNA(MATCH(C176,Catalogo!$C$4:$C$1502,0),-1)),"-",INDEX(Catalogo!$H$4:$H$1502,_xlfn.IFNA(MATCH(C176,Catalogo!$C$4:$C$1502,0),-1))),"")</f>
        <v/>
      </c>
    </row>
    <row r="177" spans="3:5" x14ac:dyDescent="0.25">
      <c r="C177" s="31"/>
      <c r="D177" s="11" t="str">
        <f>IFERROR(INDEX(Catalogo!$E$4:$E$1502,_xlfn.IFNA(MATCH(C177,Catalogo!$C$4:$C$1502,0),-1)),"")</f>
        <v/>
      </c>
      <c r="E177" s="12" t="str">
        <f>IFERROR(_xlfn.CONCAT(INDEX(Catalogo!$G$4:$G$1502,_xlfn.IFNA(MATCH(C177,Catalogo!$C$4:$C$1502,0),-1)),"-",INDEX(Catalogo!$H$4:$H$1502,_xlfn.IFNA(MATCH(C177,Catalogo!$C$4:$C$1502,0),-1))),"")</f>
        <v/>
      </c>
    </row>
    <row r="178" spans="3:5" x14ac:dyDescent="0.25">
      <c r="C178" s="31"/>
      <c r="D178" s="11" t="str">
        <f>IFERROR(INDEX(Catalogo!$E$4:$E$1502,_xlfn.IFNA(MATCH(C178,Catalogo!$C$4:$C$1502,0),-1)),"")</f>
        <v/>
      </c>
      <c r="E178" s="12" t="str">
        <f>IFERROR(_xlfn.CONCAT(INDEX(Catalogo!$G$4:$G$1502,_xlfn.IFNA(MATCH(C178,Catalogo!$C$4:$C$1502,0),-1)),"-",INDEX(Catalogo!$H$4:$H$1502,_xlfn.IFNA(MATCH(C178,Catalogo!$C$4:$C$1502,0),-1))),"")</f>
        <v/>
      </c>
    </row>
    <row r="179" spans="3:5" x14ac:dyDescent="0.25">
      <c r="C179" s="31"/>
      <c r="D179" s="11" t="str">
        <f>IFERROR(INDEX(Catalogo!$E$4:$E$1502,_xlfn.IFNA(MATCH(C179,Catalogo!$C$4:$C$1502,0),-1)),"")</f>
        <v/>
      </c>
      <c r="E179" s="12" t="str">
        <f>IFERROR(_xlfn.CONCAT(INDEX(Catalogo!$G$4:$G$1502,_xlfn.IFNA(MATCH(C179,Catalogo!$C$4:$C$1502,0),-1)),"-",INDEX(Catalogo!$H$4:$H$1502,_xlfn.IFNA(MATCH(C179,Catalogo!$C$4:$C$1502,0),-1))),"")</f>
        <v/>
      </c>
    </row>
    <row r="180" spans="3:5" x14ac:dyDescent="0.25">
      <c r="C180" s="31"/>
      <c r="D180" s="11" t="str">
        <f>IFERROR(INDEX(Catalogo!$E$4:$E$1502,_xlfn.IFNA(MATCH(C180,Catalogo!$C$4:$C$1502,0),-1)),"")</f>
        <v/>
      </c>
      <c r="E180" s="12" t="str">
        <f>IFERROR(_xlfn.CONCAT(INDEX(Catalogo!$G$4:$G$1502,_xlfn.IFNA(MATCH(C180,Catalogo!$C$4:$C$1502,0),-1)),"-",INDEX(Catalogo!$H$4:$H$1502,_xlfn.IFNA(MATCH(C180,Catalogo!$C$4:$C$1502,0),-1))),"")</f>
        <v/>
      </c>
    </row>
    <row r="181" spans="3:5" x14ac:dyDescent="0.25">
      <c r="C181" s="31"/>
      <c r="D181" s="11" t="str">
        <f>IFERROR(INDEX(Catalogo!$E$4:$E$1502,_xlfn.IFNA(MATCH(C181,Catalogo!$C$4:$C$1502,0),-1)),"")</f>
        <v/>
      </c>
      <c r="E181" s="12" t="str">
        <f>IFERROR(_xlfn.CONCAT(INDEX(Catalogo!$G$4:$G$1502,_xlfn.IFNA(MATCH(C181,Catalogo!$C$4:$C$1502,0),-1)),"-",INDEX(Catalogo!$H$4:$H$1502,_xlfn.IFNA(MATCH(C181,Catalogo!$C$4:$C$1502,0),-1))),"")</f>
        <v/>
      </c>
    </row>
    <row r="182" spans="3:5" x14ac:dyDescent="0.25">
      <c r="C182" s="31"/>
      <c r="D182" s="11" t="str">
        <f>IFERROR(INDEX(Catalogo!$E$4:$E$1502,_xlfn.IFNA(MATCH(C182,Catalogo!$C$4:$C$1502,0),-1)),"")</f>
        <v/>
      </c>
      <c r="E182" s="12" t="str">
        <f>IFERROR(_xlfn.CONCAT(INDEX(Catalogo!$G$4:$G$1502,_xlfn.IFNA(MATCH(C182,Catalogo!$C$4:$C$1502,0),-1)),"-",INDEX(Catalogo!$H$4:$H$1502,_xlfn.IFNA(MATCH(C182,Catalogo!$C$4:$C$1502,0),-1))),"")</f>
        <v/>
      </c>
    </row>
    <row r="183" spans="3:5" x14ac:dyDescent="0.25">
      <c r="C183" s="65"/>
      <c r="D183" s="11" t="str">
        <f>IFERROR(INDEX(Catalogo!$E$4:$E$1502,_xlfn.IFNA(MATCH(C183,Catalogo!$C$4:$C$1502,0),-1)),"")</f>
        <v/>
      </c>
      <c r="E183" s="12" t="str">
        <f>IFERROR(_xlfn.CONCAT(INDEX(Catalogo!$G$4:$G$1502,_xlfn.IFNA(MATCH(C183,Catalogo!$C$4:$C$1502,0),-1)),"-",INDEX(Catalogo!$H$4:$H$1502,_xlfn.IFNA(MATCH(C183,Catalogo!$C$4:$C$1502,0),-1))),"")</f>
        <v/>
      </c>
    </row>
    <row r="184" spans="3:5" x14ac:dyDescent="0.25">
      <c r="C184" s="31"/>
      <c r="D184" s="11" t="str">
        <f>IFERROR(INDEX(Catalogo!$E$4:$E$1502,_xlfn.IFNA(MATCH(C184,Catalogo!$C$4:$C$1502,0),-1)),"")</f>
        <v/>
      </c>
      <c r="E184" s="12" t="str">
        <f>IFERROR(_xlfn.CONCAT(INDEX(Catalogo!$G$4:$G$1502,_xlfn.IFNA(MATCH(C184,Catalogo!$C$4:$C$1502,0),-1)),"-",INDEX(Catalogo!$H$4:$H$1502,_xlfn.IFNA(MATCH(C184,Catalogo!$C$4:$C$1502,0),-1))),"")</f>
        <v/>
      </c>
    </row>
    <row r="185" spans="3:5" x14ac:dyDescent="0.25">
      <c r="C185" s="31"/>
      <c r="D185" s="11" t="str">
        <f>IFERROR(INDEX(Catalogo!$E$4:$E$1502,_xlfn.IFNA(MATCH(C185,Catalogo!$C$4:$C$1502,0),-1)),"")</f>
        <v/>
      </c>
      <c r="E185" s="12" t="str">
        <f>IFERROR(_xlfn.CONCAT(INDEX(Catalogo!$G$4:$G$1502,_xlfn.IFNA(MATCH(C185,Catalogo!$C$4:$C$1502,0),-1)),"-",INDEX(Catalogo!$H$4:$H$1502,_xlfn.IFNA(MATCH(C185,Catalogo!$C$4:$C$1502,0),-1))),"")</f>
        <v/>
      </c>
    </row>
    <row r="186" spans="3:5" x14ac:dyDescent="0.25">
      <c r="C186" s="67"/>
      <c r="D186" s="11" t="str">
        <f>IFERROR(INDEX(Catalogo!$E$4:$E$1502,_xlfn.IFNA(MATCH(C186,Catalogo!$C$4:$C$1502,0),-1)),"")</f>
        <v/>
      </c>
      <c r="E186" s="12" t="str">
        <f>IFERROR(_xlfn.CONCAT(INDEX(Catalogo!$G$4:$G$1502,_xlfn.IFNA(MATCH(C186,Catalogo!$C$4:$C$1502,0),-1)),"-",INDEX(Catalogo!$H$4:$H$1502,_xlfn.IFNA(MATCH(C186,Catalogo!$C$4:$C$1502,0),-1))),"")</f>
        <v/>
      </c>
    </row>
    <row r="187" spans="3:5" x14ac:dyDescent="0.25">
      <c r="C187" s="66"/>
      <c r="D187" s="11" t="str">
        <f>IFERROR(INDEX(Catalogo!$E$4:$E$1502,_xlfn.IFNA(MATCH(C187,Catalogo!$C$4:$C$1502,0),-1)),"")</f>
        <v/>
      </c>
      <c r="E187" s="12" t="str">
        <f>IFERROR(_xlfn.CONCAT(INDEX(Catalogo!$G$4:$G$1502,_xlfn.IFNA(MATCH(C187,Catalogo!$C$4:$C$1502,0),-1)),"-",INDEX(Catalogo!$H$4:$H$1502,_xlfn.IFNA(MATCH(C187,Catalogo!$C$4:$C$1502,0),-1))),"")</f>
        <v/>
      </c>
    </row>
    <row r="188" spans="3:5" x14ac:dyDescent="0.25">
      <c r="C188" s="67"/>
      <c r="D188" s="11" t="str">
        <f>IFERROR(INDEX(Catalogo!$E$4:$E$1502,_xlfn.IFNA(MATCH(C188,Catalogo!$C$4:$C$1502,0),-1)),"")</f>
        <v/>
      </c>
      <c r="E188" s="12" t="str">
        <f>IFERROR(_xlfn.CONCAT(INDEX(Catalogo!$G$4:$G$1502,_xlfn.IFNA(MATCH(C188,Catalogo!$C$4:$C$1502,0),-1)),"-",INDEX(Catalogo!$H$4:$H$1502,_xlfn.IFNA(MATCH(C188,Catalogo!$C$4:$C$1502,0),-1))),"")</f>
        <v/>
      </c>
    </row>
    <row r="189" spans="3:5" x14ac:dyDescent="0.25">
      <c r="C189" s="67"/>
      <c r="D189" s="11" t="str">
        <f>IFERROR(INDEX(Catalogo!$E$4:$E$1502,_xlfn.IFNA(MATCH(C189,Catalogo!$C$4:$C$1502,0),-1)),"")</f>
        <v/>
      </c>
      <c r="E189" s="12" t="str">
        <f>IFERROR(_xlfn.CONCAT(INDEX(Catalogo!$G$4:$G$1502,_xlfn.IFNA(MATCH(C189,Catalogo!$C$4:$C$1502,0),-1)),"-",INDEX(Catalogo!$H$4:$H$1502,_xlfn.IFNA(MATCH(C189,Catalogo!$C$4:$C$1502,0),-1))),"")</f>
        <v/>
      </c>
    </row>
    <row r="190" spans="3:5" x14ac:dyDescent="0.25">
      <c r="C190" s="31"/>
      <c r="D190" s="11" t="str">
        <f>IFERROR(INDEX(Catalogo!$E$4:$E$1502,_xlfn.IFNA(MATCH(C190,Catalogo!$C$4:$C$1502,0),-1)),"")</f>
        <v/>
      </c>
      <c r="E190" s="12" t="str">
        <f>IFERROR(_xlfn.CONCAT(INDEX(Catalogo!$G$4:$G$1502,_xlfn.IFNA(MATCH(C190,Catalogo!$C$4:$C$1502,0),-1)),"-",INDEX(Catalogo!$H$4:$H$1502,_xlfn.IFNA(MATCH(C190,Catalogo!$C$4:$C$1502,0),-1))),"")</f>
        <v/>
      </c>
    </row>
    <row r="191" spans="3:5" x14ac:dyDescent="0.25">
      <c r="C191" s="31"/>
      <c r="D191" s="11" t="str">
        <f>IFERROR(INDEX(Catalogo!$E$4:$E$1502,_xlfn.IFNA(MATCH(C191,Catalogo!$C$4:$C$1502,0),-1)),"")</f>
        <v/>
      </c>
      <c r="E191" s="12" t="str">
        <f>IFERROR(_xlfn.CONCAT(INDEX(Catalogo!$G$4:$G$1502,_xlfn.IFNA(MATCH(C191,Catalogo!$C$4:$C$1502,0),-1)),"-",INDEX(Catalogo!$H$4:$H$1502,_xlfn.IFNA(MATCH(C191,Catalogo!$C$4:$C$1502,0),-1))),"")</f>
        <v/>
      </c>
    </row>
    <row r="192" spans="3:5" x14ac:dyDescent="0.25">
      <c r="C192" s="31"/>
      <c r="D192" s="11" t="str">
        <f>IFERROR(INDEX(Catalogo!$E$4:$E$1502,_xlfn.IFNA(MATCH(C192,Catalogo!$C$4:$C$1502,0),-1)),"")</f>
        <v/>
      </c>
      <c r="E192" s="12" t="str">
        <f>IFERROR(_xlfn.CONCAT(INDEX(Catalogo!$G$4:$G$1502,_xlfn.IFNA(MATCH(C192,Catalogo!$C$4:$C$1502,0),-1)),"-",INDEX(Catalogo!$H$4:$H$1502,_xlfn.IFNA(MATCH(C192,Catalogo!$C$4:$C$1502,0),-1))),"")</f>
        <v/>
      </c>
    </row>
    <row r="193" spans="3:5" x14ac:dyDescent="0.25">
      <c r="C193" s="31"/>
      <c r="D193" s="11" t="str">
        <f>IFERROR(INDEX(Catalogo!$E$4:$E$1502,_xlfn.IFNA(MATCH(C193,Catalogo!$C$4:$C$1502,0),-1)),"")</f>
        <v/>
      </c>
      <c r="E193" s="12" t="str">
        <f>IFERROR(_xlfn.CONCAT(INDEX(Catalogo!$G$4:$G$1502,_xlfn.IFNA(MATCH(C193,Catalogo!$C$4:$C$1502,0),-1)),"-",INDEX(Catalogo!$H$4:$H$1502,_xlfn.IFNA(MATCH(C193,Catalogo!$C$4:$C$1502,0),-1))),"")</f>
        <v/>
      </c>
    </row>
    <row r="194" spans="3:5" x14ac:dyDescent="0.25">
      <c r="C194" s="31"/>
      <c r="D194" s="11" t="str">
        <f>IFERROR(INDEX(Catalogo!$E$4:$E$1502,_xlfn.IFNA(MATCH(C194,Catalogo!$C$4:$C$1502,0),-1)),"")</f>
        <v/>
      </c>
      <c r="E194" s="12" t="str">
        <f>IFERROR(_xlfn.CONCAT(INDEX(Catalogo!$G$4:$G$1502,_xlfn.IFNA(MATCH(C194,Catalogo!$C$4:$C$1502,0),-1)),"-",INDEX(Catalogo!$H$4:$H$1502,_xlfn.IFNA(MATCH(C194,Catalogo!$C$4:$C$1502,0),-1))),"")</f>
        <v/>
      </c>
    </row>
    <row r="195" spans="3:5" x14ac:dyDescent="0.25">
      <c r="C195" s="31"/>
      <c r="D195" s="11" t="str">
        <f>IFERROR(INDEX(Catalogo!$E$4:$E$1502,_xlfn.IFNA(MATCH(C195,Catalogo!$C$4:$C$1502,0),-1)),"")</f>
        <v/>
      </c>
      <c r="E195" s="12" t="str">
        <f>IFERROR(_xlfn.CONCAT(INDEX(Catalogo!$G$4:$G$1502,_xlfn.IFNA(MATCH(C195,Catalogo!$C$4:$C$1502,0),-1)),"-",INDEX(Catalogo!$H$4:$H$1502,_xlfn.IFNA(MATCH(C195,Catalogo!$C$4:$C$1502,0),-1))),"")</f>
        <v/>
      </c>
    </row>
    <row r="196" spans="3:5" x14ac:dyDescent="0.25">
      <c r="C196" s="66"/>
      <c r="D196" s="11" t="str">
        <f>IFERROR(INDEX(Catalogo!$E$4:$E$1502,_xlfn.IFNA(MATCH(C196,Catalogo!$C$4:$C$1502,0),-1)),"")</f>
        <v/>
      </c>
      <c r="E196" s="12" t="str">
        <f>IFERROR(_xlfn.CONCAT(INDEX(Catalogo!$G$4:$G$1502,_xlfn.IFNA(MATCH(C196,Catalogo!$C$4:$C$1502,0),-1)),"-",INDEX(Catalogo!$H$4:$H$1502,_xlfn.IFNA(MATCH(C196,Catalogo!$C$4:$C$1502,0),-1))),"")</f>
        <v/>
      </c>
    </row>
    <row r="197" spans="3:5" x14ac:dyDescent="0.25">
      <c r="C197" s="67"/>
      <c r="D197" s="11" t="str">
        <f>IFERROR(INDEX(Catalogo!$E$4:$E$1502,_xlfn.IFNA(MATCH(C197,Catalogo!$C$4:$C$1502,0),-1)),"")</f>
        <v/>
      </c>
      <c r="E197" s="12" t="str">
        <f>IFERROR(_xlfn.CONCAT(INDEX(Catalogo!$G$4:$G$1502,_xlfn.IFNA(MATCH(C197,Catalogo!$C$4:$C$1502,0),-1)),"-",INDEX(Catalogo!$H$4:$H$1502,_xlfn.IFNA(MATCH(C197,Catalogo!$C$4:$C$1502,0),-1))),"")</f>
        <v/>
      </c>
    </row>
    <row r="198" spans="3:5" x14ac:dyDescent="0.25">
      <c r="C198" s="66"/>
      <c r="D198" s="11" t="str">
        <f>IFERROR(INDEX(Catalogo!$E$4:$E$1502,_xlfn.IFNA(MATCH(C198,Catalogo!$C$4:$C$1502,0),-1)),"")</f>
        <v/>
      </c>
      <c r="E198" s="12" t="str">
        <f>IFERROR(_xlfn.CONCAT(INDEX(Catalogo!$G$4:$G$1502,_xlfn.IFNA(MATCH(C198,Catalogo!$C$4:$C$1502,0),-1)),"-",INDEX(Catalogo!$H$4:$H$1502,_xlfn.IFNA(MATCH(C198,Catalogo!$C$4:$C$1502,0),-1))),"")</f>
        <v/>
      </c>
    </row>
    <row r="199" spans="3:5" x14ac:dyDescent="0.25">
      <c r="C199" s="17"/>
      <c r="D199" s="11" t="str">
        <f>IFERROR(INDEX(Catalogo!$E$4:$E$1502,_xlfn.IFNA(MATCH(C199,Catalogo!$C$4:$C$1502,0),-1)),"")</f>
        <v/>
      </c>
      <c r="E199" s="12" t="str">
        <f>IFERROR(_xlfn.CONCAT(INDEX(Catalogo!$G$4:$G$1502,_xlfn.IFNA(MATCH(C199,Catalogo!$C$4:$C$1502,0),-1)),"-",INDEX(Catalogo!$H$4:$H$1502,_xlfn.IFNA(MATCH(C199,Catalogo!$C$4:$C$1502,0),-1))),"")</f>
        <v/>
      </c>
    </row>
    <row r="200" spans="3:5" x14ac:dyDescent="0.25">
      <c r="C200" s="9"/>
      <c r="D200" s="11" t="str">
        <f>IFERROR(INDEX(Catalogo!$E$4:$E$1502,_xlfn.IFNA(MATCH(C200,Catalogo!$C$4:$C$1502,0),-1)),"")</f>
        <v/>
      </c>
      <c r="E200" s="12" t="str">
        <f>IFERROR(_xlfn.CONCAT(INDEX(Catalogo!$G$4:$G$1502,_xlfn.IFNA(MATCH(C200,Catalogo!$C$4:$C$1502,0),-1)),"-",INDEX(Catalogo!$H$4:$H$1502,_xlfn.IFNA(MATCH(C200,Catalogo!$C$4:$C$1502,0),-1))),"")</f>
        <v/>
      </c>
    </row>
    <row r="201" spans="3:5" x14ac:dyDescent="0.25">
      <c r="C201" s="9"/>
      <c r="D201" s="11" t="str">
        <f>IFERROR(INDEX(Catalogo!$E$4:$E$1502,_xlfn.IFNA(MATCH(C201,Catalogo!$C$4:$C$1502,0),-1)),"")</f>
        <v/>
      </c>
      <c r="E201" s="12" t="str">
        <f>IFERROR(_xlfn.CONCAT(INDEX(Catalogo!$G$4:$G$1502,_xlfn.IFNA(MATCH(C201,Catalogo!$C$4:$C$1502,0),-1)),"-",INDEX(Catalogo!$H$4:$H$1502,_xlfn.IFNA(MATCH(C201,Catalogo!$C$4:$C$1502,0),-1))),"")</f>
        <v/>
      </c>
    </row>
    <row r="202" spans="3:5" x14ac:dyDescent="0.25">
      <c r="C202" s="9"/>
      <c r="D202" s="11" t="str">
        <f>IFERROR(INDEX(Catalogo!$E$4:$E$1502,_xlfn.IFNA(MATCH(C202,Catalogo!$C$4:$C$1502,0),-1)),"")</f>
        <v/>
      </c>
      <c r="E202" s="12" t="str">
        <f>IFERROR(_xlfn.CONCAT(INDEX(Catalogo!$G$4:$G$1502,_xlfn.IFNA(MATCH(C202,Catalogo!$C$4:$C$1502,0),-1)),"-",INDEX(Catalogo!$H$4:$H$1502,_xlfn.IFNA(MATCH(C202,Catalogo!$C$4:$C$1502,0),-1))),"")</f>
        <v/>
      </c>
    </row>
    <row r="203" spans="3:5" x14ac:dyDescent="0.25">
      <c r="C203" s="9"/>
      <c r="D203" s="11" t="str">
        <f>IFERROR(INDEX(Catalogo!$E$4:$E$1502,_xlfn.IFNA(MATCH(C203,Catalogo!$C$4:$C$1502,0),-1)),"")</f>
        <v/>
      </c>
      <c r="E203" s="12" t="str">
        <f>IFERROR(_xlfn.CONCAT(INDEX(Catalogo!$G$4:$G$1502,_xlfn.IFNA(MATCH(C203,Catalogo!$C$4:$C$1502,0),-1)),"-",INDEX(Catalogo!$H$4:$H$1502,_xlfn.IFNA(MATCH(C203,Catalogo!$C$4:$C$1502,0),-1))),"")</f>
        <v/>
      </c>
    </row>
    <row r="204" spans="3:5" x14ac:dyDescent="0.25">
      <c r="C204" s="20"/>
      <c r="D204" s="11" t="str">
        <f>IFERROR(INDEX(Catalogo!$E$4:$E$1502,_xlfn.IFNA(MATCH(C204,Catalogo!$C$4:$C$1502,0),-1)),"")</f>
        <v/>
      </c>
      <c r="E204" s="12" t="str">
        <f>IFERROR(_xlfn.CONCAT(INDEX(Catalogo!$G$4:$G$1502,_xlfn.IFNA(MATCH(C204,Catalogo!$C$4:$C$1502,0),-1)),"-",INDEX(Catalogo!$H$4:$H$1502,_xlfn.IFNA(MATCH(C204,Catalogo!$C$4:$C$1502,0),-1))),"")</f>
        <v/>
      </c>
    </row>
    <row r="205" spans="3:5" x14ac:dyDescent="0.25">
      <c r="C205" s="9"/>
      <c r="D205" s="11" t="str">
        <f>IFERROR(INDEX(Catalogo!$E$4:$E$1502,_xlfn.IFNA(MATCH(C205,Catalogo!$C$4:$C$1502,0),-1)),"")</f>
        <v/>
      </c>
      <c r="E205" s="12" t="str">
        <f>IFERROR(_xlfn.CONCAT(INDEX(Catalogo!$G$4:$G$1502,_xlfn.IFNA(MATCH(C205,Catalogo!$C$4:$C$1502,0),-1)),"-",INDEX(Catalogo!$H$4:$H$1502,_xlfn.IFNA(MATCH(C205,Catalogo!$C$4:$C$1502,0),-1))),"")</f>
        <v/>
      </c>
    </row>
    <row r="206" spans="3:5" x14ac:dyDescent="0.25">
      <c r="C206" s="9"/>
      <c r="D206" s="11" t="str">
        <f>IFERROR(INDEX(Catalogo!$E$4:$E$1502,_xlfn.IFNA(MATCH(C206,Catalogo!$C$4:$C$1502,0),-1)),"")</f>
        <v/>
      </c>
      <c r="E206" s="12" t="str">
        <f>IFERROR(_xlfn.CONCAT(INDEX(Catalogo!$G$4:$G$1502,_xlfn.IFNA(MATCH(C206,Catalogo!$C$4:$C$1502,0),-1)),"-",INDEX(Catalogo!$H$4:$H$1502,_xlfn.IFNA(MATCH(C206,Catalogo!$C$4:$C$1502,0),-1))),"")</f>
        <v/>
      </c>
    </row>
    <row r="207" spans="3:5" x14ac:dyDescent="0.25">
      <c r="C207" s="9"/>
      <c r="D207" s="11" t="str">
        <f>IFERROR(INDEX(Catalogo!$E$4:$E$1502,_xlfn.IFNA(MATCH(C207,Catalogo!$C$4:$C$1502,0),-1)),"")</f>
        <v/>
      </c>
      <c r="E207" s="12" t="str">
        <f>IFERROR(_xlfn.CONCAT(INDEX(Catalogo!$G$4:$G$1502,_xlfn.IFNA(MATCH(C207,Catalogo!$C$4:$C$1502,0),-1)),"-",INDEX(Catalogo!$H$4:$H$1502,_xlfn.IFNA(MATCH(C207,Catalogo!$C$4:$C$1502,0),-1))),"")</f>
        <v/>
      </c>
    </row>
    <row r="208" spans="3:5" x14ac:dyDescent="0.25">
      <c r="C208" s="9"/>
      <c r="D208" s="11" t="str">
        <f>IFERROR(INDEX(Catalogo!$E$4:$E$1502,_xlfn.IFNA(MATCH(C208,Catalogo!$C$4:$C$1502,0),-1)),"")</f>
        <v/>
      </c>
      <c r="E208" s="12" t="str">
        <f>IFERROR(_xlfn.CONCAT(INDEX(Catalogo!$G$4:$G$1502,_xlfn.IFNA(MATCH(C208,Catalogo!$C$4:$C$1502,0),-1)),"-",INDEX(Catalogo!$H$4:$H$1502,_xlfn.IFNA(MATCH(C208,Catalogo!$C$4:$C$1502,0),-1))),"")</f>
        <v/>
      </c>
    </row>
    <row r="209" spans="3:5" x14ac:dyDescent="0.25">
      <c r="C209" s="9"/>
      <c r="D209" s="11" t="str">
        <f>IFERROR(INDEX(Catalogo!$E$4:$E$1502,_xlfn.IFNA(MATCH(C209,Catalogo!$C$4:$C$1502,0),-1)),"")</f>
        <v/>
      </c>
      <c r="E209" s="12" t="str">
        <f>IFERROR(_xlfn.CONCAT(INDEX(Catalogo!$G$4:$G$1502,_xlfn.IFNA(MATCH(C209,Catalogo!$C$4:$C$1502,0),-1)),"-",INDEX(Catalogo!$H$4:$H$1502,_xlfn.IFNA(MATCH(C209,Catalogo!$C$4:$C$1502,0),-1))),"")</f>
        <v/>
      </c>
    </row>
    <row r="210" spans="3:5" x14ac:dyDescent="0.25">
      <c r="C210" s="9"/>
      <c r="D210" s="11" t="str">
        <f>IFERROR(INDEX(Catalogo!$E$4:$E$1502,_xlfn.IFNA(MATCH(C210,Catalogo!$C$4:$C$1502,0),-1)),"")</f>
        <v/>
      </c>
      <c r="E210" s="12" t="str">
        <f>IFERROR(_xlfn.CONCAT(INDEX(Catalogo!$G$4:$G$1502,_xlfn.IFNA(MATCH(C210,Catalogo!$C$4:$C$1502,0),-1)),"-",INDEX(Catalogo!$H$4:$H$1502,_xlfn.IFNA(MATCH(C210,Catalogo!$C$4:$C$1502,0),-1))),"")</f>
        <v/>
      </c>
    </row>
    <row r="211" spans="3:5" x14ac:dyDescent="0.25">
      <c r="C211" s="9"/>
      <c r="D211" s="11" t="str">
        <f>IFERROR(INDEX(Catalogo!$E$4:$E$1502,_xlfn.IFNA(MATCH(C211,Catalogo!$C$4:$C$1502,0),-1)),"")</f>
        <v/>
      </c>
      <c r="E211" s="12" t="str">
        <f>IFERROR(_xlfn.CONCAT(INDEX(Catalogo!$G$4:$G$1502,_xlfn.IFNA(MATCH(C211,Catalogo!$C$4:$C$1502,0),-1)),"-",INDEX(Catalogo!$H$4:$H$1502,_xlfn.IFNA(MATCH(C211,Catalogo!$C$4:$C$1502,0),-1))),"")</f>
        <v/>
      </c>
    </row>
    <row r="212" spans="3:5" x14ac:dyDescent="0.25">
      <c r="C212" s="9"/>
      <c r="D212" s="11" t="str">
        <f>IFERROR(INDEX(Catalogo!$E$4:$E$1502,_xlfn.IFNA(MATCH(C212,Catalogo!$C$4:$C$1502,0),-1)),"")</f>
        <v/>
      </c>
      <c r="E212" s="12" t="str">
        <f>IFERROR(_xlfn.CONCAT(INDEX(Catalogo!$G$4:$G$1502,_xlfn.IFNA(MATCH(C212,Catalogo!$C$4:$C$1502,0),-1)),"-",INDEX(Catalogo!$H$4:$H$1502,_xlfn.IFNA(MATCH(C212,Catalogo!$C$4:$C$1502,0),-1))),"")</f>
        <v/>
      </c>
    </row>
    <row r="213" spans="3:5" x14ac:dyDescent="0.25">
      <c r="C213" s="9"/>
      <c r="D213" s="11" t="str">
        <f>IFERROR(INDEX(Catalogo!$E$4:$E$1502,_xlfn.IFNA(MATCH(C213,Catalogo!$C$4:$C$1502,0),-1)),"")</f>
        <v/>
      </c>
      <c r="E213" s="12" t="str">
        <f>IFERROR(_xlfn.CONCAT(INDEX(Catalogo!$G$4:$G$1502,_xlfn.IFNA(MATCH(C213,Catalogo!$C$4:$C$1502,0),-1)),"-",INDEX(Catalogo!$H$4:$H$1502,_xlfn.IFNA(MATCH(C213,Catalogo!$C$4:$C$1502,0),-1))),"")</f>
        <v/>
      </c>
    </row>
    <row r="214" spans="3:5" x14ac:dyDescent="0.25">
      <c r="C214" s="9"/>
      <c r="D214" s="11" t="str">
        <f>IFERROR(INDEX(Catalogo!$E$4:$E$1502,_xlfn.IFNA(MATCH(C214,Catalogo!$C$4:$C$1502,0),-1)),"")</f>
        <v/>
      </c>
      <c r="E214" s="12" t="str">
        <f>IFERROR(_xlfn.CONCAT(INDEX(Catalogo!$G$4:$G$1502,_xlfn.IFNA(MATCH(C214,Catalogo!$C$4:$C$1502,0),-1)),"-",INDEX(Catalogo!$H$4:$H$1502,_xlfn.IFNA(MATCH(C214,Catalogo!$C$4:$C$1502,0),-1))),"")</f>
        <v/>
      </c>
    </row>
    <row r="215" spans="3:5" x14ac:dyDescent="0.25">
      <c r="C215" s="16"/>
      <c r="D215" s="11" t="str">
        <f>IFERROR(INDEX(Catalogo!$E$4:$E$1502,_xlfn.IFNA(MATCH(C215,Catalogo!$C$4:$C$1502,0),-1)),"")</f>
        <v/>
      </c>
      <c r="E215" s="12" t="str">
        <f>IFERROR(_xlfn.CONCAT(INDEX(Catalogo!$G$4:$G$1502,_xlfn.IFNA(MATCH(C215,Catalogo!$C$4:$C$1502,0),-1)),"-",INDEX(Catalogo!$H$4:$H$1502,_xlfn.IFNA(MATCH(C215,Catalogo!$C$4:$C$1502,0),-1))),"")</f>
        <v/>
      </c>
    </row>
    <row r="216" spans="3:5" x14ac:dyDescent="0.25">
      <c r="C216" s="9"/>
      <c r="D216" s="11" t="str">
        <f>IFERROR(INDEX(Catalogo!$E$4:$E$1502,_xlfn.IFNA(MATCH(C216,Catalogo!$C$4:$C$1502,0),-1)),"")</f>
        <v/>
      </c>
      <c r="E216" s="12" t="str">
        <f>IFERROR(_xlfn.CONCAT(INDEX(Catalogo!$G$4:$G$1502,_xlfn.IFNA(MATCH(C216,Catalogo!$C$4:$C$1502,0),-1)),"-",INDEX(Catalogo!$H$4:$H$1502,_xlfn.IFNA(MATCH(C216,Catalogo!$C$4:$C$1502,0),-1))),"")</f>
        <v/>
      </c>
    </row>
    <row r="217" spans="3:5" x14ac:dyDescent="0.25">
      <c r="C217" s="9"/>
      <c r="D217" s="11" t="str">
        <f>IFERROR(INDEX(Catalogo!$E$4:$E$1502,_xlfn.IFNA(MATCH(C217,Catalogo!$C$4:$C$1502,0),-1)),"")</f>
        <v/>
      </c>
      <c r="E217" s="12" t="str">
        <f>IFERROR(_xlfn.CONCAT(INDEX(Catalogo!$G$4:$G$1502,_xlfn.IFNA(MATCH(C217,Catalogo!$C$4:$C$1502,0),-1)),"-",INDEX(Catalogo!$H$4:$H$1502,_xlfn.IFNA(MATCH(C217,Catalogo!$C$4:$C$1502,0),-1))),"")</f>
        <v/>
      </c>
    </row>
    <row r="218" spans="3:5" x14ac:dyDescent="0.25">
      <c r="C218" s="9"/>
      <c r="D218" s="11" t="str">
        <f>IFERROR(INDEX(Catalogo!$E$4:$E$1502,_xlfn.IFNA(MATCH(C218,Catalogo!$C$4:$C$1502,0),-1)),"")</f>
        <v/>
      </c>
      <c r="E218" s="12" t="str">
        <f>IFERROR(_xlfn.CONCAT(INDEX(Catalogo!$G$4:$G$1502,_xlfn.IFNA(MATCH(C218,Catalogo!$C$4:$C$1502,0),-1)),"-",INDEX(Catalogo!$H$4:$H$1502,_xlfn.IFNA(MATCH(C218,Catalogo!$C$4:$C$1502,0),-1))),"")</f>
        <v/>
      </c>
    </row>
    <row r="219" spans="3:5" x14ac:dyDescent="0.25">
      <c r="C219" s="9"/>
      <c r="D219" s="11" t="str">
        <f>IFERROR(INDEX(Catalogo!$E$4:$E$1502,_xlfn.IFNA(MATCH(C219,Catalogo!$C$4:$C$1502,0),-1)),"")</f>
        <v/>
      </c>
      <c r="E219" s="12" t="str">
        <f>IFERROR(_xlfn.CONCAT(INDEX(Catalogo!$G$4:$G$1502,_xlfn.IFNA(MATCH(C219,Catalogo!$C$4:$C$1502,0),-1)),"-",INDEX(Catalogo!$H$4:$H$1502,_xlfn.IFNA(MATCH(C219,Catalogo!$C$4:$C$1502,0),-1))),"")</f>
        <v/>
      </c>
    </row>
    <row r="220" spans="3:5" x14ac:dyDescent="0.25">
      <c r="C220" s="17"/>
      <c r="D220" s="11" t="str">
        <f>IFERROR(INDEX(Catalogo!$E$4:$E$1502,_xlfn.IFNA(MATCH(C220,Catalogo!$C$4:$C$1502,0),-1)),"")</f>
        <v/>
      </c>
      <c r="E220" s="12" t="str">
        <f>IFERROR(_xlfn.CONCAT(INDEX(Catalogo!$G$4:$G$1502,_xlfn.IFNA(MATCH(C220,Catalogo!$C$4:$C$1502,0),-1)),"-",INDEX(Catalogo!$H$4:$H$1502,_xlfn.IFNA(MATCH(C220,Catalogo!$C$4:$C$1502,0),-1))),"")</f>
        <v/>
      </c>
    </row>
    <row r="221" spans="3:5" x14ac:dyDescent="0.25">
      <c r="C221" s="9"/>
      <c r="D221" s="11" t="str">
        <f>IFERROR(INDEX(Catalogo!$E$4:$E$1502,_xlfn.IFNA(MATCH(C221,Catalogo!$C$4:$C$1502,0),-1)),"")</f>
        <v/>
      </c>
      <c r="E221" s="12" t="str">
        <f>IFERROR(_xlfn.CONCAT(INDEX(Catalogo!$G$4:$G$1502,_xlfn.IFNA(MATCH(C221,Catalogo!$C$4:$C$1502,0),-1)),"-",INDEX(Catalogo!$H$4:$H$1502,_xlfn.IFNA(MATCH(C221,Catalogo!$C$4:$C$1502,0),-1))),"")</f>
        <v/>
      </c>
    </row>
    <row r="222" spans="3:5" x14ac:dyDescent="0.25">
      <c r="C222" s="9"/>
      <c r="D222" s="11" t="str">
        <f>IFERROR(INDEX(Catalogo!$E$4:$E$1502,_xlfn.IFNA(MATCH(C222,Catalogo!$C$4:$C$1502,0),-1)),"")</f>
        <v/>
      </c>
      <c r="E222" s="12" t="str">
        <f>IFERROR(_xlfn.CONCAT(INDEX(Catalogo!$G$4:$G$1502,_xlfn.IFNA(MATCH(C222,Catalogo!$C$4:$C$1502,0),-1)),"-",INDEX(Catalogo!$H$4:$H$1502,_xlfn.IFNA(MATCH(C222,Catalogo!$C$4:$C$1502,0),-1))),"")</f>
        <v/>
      </c>
    </row>
    <row r="223" spans="3:5" x14ac:dyDescent="0.25">
      <c r="C223" s="9"/>
      <c r="D223" s="11" t="str">
        <f>IFERROR(INDEX(Catalogo!$E$4:$E$1502,_xlfn.IFNA(MATCH(C223,Catalogo!$C$4:$C$1502,0),-1)),"")</f>
        <v/>
      </c>
      <c r="E223" s="12" t="str">
        <f>IFERROR(_xlfn.CONCAT(INDEX(Catalogo!$G$4:$G$1502,_xlfn.IFNA(MATCH(C223,Catalogo!$C$4:$C$1502,0),-1)),"-",INDEX(Catalogo!$H$4:$H$1502,_xlfn.IFNA(MATCH(C223,Catalogo!$C$4:$C$1502,0),-1))),"")</f>
        <v/>
      </c>
    </row>
    <row r="224" spans="3:5" x14ac:dyDescent="0.25">
      <c r="C224" s="9"/>
      <c r="D224" s="11" t="str">
        <f>IFERROR(INDEX(Catalogo!$E$4:$E$1502,_xlfn.IFNA(MATCH(C224,Catalogo!$C$4:$C$1502,0),-1)),"")</f>
        <v/>
      </c>
      <c r="E224" s="12" t="str">
        <f>IFERROR(_xlfn.CONCAT(INDEX(Catalogo!$G$4:$G$1502,_xlfn.IFNA(MATCH(C224,Catalogo!$C$4:$C$1502,0),-1)),"-",INDEX(Catalogo!$H$4:$H$1502,_xlfn.IFNA(MATCH(C224,Catalogo!$C$4:$C$1502,0),-1))),"")</f>
        <v/>
      </c>
    </row>
    <row r="225" spans="3:5" x14ac:dyDescent="0.25">
      <c r="C225" s="16"/>
      <c r="D225" s="11" t="str">
        <f>IFERROR(INDEX(Catalogo!$E$4:$E$1502,_xlfn.IFNA(MATCH(C225,Catalogo!$C$4:$C$1502,0),-1)),"")</f>
        <v/>
      </c>
      <c r="E225" s="12" t="str">
        <f>IFERROR(_xlfn.CONCAT(INDEX(Catalogo!$G$4:$G$1502,_xlfn.IFNA(MATCH(C225,Catalogo!$C$4:$C$1502,0),-1)),"-",INDEX(Catalogo!$H$4:$H$1502,_xlfn.IFNA(MATCH(C225,Catalogo!$C$4:$C$1502,0),-1))),"")</f>
        <v/>
      </c>
    </row>
    <row r="226" spans="3:5" x14ac:dyDescent="0.25">
      <c r="C226" s="9"/>
      <c r="D226" s="11" t="str">
        <f>IFERROR(INDEX(Catalogo!$E$4:$E$1502,_xlfn.IFNA(MATCH(C226,Catalogo!$C$4:$C$1502,0),-1)),"")</f>
        <v/>
      </c>
      <c r="E226" s="12" t="str">
        <f>IFERROR(_xlfn.CONCAT(INDEX(Catalogo!$G$4:$G$1502,_xlfn.IFNA(MATCH(C226,Catalogo!$C$4:$C$1502,0),-1)),"-",INDEX(Catalogo!$H$4:$H$1502,_xlfn.IFNA(MATCH(C226,Catalogo!$C$4:$C$1502,0),-1))),"")</f>
        <v/>
      </c>
    </row>
    <row r="227" spans="3:5" x14ac:dyDescent="0.25">
      <c r="C227" s="9"/>
      <c r="D227" s="11" t="str">
        <f>IFERROR(INDEX(Catalogo!$E$4:$E$1502,_xlfn.IFNA(MATCH(C227,Catalogo!$C$4:$C$1502,0),-1)),"")</f>
        <v/>
      </c>
      <c r="E227" s="12" t="str">
        <f>IFERROR(_xlfn.CONCAT(INDEX(Catalogo!$G$4:$G$1502,_xlfn.IFNA(MATCH(C227,Catalogo!$C$4:$C$1502,0),-1)),"-",INDEX(Catalogo!$H$4:$H$1502,_xlfn.IFNA(MATCH(C227,Catalogo!$C$4:$C$1502,0),-1))),"")</f>
        <v/>
      </c>
    </row>
    <row r="228" spans="3:5" x14ac:dyDescent="0.25">
      <c r="C228" s="9"/>
      <c r="D228" s="11" t="str">
        <f>IFERROR(INDEX(Catalogo!$E$4:$E$1502,_xlfn.IFNA(MATCH(C228,Catalogo!$C$4:$C$1502,0),-1)),"")</f>
        <v/>
      </c>
      <c r="E228" s="12" t="str">
        <f>IFERROR(_xlfn.CONCAT(INDEX(Catalogo!$G$4:$G$1502,_xlfn.IFNA(MATCH(C228,Catalogo!$C$4:$C$1502,0),-1)),"-",INDEX(Catalogo!$H$4:$H$1502,_xlfn.IFNA(MATCH(C228,Catalogo!$C$4:$C$1502,0),-1))),"")</f>
        <v/>
      </c>
    </row>
    <row r="229" spans="3:5" x14ac:dyDescent="0.25">
      <c r="C229" s="9"/>
      <c r="D229" s="11" t="str">
        <f>IFERROR(INDEX(Catalogo!$E$4:$E$1502,_xlfn.IFNA(MATCH(C229,Catalogo!$C$4:$C$1502,0),-1)),"")</f>
        <v/>
      </c>
      <c r="E229" s="12" t="str">
        <f>IFERROR(_xlfn.CONCAT(INDEX(Catalogo!$G$4:$G$1502,_xlfn.IFNA(MATCH(C229,Catalogo!$C$4:$C$1502,0),-1)),"-",INDEX(Catalogo!$H$4:$H$1502,_xlfn.IFNA(MATCH(C229,Catalogo!$C$4:$C$1502,0),-1))),"")</f>
        <v/>
      </c>
    </row>
    <row r="230" spans="3:5" x14ac:dyDescent="0.25">
      <c r="C230" s="9"/>
      <c r="D230" s="11" t="str">
        <f>IFERROR(INDEX(Catalogo!$E$4:$E$1502,_xlfn.IFNA(MATCH(C230,Catalogo!$C$4:$C$1502,0),-1)),"")</f>
        <v/>
      </c>
      <c r="E230" s="12" t="str">
        <f>IFERROR(_xlfn.CONCAT(INDEX(Catalogo!$G$4:$G$1502,_xlfn.IFNA(MATCH(C230,Catalogo!$C$4:$C$1502,0),-1)),"-",INDEX(Catalogo!$H$4:$H$1502,_xlfn.IFNA(MATCH(C230,Catalogo!$C$4:$C$1502,0),-1))),"")</f>
        <v/>
      </c>
    </row>
    <row r="231" spans="3:5" x14ac:dyDescent="0.25">
      <c r="C231" s="8"/>
      <c r="D231" s="11" t="str">
        <f>IFERROR(INDEX(Catalogo!$E$4:$E$1502,_xlfn.IFNA(MATCH(C231,Catalogo!$C$4:$C$1502,0),-1)),"")</f>
        <v/>
      </c>
      <c r="E231" s="12" t="str">
        <f>IFERROR(_xlfn.CONCAT(INDEX(Catalogo!$G$4:$G$1502,_xlfn.IFNA(MATCH(C231,Catalogo!$C$4:$C$1502,0),-1)),"-",INDEX(Catalogo!$H$4:$H$1502,_xlfn.IFNA(MATCH(C231,Catalogo!$C$4:$C$1502,0),-1))),"")</f>
        <v/>
      </c>
    </row>
    <row r="232" spans="3:5" x14ac:dyDescent="0.25">
      <c r="C232" s="9"/>
      <c r="D232" s="11" t="str">
        <f>IFERROR(INDEX(Catalogo!$E$4:$E$1502,_xlfn.IFNA(MATCH(C232,Catalogo!$C$4:$C$1502,0),-1)),"")</f>
        <v/>
      </c>
      <c r="E232" s="12" t="str">
        <f>IFERROR(_xlfn.CONCAT(INDEX(Catalogo!$G$4:$G$1502,_xlfn.IFNA(MATCH(C232,Catalogo!$C$4:$C$1502,0),-1)),"-",INDEX(Catalogo!$H$4:$H$1502,_xlfn.IFNA(MATCH(C232,Catalogo!$C$4:$C$1502,0),-1))),"")</f>
        <v/>
      </c>
    </row>
    <row r="233" spans="3:5" x14ac:dyDescent="0.25">
      <c r="C233" s="9"/>
      <c r="D233" s="11" t="str">
        <f>IFERROR(INDEX(Catalogo!$E$4:$E$1502,_xlfn.IFNA(MATCH(C233,Catalogo!$C$4:$C$1502,0),-1)),"")</f>
        <v/>
      </c>
      <c r="E233" s="12" t="str">
        <f>IFERROR(_xlfn.CONCAT(INDEX(Catalogo!$G$4:$G$1502,_xlfn.IFNA(MATCH(C233,Catalogo!$C$4:$C$1502,0),-1)),"-",INDEX(Catalogo!$H$4:$H$1502,_xlfn.IFNA(MATCH(C233,Catalogo!$C$4:$C$1502,0),-1))),"")</f>
        <v/>
      </c>
    </row>
    <row r="234" spans="3:5" x14ac:dyDescent="0.25">
      <c r="C234" s="9"/>
      <c r="D234" s="11" t="str">
        <f>IFERROR(INDEX(Catalogo!$E$4:$E$1502,_xlfn.IFNA(MATCH(C234,Catalogo!$C$4:$C$1502,0),-1)),"")</f>
        <v/>
      </c>
      <c r="E234" s="12" t="str">
        <f>IFERROR(_xlfn.CONCAT(INDEX(Catalogo!$G$4:$G$1502,_xlfn.IFNA(MATCH(C234,Catalogo!$C$4:$C$1502,0),-1)),"-",INDEX(Catalogo!$H$4:$H$1502,_xlfn.IFNA(MATCH(C234,Catalogo!$C$4:$C$1502,0),-1))),"")</f>
        <v/>
      </c>
    </row>
    <row r="235" spans="3:5" x14ac:dyDescent="0.25">
      <c r="C235" s="9"/>
      <c r="D235" s="11" t="str">
        <f>IFERROR(INDEX(Catalogo!$E$4:$E$1502,_xlfn.IFNA(MATCH(C235,Catalogo!$C$4:$C$1502,0),-1)),"")</f>
        <v/>
      </c>
      <c r="E235" s="12" t="str">
        <f>IFERROR(_xlfn.CONCAT(INDEX(Catalogo!$G$4:$G$1502,_xlfn.IFNA(MATCH(C235,Catalogo!$C$4:$C$1502,0),-1)),"-",INDEX(Catalogo!$H$4:$H$1502,_xlfn.IFNA(MATCH(C235,Catalogo!$C$4:$C$1502,0),-1))),"")</f>
        <v/>
      </c>
    </row>
    <row r="236" spans="3:5" x14ac:dyDescent="0.25">
      <c r="C236" s="9"/>
      <c r="D236" s="11" t="str">
        <f>IFERROR(INDEX(Catalogo!$E$4:$E$1502,_xlfn.IFNA(MATCH(C236,Catalogo!$C$4:$C$1502,0),-1)),"")</f>
        <v/>
      </c>
      <c r="E236" s="12" t="str">
        <f>IFERROR(_xlfn.CONCAT(INDEX(Catalogo!$G$4:$G$1502,_xlfn.IFNA(MATCH(C236,Catalogo!$C$4:$C$1502,0),-1)),"-",INDEX(Catalogo!$H$4:$H$1502,_xlfn.IFNA(MATCH(C236,Catalogo!$C$4:$C$1502,0),-1))),"")</f>
        <v/>
      </c>
    </row>
    <row r="237" spans="3:5" x14ac:dyDescent="0.25">
      <c r="C237" s="17"/>
      <c r="D237" s="11" t="str">
        <f>IFERROR(INDEX(Catalogo!$E$4:$E$1502,_xlfn.IFNA(MATCH(C237,Catalogo!$C$4:$C$1502,0),-1)),"")</f>
        <v/>
      </c>
      <c r="E237" s="12" t="str">
        <f>IFERROR(_xlfn.CONCAT(INDEX(Catalogo!$G$4:$G$1502,_xlfn.IFNA(MATCH(C237,Catalogo!$C$4:$C$1502,0),-1)),"-",INDEX(Catalogo!$H$4:$H$1502,_xlfn.IFNA(MATCH(C237,Catalogo!$C$4:$C$1502,0),-1))),"")</f>
        <v/>
      </c>
    </row>
    <row r="238" spans="3:5" x14ac:dyDescent="0.25">
      <c r="C238" s="9"/>
      <c r="D238" s="11" t="str">
        <f>IFERROR(INDEX(Catalogo!$E$4:$E$1502,_xlfn.IFNA(MATCH(C238,Catalogo!$C$4:$C$1502,0),-1)),"")</f>
        <v/>
      </c>
      <c r="E238" s="12" t="str">
        <f>IFERROR(_xlfn.CONCAT(INDEX(Catalogo!$G$4:$G$1502,_xlfn.IFNA(MATCH(C238,Catalogo!$C$4:$C$1502,0),-1)),"-",INDEX(Catalogo!$H$4:$H$1502,_xlfn.IFNA(MATCH(C238,Catalogo!$C$4:$C$1502,0),-1))),"")</f>
        <v/>
      </c>
    </row>
    <row r="239" spans="3:5" x14ac:dyDescent="0.25">
      <c r="C239" s="9"/>
      <c r="D239" s="11" t="str">
        <f>IFERROR(INDEX(Catalogo!$E$4:$E$1502,_xlfn.IFNA(MATCH(C239,Catalogo!$C$4:$C$1502,0),-1)),"")</f>
        <v/>
      </c>
      <c r="E239" s="12" t="str">
        <f>IFERROR(_xlfn.CONCAT(INDEX(Catalogo!$G$4:$G$1502,_xlfn.IFNA(MATCH(C239,Catalogo!$C$4:$C$1502,0),-1)),"-",INDEX(Catalogo!$H$4:$H$1502,_xlfn.IFNA(MATCH(C239,Catalogo!$C$4:$C$1502,0),-1))),"")</f>
        <v/>
      </c>
    </row>
    <row r="240" spans="3:5" x14ac:dyDescent="0.25">
      <c r="C240" s="9"/>
      <c r="D240" s="11" t="str">
        <f>IFERROR(INDEX(Catalogo!$E$4:$E$1502,_xlfn.IFNA(MATCH(C240,Catalogo!$C$4:$C$1502,0),-1)),"")</f>
        <v/>
      </c>
      <c r="E240" s="12" t="str">
        <f>IFERROR(_xlfn.CONCAT(INDEX(Catalogo!$G$4:$G$1502,_xlfn.IFNA(MATCH(C240,Catalogo!$C$4:$C$1502,0),-1)),"-",INDEX(Catalogo!$H$4:$H$1502,_xlfn.IFNA(MATCH(C240,Catalogo!$C$4:$C$1502,0),-1))),"")</f>
        <v/>
      </c>
    </row>
    <row r="241" spans="3:5" x14ac:dyDescent="0.25">
      <c r="C241" s="9"/>
      <c r="D241" s="11" t="str">
        <f>IFERROR(INDEX(Catalogo!$E$4:$E$1502,_xlfn.IFNA(MATCH(C241,Catalogo!$C$4:$C$1502,0),-1)),"")</f>
        <v/>
      </c>
      <c r="E241" s="12" t="str">
        <f>IFERROR(_xlfn.CONCAT(INDEX(Catalogo!$G$4:$G$1502,_xlfn.IFNA(MATCH(C241,Catalogo!$C$4:$C$1502,0),-1)),"-",INDEX(Catalogo!$H$4:$H$1502,_xlfn.IFNA(MATCH(C241,Catalogo!$C$4:$C$1502,0),-1))),"")</f>
        <v/>
      </c>
    </row>
    <row r="242" spans="3:5" x14ac:dyDescent="0.25">
      <c r="C242" s="9"/>
      <c r="D242" s="11" t="str">
        <f>IFERROR(INDEX(Catalogo!$E$4:$E$1502,_xlfn.IFNA(MATCH(C242,Catalogo!$C$4:$C$1502,0),-1)),"")</f>
        <v/>
      </c>
      <c r="E242" s="12" t="str">
        <f>IFERROR(_xlfn.CONCAT(INDEX(Catalogo!$G$4:$G$1502,_xlfn.IFNA(MATCH(C242,Catalogo!$C$4:$C$1502,0),-1)),"-",INDEX(Catalogo!$H$4:$H$1502,_xlfn.IFNA(MATCH(C242,Catalogo!$C$4:$C$1502,0),-1))),"")</f>
        <v/>
      </c>
    </row>
    <row r="243" spans="3:5" x14ac:dyDescent="0.25">
      <c r="C243" s="9"/>
      <c r="D243" s="11" t="str">
        <f>IFERROR(INDEX(Catalogo!$E$4:$E$1502,_xlfn.IFNA(MATCH(C243,Catalogo!$C$4:$C$1502,0),-1)),"")</f>
        <v/>
      </c>
      <c r="E243" s="12" t="str">
        <f>IFERROR(_xlfn.CONCAT(INDEX(Catalogo!$G$4:$G$1502,_xlfn.IFNA(MATCH(C243,Catalogo!$C$4:$C$1502,0),-1)),"-",INDEX(Catalogo!$H$4:$H$1502,_xlfn.IFNA(MATCH(C243,Catalogo!$C$4:$C$1502,0),-1))),"")</f>
        <v/>
      </c>
    </row>
    <row r="244" spans="3:5" x14ac:dyDescent="0.25">
      <c r="C244" s="9"/>
      <c r="D244" s="11" t="str">
        <f>IFERROR(INDEX(Catalogo!$E$4:$E$1502,_xlfn.IFNA(MATCH(C244,Catalogo!$C$4:$C$1502,0),-1)),"")</f>
        <v/>
      </c>
      <c r="E244" s="12" t="str">
        <f>IFERROR(_xlfn.CONCAT(INDEX(Catalogo!$G$4:$G$1502,_xlfn.IFNA(MATCH(C244,Catalogo!$C$4:$C$1502,0),-1)),"-",INDEX(Catalogo!$H$4:$H$1502,_xlfn.IFNA(MATCH(C244,Catalogo!$C$4:$C$1502,0),-1))),"")</f>
        <v/>
      </c>
    </row>
    <row r="245" spans="3:5" x14ac:dyDescent="0.25">
      <c r="C245" s="9"/>
      <c r="D245" s="11" t="str">
        <f>IFERROR(INDEX(Catalogo!$E$4:$E$1502,_xlfn.IFNA(MATCH(C245,Catalogo!$C$4:$C$1502,0),-1)),"")</f>
        <v/>
      </c>
      <c r="E245" s="12" t="str">
        <f>IFERROR(_xlfn.CONCAT(INDEX(Catalogo!$G$4:$G$1502,_xlfn.IFNA(MATCH(C245,Catalogo!$C$4:$C$1502,0),-1)),"-",INDEX(Catalogo!$H$4:$H$1502,_xlfn.IFNA(MATCH(C245,Catalogo!$C$4:$C$1502,0),-1))),"")</f>
        <v/>
      </c>
    </row>
    <row r="246" spans="3:5" x14ac:dyDescent="0.25">
      <c r="C246" s="9"/>
      <c r="D246" s="11" t="str">
        <f>IFERROR(INDEX(Catalogo!$E$4:$E$1502,_xlfn.IFNA(MATCH(C246,Catalogo!$C$4:$C$1502,0),-1)),"")</f>
        <v/>
      </c>
      <c r="E246" s="12" t="str">
        <f>IFERROR(_xlfn.CONCAT(INDEX(Catalogo!$G$4:$G$1502,_xlfn.IFNA(MATCH(C246,Catalogo!$C$4:$C$1502,0),-1)),"-",INDEX(Catalogo!$H$4:$H$1502,_xlfn.IFNA(MATCH(C246,Catalogo!$C$4:$C$1502,0),-1))),"")</f>
        <v/>
      </c>
    </row>
    <row r="247" spans="3:5" x14ac:dyDescent="0.25">
      <c r="C247" s="9"/>
      <c r="D247" s="11" t="str">
        <f>IFERROR(INDEX(Catalogo!$E$4:$E$1502,_xlfn.IFNA(MATCH(C247,Catalogo!$C$4:$C$1502,0),-1)),"")</f>
        <v/>
      </c>
      <c r="E247" s="12" t="str">
        <f>IFERROR(_xlfn.CONCAT(INDEX(Catalogo!$G$4:$G$1502,_xlfn.IFNA(MATCH(C247,Catalogo!$C$4:$C$1502,0),-1)),"-",INDEX(Catalogo!$H$4:$H$1502,_xlfn.IFNA(MATCH(C247,Catalogo!$C$4:$C$1502,0),-1))),"")</f>
        <v/>
      </c>
    </row>
    <row r="248" spans="3:5" x14ac:dyDescent="0.25">
      <c r="C248" s="16"/>
      <c r="D248" s="11" t="str">
        <f>IFERROR(INDEX(Catalogo!$E$4:$E$1502,_xlfn.IFNA(MATCH(C248,Catalogo!$C$4:$C$1502,0),-1)),"")</f>
        <v/>
      </c>
      <c r="E248" s="12" t="str">
        <f>IFERROR(_xlfn.CONCAT(INDEX(Catalogo!$G$4:$G$1502,_xlfn.IFNA(MATCH(C248,Catalogo!$C$4:$C$1502,0),-1)),"-",INDEX(Catalogo!$H$4:$H$1502,_xlfn.IFNA(MATCH(C248,Catalogo!$C$4:$C$1502,0),-1))),"")</f>
        <v/>
      </c>
    </row>
    <row r="249" spans="3:5" x14ac:dyDescent="0.25">
      <c r="C249" s="9"/>
      <c r="D249" s="11" t="str">
        <f>IFERROR(INDEX(Catalogo!$E$4:$E$1502,_xlfn.IFNA(MATCH(C249,Catalogo!$C$4:$C$1502,0),-1)),"")</f>
        <v/>
      </c>
      <c r="E249" s="12" t="str">
        <f>IFERROR(_xlfn.CONCAT(INDEX(Catalogo!$G$4:$G$1502,_xlfn.IFNA(MATCH(C249,Catalogo!$C$4:$C$1502,0),-1)),"-",INDEX(Catalogo!$H$4:$H$1502,_xlfn.IFNA(MATCH(C249,Catalogo!$C$4:$C$1502,0),-1))),"")</f>
        <v/>
      </c>
    </row>
    <row r="250" spans="3:5" x14ac:dyDescent="0.25">
      <c r="C250" s="17"/>
      <c r="D250" s="11" t="str">
        <f>IFERROR(INDEX(Catalogo!$E$4:$E$1502,_xlfn.IFNA(MATCH(C250,Catalogo!$C$4:$C$1502,0),-1)),"")</f>
        <v/>
      </c>
      <c r="E250" s="12" t="str">
        <f>IFERROR(_xlfn.CONCAT(INDEX(Catalogo!$G$4:$G$1502,_xlfn.IFNA(MATCH(C250,Catalogo!$C$4:$C$1502,0),-1)),"-",INDEX(Catalogo!$H$4:$H$1502,_xlfn.IFNA(MATCH(C250,Catalogo!$C$4:$C$1502,0),-1))),"")</f>
        <v/>
      </c>
    </row>
    <row r="251" spans="3:5" x14ac:dyDescent="0.25">
      <c r="C251" s="9"/>
      <c r="D251" s="11" t="str">
        <f>IFERROR(INDEX(Catalogo!$E$4:$E$1502,_xlfn.IFNA(MATCH(C251,Catalogo!$C$4:$C$1502,0),-1)),"")</f>
        <v/>
      </c>
      <c r="E251" s="12" t="str">
        <f>IFERROR(_xlfn.CONCAT(INDEX(Catalogo!$G$4:$G$1502,_xlfn.IFNA(MATCH(C251,Catalogo!$C$4:$C$1502,0),-1)),"-",INDEX(Catalogo!$H$4:$H$1502,_xlfn.IFNA(MATCH(C251,Catalogo!$C$4:$C$1502,0),-1))),"")</f>
        <v/>
      </c>
    </row>
    <row r="252" spans="3:5" x14ac:dyDescent="0.25">
      <c r="C252" s="9"/>
      <c r="D252" s="11" t="str">
        <f>IFERROR(INDEX(Catalogo!$E$4:$E$1502,_xlfn.IFNA(MATCH(C252,Catalogo!$C$4:$C$1502,0),-1)),"")</f>
        <v/>
      </c>
      <c r="E252" s="12" t="str">
        <f>IFERROR(_xlfn.CONCAT(INDEX(Catalogo!$G$4:$G$1502,_xlfn.IFNA(MATCH(C252,Catalogo!$C$4:$C$1502,0),-1)),"-",INDEX(Catalogo!$H$4:$H$1502,_xlfn.IFNA(MATCH(C252,Catalogo!$C$4:$C$1502,0),-1))),"")</f>
        <v/>
      </c>
    </row>
    <row r="253" spans="3:5" x14ac:dyDescent="0.25">
      <c r="C253" s="9"/>
      <c r="D253" s="11" t="str">
        <f>IFERROR(INDEX(Catalogo!$E$4:$E$1502,_xlfn.IFNA(MATCH(C253,Catalogo!$C$4:$C$1502,0),-1)),"")</f>
        <v/>
      </c>
      <c r="E253" s="12" t="str">
        <f>IFERROR(_xlfn.CONCAT(INDEX(Catalogo!$G$4:$G$1502,_xlfn.IFNA(MATCH(C253,Catalogo!$C$4:$C$1502,0),-1)),"-",INDEX(Catalogo!$H$4:$H$1502,_xlfn.IFNA(MATCH(C253,Catalogo!$C$4:$C$1502,0),-1))),"")</f>
        <v/>
      </c>
    </row>
    <row r="254" spans="3:5" x14ac:dyDescent="0.25">
      <c r="C254" s="8"/>
      <c r="D254" s="11" t="str">
        <f>IFERROR(INDEX(Catalogo!$E$4:$E$1502,_xlfn.IFNA(MATCH(C254,Catalogo!$C$4:$C$1502,0),-1)),"")</f>
        <v/>
      </c>
      <c r="E254" s="12" t="str">
        <f>IFERROR(_xlfn.CONCAT(INDEX(Catalogo!$G$4:$G$1502,_xlfn.IFNA(MATCH(C254,Catalogo!$C$4:$C$1502,0),-1)),"-",INDEX(Catalogo!$H$4:$H$1502,_xlfn.IFNA(MATCH(C254,Catalogo!$C$4:$C$1502,0),-1))),"")</f>
        <v/>
      </c>
    </row>
    <row r="255" spans="3:5" x14ac:dyDescent="0.25">
      <c r="C255" s="9"/>
      <c r="D255" s="11" t="str">
        <f>IFERROR(INDEX(Catalogo!$E$4:$E$1502,_xlfn.IFNA(MATCH(C255,Catalogo!$C$4:$C$1502,0),-1)),"")</f>
        <v/>
      </c>
      <c r="E255" s="12" t="str">
        <f>IFERROR(_xlfn.CONCAT(INDEX(Catalogo!$G$4:$G$1502,_xlfn.IFNA(MATCH(C255,Catalogo!$C$4:$C$1502,0),-1)),"-",INDEX(Catalogo!$H$4:$H$1502,_xlfn.IFNA(MATCH(C255,Catalogo!$C$4:$C$1502,0),-1))),"")</f>
        <v/>
      </c>
    </row>
    <row r="256" spans="3:5" x14ac:dyDescent="0.25">
      <c r="C256" s="9"/>
      <c r="D256" s="11" t="str">
        <f>IFERROR(INDEX(Catalogo!$E$4:$E$1502,_xlfn.IFNA(MATCH(C256,Catalogo!$C$4:$C$1502,0),-1)),"")</f>
        <v/>
      </c>
      <c r="E256" s="12" t="str">
        <f>IFERROR(_xlfn.CONCAT(INDEX(Catalogo!$G$4:$G$1502,_xlfn.IFNA(MATCH(C256,Catalogo!$C$4:$C$1502,0),-1)),"-",INDEX(Catalogo!$H$4:$H$1502,_xlfn.IFNA(MATCH(C256,Catalogo!$C$4:$C$1502,0),-1))),"")</f>
        <v/>
      </c>
    </row>
    <row r="257" spans="3:5" x14ac:dyDescent="0.25">
      <c r="C257" s="9"/>
      <c r="D257" s="11" t="str">
        <f>IFERROR(INDEX(Catalogo!$E$4:$E$1502,_xlfn.IFNA(MATCH(C257,Catalogo!$C$4:$C$1502,0),-1)),"")</f>
        <v/>
      </c>
      <c r="E257" s="12" t="str">
        <f>IFERROR(_xlfn.CONCAT(INDEX(Catalogo!$G$4:$G$1502,_xlfn.IFNA(MATCH(C257,Catalogo!$C$4:$C$1502,0),-1)),"-",INDEX(Catalogo!$H$4:$H$1502,_xlfn.IFNA(MATCH(C257,Catalogo!$C$4:$C$1502,0),-1))),"")</f>
        <v/>
      </c>
    </row>
    <row r="258" spans="3:5" x14ac:dyDescent="0.25">
      <c r="C258" s="9"/>
      <c r="D258" s="11" t="str">
        <f>IFERROR(INDEX(Catalogo!$E$4:$E$1502,_xlfn.IFNA(MATCH(C258,Catalogo!$C$4:$C$1502,0),-1)),"")</f>
        <v/>
      </c>
      <c r="E258" s="12" t="str">
        <f>IFERROR(_xlfn.CONCAT(INDEX(Catalogo!$G$4:$G$1502,_xlfn.IFNA(MATCH(C258,Catalogo!$C$4:$C$1502,0),-1)),"-",INDEX(Catalogo!$H$4:$H$1502,_xlfn.IFNA(MATCH(C258,Catalogo!$C$4:$C$1502,0),-1))),"")</f>
        <v/>
      </c>
    </row>
    <row r="259" spans="3:5" x14ac:dyDescent="0.25">
      <c r="C259" s="9"/>
      <c r="D259" s="11" t="str">
        <f>IFERROR(INDEX(Catalogo!$E$4:$E$1502,_xlfn.IFNA(MATCH(C259,Catalogo!$C$4:$C$1502,0),-1)),"")</f>
        <v/>
      </c>
      <c r="E259" s="12" t="str">
        <f>IFERROR(_xlfn.CONCAT(INDEX(Catalogo!$G$4:$G$1502,_xlfn.IFNA(MATCH(C259,Catalogo!$C$4:$C$1502,0),-1)),"-",INDEX(Catalogo!$H$4:$H$1502,_xlfn.IFNA(MATCH(C259,Catalogo!$C$4:$C$1502,0),-1))),"")</f>
        <v/>
      </c>
    </row>
    <row r="260" spans="3:5" x14ac:dyDescent="0.25">
      <c r="C260" s="9"/>
      <c r="D260" s="11" t="str">
        <f>IFERROR(INDEX(Catalogo!$E$4:$E$1502,_xlfn.IFNA(MATCH(C260,Catalogo!$C$4:$C$1502,0),-1)),"")</f>
        <v/>
      </c>
      <c r="E260" s="12" t="str">
        <f>IFERROR(_xlfn.CONCAT(INDEX(Catalogo!$G$4:$G$1502,_xlfn.IFNA(MATCH(C260,Catalogo!$C$4:$C$1502,0),-1)),"-",INDEX(Catalogo!$H$4:$H$1502,_xlfn.IFNA(MATCH(C260,Catalogo!$C$4:$C$1502,0),-1))),"")</f>
        <v/>
      </c>
    </row>
    <row r="261" spans="3:5" x14ac:dyDescent="0.25">
      <c r="C261" s="9"/>
      <c r="D261" s="11" t="str">
        <f>IFERROR(INDEX(Catalogo!$E$4:$E$1502,_xlfn.IFNA(MATCH(C261,Catalogo!$C$4:$C$1502,0),-1)),"")</f>
        <v/>
      </c>
      <c r="E261" s="12" t="str">
        <f>IFERROR(_xlfn.CONCAT(INDEX(Catalogo!$G$4:$G$1502,_xlfn.IFNA(MATCH(C261,Catalogo!$C$4:$C$1502,0),-1)),"-",INDEX(Catalogo!$H$4:$H$1502,_xlfn.IFNA(MATCH(C261,Catalogo!$C$4:$C$1502,0),-1))),"")</f>
        <v/>
      </c>
    </row>
    <row r="262" spans="3:5" x14ac:dyDescent="0.25">
      <c r="C262" s="8"/>
      <c r="D262" s="11" t="str">
        <f>IFERROR(INDEX(Catalogo!$E$4:$E$1502,_xlfn.IFNA(MATCH(C262,Catalogo!$C$4:$C$1502,0),-1)),"")</f>
        <v/>
      </c>
      <c r="E262" s="12" t="str">
        <f>IFERROR(_xlfn.CONCAT(INDEX(Catalogo!$G$4:$G$1502,_xlfn.IFNA(MATCH(C262,Catalogo!$C$4:$C$1502,0),-1)),"-",INDEX(Catalogo!$H$4:$H$1502,_xlfn.IFNA(MATCH(C262,Catalogo!$C$4:$C$1502,0),-1))),"")</f>
        <v/>
      </c>
    </row>
    <row r="263" spans="3:5" x14ac:dyDescent="0.25">
      <c r="C263" s="9"/>
      <c r="D263" s="11" t="str">
        <f>IFERROR(INDEX(Catalogo!$E$4:$E$1502,_xlfn.IFNA(MATCH(C263,Catalogo!$C$4:$C$1502,0),-1)),"")</f>
        <v/>
      </c>
      <c r="E263" s="12" t="str">
        <f>IFERROR(_xlfn.CONCAT(INDEX(Catalogo!$G$4:$G$1502,_xlfn.IFNA(MATCH(C263,Catalogo!$C$4:$C$1502,0),-1)),"-",INDEX(Catalogo!$H$4:$H$1502,_xlfn.IFNA(MATCH(C263,Catalogo!$C$4:$C$1502,0),-1))),"")</f>
        <v/>
      </c>
    </row>
    <row r="264" spans="3:5" x14ac:dyDescent="0.25">
      <c r="C264" s="9"/>
      <c r="D264" s="11" t="str">
        <f>IFERROR(INDEX(Catalogo!$E$4:$E$1502,_xlfn.IFNA(MATCH(C264,Catalogo!$C$4:$C$1502,0),-1)),"")</f>
        <v/>
      </c>
      <c r="E264" s="12" t="str">
        <f>IFERROR(_xlfn.CONCAT(INDEX(Catalogo!$G$4:$G$1502,_xlfn.IFNA(MATCH(C264,Catalogo!$C$4:$C$1502,0),-1)),"-",INDEX(Catalogo!$H$4:$H$1502,_xlfn.IFNA(MATCH(C264,Catalogo!$C$4:$C$1502,0),-1))),"")</f>
        <v/>
      </c>
    </row>
    <row r="265" spans="3:5" x14ac:dyDescent="0.25">
      <c r="C265" s="9"/>
      <c r="D265" s="11" t="str">
        <f>IFERROR(INDEX(Catalogo!$E$4:$E$1502,_xlfn.IFNA(MATCH(C265,Catalogo!$C$4:$C$1502,0),-1)),"")</f>
        <v/>
      </c>
      <c r="E265" s="12" t="str">
        <f>IFERROR(_xlfn.CONCAT(INDEX(Catalogo!$G$4:$G$1502,_xlfn.IFNA(MATCH(C265,Catalogo!$C$4:$C$1502,0),-1)),"-",INDEX(Catalogo!$H$4:$H$1502,_xlfn.IFNA(MATCH(C265,Catalogo!$C$4:$C$1502,0),-1))),"")</f>
        <v/>
      </c>
    </row>
    <row r="266" spans="3:5" x14ac:dyDescent="0.25">
      <c r="C266" s="9"/>
      <c r="D266" s="11" t="str">
        <f>IFERROR(INDEX(Catalogo!$E$4:$E$1502,_xlfn.IFNA(MATCH(C266,Catalogo!$C$4:$C$1502,0),-1)),"")</f>
        <v/>
      </c>
      <c r="E266" s="12" t="str">
        <f>IFERROR(_xlfn.CONCAT(INDEX(Catalogo!$G$4:$G$1502,_xlfn.IFNA(MATCH(C266,Catalogo!$C$4:$C$1502,0),-1)),"-",INDEX(Catalogo!$H$4:$H$1502,_xlfn.IFNA(MATCH(C266,Catalogo!$C$4:$C$1502,0),-1))),"")</f>
        <v/>
      </c>
    </row>
    <row r="267" spans="3:5" x14ac:dyDescent="0.25">
      <c r="C267" s="9"/>
      <c r="D267" s="11" t="str">
        <f>IFERROR(INDEX(Catalogo!$E$4:$E$1502,_xlfn.IFNA(MATCH(C267,Catalogo!$C$4:$C$1502,0),-1)),"")</f>
        <v/>
      </c>
      <c r="E267" s="12" t="str">
        <f>IFERROR(_xlfn.CONCAT(INDEX(Catalogo!$G$4:$G$1502,_xlfn.IFNA(MATCH(C267,Catalogo!$C$4:$C$1502,0),-1)),"-",INDEX(Catalogo!$H$4:$H$1502,_xlfn.IFNA(MATCH(C267,Catalogo!$C$4:$C$1502,0),-1))),"")</f>
        <v/>
      </c>
    </row>
    <row r="268" spans="3:5" x14ac:dyDescent="0.25">
      <c r="C268" s="9"/>
      <c r="D268" s="11" t="str">
        <f>IFERROR(INDEX(Catalogo!$E$4:$E$1502,_xlfn.IFNA(MATCH(C268,Catalogo!$C$4:$C$1502,0),-1)),"")</f>
        <v/>
      </c>
      <c r="E268" s="12" t="str">
        <f>IFERROR(_xlfn.CONCAT(INDEX(Catalogo!$G$4:$G$1502,_xlfn.IFNA(MATCH(C268,Catalogo!$C$4:$C$1502,0),-1)),"-",INDEX(Catalogo!$H$4:$H$1502,_xlfn.IFNA(MATCH(C268,Catalogo!$C$4:$C$1502,0),-1))),"")</f>
        <v/>
      </c>
    </row>
    <row r="269" spans="3:5" x14ac:dyDescent="0.25">
      <c r="C269" s="9"/>
      <c r="D269" s="11" t="str">
        <f>IFERROR(INDEX(Catalogo!$E$4:$E$1502,_xlfn.IFNA(MATCH(C269,Catalogo!$C$4:$C$1502,0),-1)),"")</f>
        <v/>
      </c>
      <c r="E269" s="12" t="str">
        <f>IFERROR(_xlfn.CONCAT(INDEX(Catalogo!$G$4:$G$1502,_xlfn.IFNA(MATCH(C269,Catalogo!$C$4:$C$1502,0),-1)),"-",INDEX(Catalogo!$H$4:$H$1502,_xlfn.IFNA(MATCH(C269,Catalogo!$C$4:$C$1502,0),-1))),"")</f>
        <v/>
      </c>
    </row>
    <row r="270" spans="3:5" x14ac:dyDescent="0.25">
      <c r="C270" s="9"/>
      <c r="D270" s="11" t="str">
        <f>IFERROR(INDEX(Catalogo!$E$4:$E$1502,_xlfn.IFNA(MATCH(C270,Catalogo!$C$4:$C$1502,0),-1)),"")</f>
        <v/>
      </c>
      <c r="E270" s="12" t="str">
        <f>IFERROR(_xlfn.CONCAT(INDEX(Catalogo!$G$4:$G$1502,_xlfn.IFNA(MATCH(C270,Catalogo!$C$4:$C$1502,0),-1)),"-",INDEX(Catalogo!$H$4:$H$1502,_xlfn.IFNA(MATCH(C270,Catalogo!$C$4:$C$1502,0),-1))),"")</f>
        <v/>
      </c>
    </row>
    <row r="271" spans="3:5" x14ac:dyDescent="0.25">
      <c r="C271" s="9"/>
      <c r="D271" s="11" t="str">
        <f>IFERROR(INDEX(Catalogo!$E$4:$E$1502,_xlfn.IFNA(MATCH(C271,Catalogo!$C$4:$C$1502,0),-1)),"")</f>
        <v/>
      </c>
      <c r="E271" s="12" t="str">
        <f>IFERROR(_xlfn.CONCAT(INDEX(Catalogo!$G$4:$G$1502,_xlfn.IFNA(MATCH(C271,Catalogo!$C$4:$C$1502,0),-1)),"-",INDEX(Catalogo!$H$4:$H$1502,_xlfn.IFNA(MATCH(C271,Catalogo!$C$4:$C$1502,0),-1))),"")</f>
        <v/>
      </c>
    </row>
    <row r="272" spans="3:5" x14ac:dyDescent="0.25">
      <c r="C272" s="8"/>
      <c r="D272" s="11" t="str">
        <f>IFERROR(INDEX(Catalogo!$E$4:$E$1502,_xlfn.IFNA(MATCH(C272,Catalogo!$C$4:$C$1502,0),-1)),"")</f>
        <v/>
      </c>
      <c r="E272" s="12" t="str">
        <f>IFERROR(_xlfn.CONCAT(INDEX(Catalogo!$G$4:$G$1502,_xlfn.IFNA(MATCH(C272,Catalogo!$C$4:$C$1502,0),-1)),"-",INDEX(Catalogo!$H$4:$H$1502,_xlfn.IFNA(MATCH(C272,Catalogo!$C$4:$C$1502,0),-1))),"")</f>
        <v/>
      </c>
    </row>
    <row r="273" spans="3:5" x14ac:dyDescent="0.25">
      <c r="C273" s="8"/>
      <c r="D273" s="11" t="str">
        <f>IFERROR(INDEX(Catalogo!$E$4:$E$1502,_xlfn.IFNA(MATCH(C273,Catalogo!$C$4:$C$1502,0),-1)),"")</f>
        <v/>
      </c>
      <c r="E273" s="12" t="str">
        <f>IFERROR(_xlfn.CONCAT(INDEX(Catalogo!$G$4:$G$1502,_xlfn.IFNA(MATCH(C273,Catalogo!$C$4:$C$1502,0),-1)),"-",INDEX(Catalogo!$H$4:$H$1502,_xlfn.IFNA(MATCH(C273,Catalogo!$C$4:$C$1502,0),-1))),"")</f>
        <v/>
      </c>
    </row>
    <row r="274" spans="3:5" x14ac:dyDescent="0.25">
      <c r="C274" s="9"/>
      <c r="D274" s="11" t="str">
        <f>IFERROR(INDEX(Catalogo!$E$4:$E$1502,_xlfn.IFNA(MATCH(C274,Catalogo!$C$4:$C$1502,0),-1)),"")</f>
        <v/>
      </c>
      <c r="E274" s="12" t="str">
        <f>IFERROR(_xlfn.CONCAT(INDEX(Catalogo!$G$4:$G$1502,_xlfn.IFNA(MATCH(C274,Catalogo!$C$4:$C$1502,0),-1)),"-",INDEX(Catalogo!$H$4:$H$1502,_xlfn.IFNA(MATCH(C274,Catalogo!$C$4:$C$1502,0),-1))),"")</f>
        <v/>
      </c>
    </row>
    <row r="275" spans="3:5" x14ac:dyDescent="0.25">
      <c r="C275" s="9"/>
      <c r="D275" s="11" t="str">
        <f>IFERROR(INDEX(Catalogo!$E$4:$E$1502,_xlfn.IFNA(MATCH(C275,Catalogo!$C$4:$C$1502,0),-1)),"")</f>
        <v/>
      </c>
      <c r="E275" s="12" t="str">
        <f>IFERROR(_xlfn.CONCAT(INDEX(Catalogo!$G$4:$G$1502,_xlfn.IFNA(MATCH(C275,Catalogo!$C$4:$C$1502,0),-1)),"-",INDEX(Catalogo!$H$4:$H$1502,_xlfn.IFNA(MATCH(C275,Catalogo!$C$4:$C$1502,0),-1))),"")</f>
        <v/>
      </c>
    </row>
    <row r="276" spans="3:5" x14ac:dyDescent="0.25">
      <c r="C276" s="9"/>
      <c r="D276" s="11" t="str">
        <f>IFERROR(INDEX(Catalogo!$E$4:$E$1502,_xlfn.IFNA(MATCH(C276,Catalogo!$C$4:$C$1502,0),-1)),"")</f>
        <v/>
      </c>
      <c r="E276" s="12" t="str">
        <f>IFERROR(_xlfn.CONCAT(INDEX(Catalogo!$G$4:$G$1502,_xlfn.IFNA(MATCH(C276,Catalogo!$C$4:$C$1502,0),-1)),"-",INDEX(Catalogo!$H$4:$H$1502,_xlfn.IFNA(MATCH(C276,Catalogo!$C$4:$C$1502,0),-1))),"")</f>
        <v/>
      </c>
    </row>
    <row r="277" spans="3:5" x14ac:dyDescent="0.25">
      <c r="C277" s="9"/>
      <c r="D277" s="11" t="str">
        <f>IFERROR(INDEX(Catalogo!$E$4:$E$1502,_xlfn.IFNA(MATCH(C277,Catalogo!$C$4:$C$1502,0),-1)),"")</f>
        <v/>
      </c>
      <c r="E277" s="12" t="str">
        <f>IFERROR(_xlfn.CONCAT(INDEX(Catalogo!$G$4:$G$1502,_xlfn.IFNA(MATCH(C277,Catalogo!$C$4:$C$1502,0),-1)),"-",INDEX(Catalogo!$H$4:$H$1502,_xlfn.IFNA(MATCH(C277,Catalogo!$C$4:$C$1502,0),-1))),"")</f>
        <v/>
      </c>
    </row>
    <row r="278" spans="3:5" x14ac:dyDescent="0.25">
      <c r="C278" s="9"/>
      <c r="D278" s="11" t="str">
        <f>IFERROR(INDEX(Catalogo!$E$4:$E$1502,_xlfn.IFNA(MATCH(C278,Catalogo!$C$4:$C$1502,0),-1)),"")</f>
        <v/>
      </c>
      <c r="E278" s="12" t="str">
        <f>IFERROR(_xlfn.CONCAT(INDEX(Catalogo!$G$4:$G$1502,_xlfn.IFNA(MATCH(C278,Catalogo!$C$4:$C$1502,0),-1)),"-",INDEX(Catalogo!$H$4:$H$1502,_xlfn.IFNA(MATCH(C278,Catalogo!$C$4:$C$1502,0),-1))),"")</f>
        <v/>
      </c>
    </row>
    <row r="279" spans="3:5" x14ac:dyDescent="0.25">
      <c r="C279" s="9"/>
      <c r="D279" s="11" t="str">
        <f>IFERROR(INDEX(Catalogo!$E$4:$E$1502,_xlfn.IFNA(MATCH(C279,Catalogo!$C$4:$C$1502,0),-1)),"")</f>
        <v/>
      </c>
      <c r="E279" s="12" t="str">
        <f>IFERROR(_xlfn.CONCAT(INDEX(Catalogo!$G$4:$G$1502,_xlfn.IFNA(MATCH(C279,Catalogo!$C$4:$C$1502,0),-1)),"-",INDEX(Catalogo!$H$4:$H$1502,_xlfn.IFNA(MATCH(C279,Catalogo!$C$4:$C$1502,0),-1))),"")</f>
        <v/>
      </c>
    </row>
    <row r="280" spans="3:5" x14ac:dyDescent="0.25">
      <c r="C280" s="8"/>
      <c r="D280" s="11" t="str">
        <f>IFERROR(INDEX(Catalogo!$E$4:$E$1502,_xlfn.IFNA(MATCH(C280,Catalogo!$C$4:$C$1502,0),-1)),"")</f>
        <v/>
      </c>
      <c r="E280" s="12" t="str">
        <f>IFERROR(_xlfn.CONCAT(INDEX(Catalogo!$G$4:$G$1502,_xlfn.IFNA(MATCH(C280,Catalogo!$C$4:$C$1502,0),-1)),"-",INDEX(Catalogo!$H$4:$H$1502,_xlfn.IFNA(MATCH(C280,Catalogo!$C$4:$C$1502,0),-1))),"")</f>
        <v/>
      </c>
    </row>
    <row r="281" spans="3:5" x14ac:dyDescent="0.25">
      <c r="C281" s="9"/>
      <c r="D281" s="11" t="str">
        <f>IFERROR(INDEX(Catalogo!$E$4:$E$1502,_xlfn.IFNA(MATCH(C281,Catalogo!$C$4:$C$1502,0),-1)),"")</f>
        <v/>
      </c>
      <c r="E281" s="12" t="str">
        <f>IFERROR(_xlfn.CONCAT(INDEX(Catalogo!$G$4:$G$1502,_xlfn.IFNA(MATCH(C281,Catalogo!$C$4:$C$1502,0),-1)),"-",INDEX(Catalogo!$H$4:$H$1502,_xlfn.IFNA(MATCH(C281,Catalogo!$C$4:$C$1502,0),-1))),"")</f>
        <v/>
      </c>
    </row>
    <row r="282" spans="3:5" x14ac:dyDescent="0.25">
      <c r="C282" s="9"/>
      <c r="D282" s="11" t="str">
        <f>IFERROR(INDEX(Catalogo!$E$4:$E$1502,_xlfn.IFNA(MATCH(C282,Catalogo!$C$4:$C$1502,0),-1)),"")</f>
        <v/>
      </c>
      <c r="E282" s="12" t="str">
        <f>IFERROR(_xlfn.CONCAT(INDEX(Catalogo!$G$4:$G$1502,_xlfn.IFNA(MATCH(C282,Catalogo!$C$4:$C$1502,0),-1)),"-",INDEX(Catalogo!$H$4:$H$1502,_xlfn.IFNA(MATCH(C282,Catalogo!$C$4:$C$1502,0),-1))),"")</f>
        <v/>
      </c>
    </row>
    <row r="283" spans="3:5" x14ac:dyDescent="0.25">
      <c r="C283" s="8"/>
      <c r="D283" s="11" t="str">
        <f>IFERROR(INDEX(Catalogo!$E$4:$E$1502,_xlfn.IFNA(MATCH(C283,Catalogo!$C$4:$C$1502,0),-1)),"")</f>
        <v/>
      </c>
      <c r="E283" s="12" t="str">
        <f>IFERROR(_xlfn.CONCAT(INDEX(Catalogo!$G$4:$G$1502,_xlfn.IFNA(MATCH(C283,Catalogo!$C$4:$C$1502,0),-1)),"-",INDEX(Catalogo!$H$4:$H$1502,_xlfn.IFNA(MATCH(C283,Catalogo!$C$4:$C$1502,0),-1))),"")</f>
        <v/>
      </c>
    </row>
    <row r="284" spans="3:5" x14ac:dyDescent="0.25">
      <c r="C284" s="9"/>
      <c r="D284" s="11" t="str">
        <f>IFERROR(INDEX(Catalogo!$E$4:$E$1502,_xlfn.IFNA(MATCH(C284,Catalogo!$C$4:$C$1502,0),-1)),"")</f>
        <v/>
      </c>
      <c r="E284" s="12" t="str">
        <f>IFERROR(_xlfn.CONCAT(INDEX(Catalogo!$G$4:$G$1502,_xlfn.IFNA(MATCH(C284,Catalogo!$C$4:$C$1502,0),-1)),"-",INDEX(Catalogo!$H$4:$H$1502,_xlfn.IFNA(MATCH(C284,Catalogo!$C$4:$C$1502,0),-1))),"")</f>
        <v/>
      </c>
    </row>
    <row r="285" spans="3:5" x14ac:dyDescent="0.25">
      <c r="C285" s="9"/>
      <c r="D285" s="11" t="str">
        <f>IFERROR(INDEX(Catalogo!$E$4:$E$1502,_xlfn.IFNA(MATCH(C285,Catalogo!$C$4:$C$1502,0),-1)),"")</f>
        <v/>
      </c>
      <c r="E285" s="12" t="str">
        <f>IFERROR(_xlfn.CONCAT(INDEX(Catalogo!$G$4:$G$1502,_xlfn.IFNA(MATCH(C285,Catalogo!$C$4:$C$1502,0),-1)),"-",INDEX(Catalogo!$H$4:$H$1502,_xlfn.IFNA(MATCH(C285,Catalogo!$C$4:$C$1502,0),-1))),"")</f>
        <v/>
      </c>
    </row>
    <row r="286" spans="3:5" x14ac:dyDescent="0.25">
      <c r="C286" s="9"/>
      <c r="D286" s="11" t="str">
        <f>IFERROR(INDEX(Catalogo!$E$4:$E$1502,_xlfn.IFNA(MATCH(C286,Catalogo!$C$4:$C$1502,0),-1)),"")</f>
        <v/>
      </c>
      <c r="E286" s="12" t="str">
        <f>IFERROR(_xlfn.CONCAT(INDEX(Catalogo!$G$4:$G$1502,_xlfn.IFNA(MATCH(C286,Catalogo!$C$4:$C$1502,0),-1)),"-",INDEX(Catalogo!$H$4:$H$1502,_xlfn.IFNA(MATCH(C286,Catalogo!$C$4:$C$1502,0),-1))),"")</f>
        <v/>
      </c>
    </row>
    <row r="287" spans="3:5" x14ac:dyDescent="0.25">
      <c r="C287" s="9"/>
      <c r="D287" s="11" t="str">
        <f>IFERROR(INDEX(Catalogo!$E$4:$E$1502,_xlfn.IFNA(MATCH(C287,Catalogo!$C$4:$C$1502,0),-1)),"")</f>
        <v/>
      </c>
      <c r="E287" s="12" t="str">
        <f>IFERROR(_xlfn.CONCAT(INDEX(Catalogo!$G$4:$G$1502,_xlfn.IFNA(MATCH(C287,Catalogo!$C$4:$C$1502,0),-1)),"-",INDEX(Catalogo!$H$4:$H$1502,_xlfn.IFNA(MATCH(C287,Catalogo!$C$4:$C$1502,0),-1))),"")</f>
        <v/>
      </c>
    </row>
    <row r="288" spans="3:5" x14ac:dyDescent="0.25">
      <c r="C288" s="9"/>
      <c r="D288" s="11" t="str">
        <f>IFERROR(INDEX(Catalogo!$E$4:$E$1502,_xlfn.IFNA(MATCH(C288,Catalogo!$C$4:$C$1502,0),-1)),"")</f>
        <v/>
      </c>
      <c r="E288" s="12" t="str">
        <f>IFERROR(_xlfn.CONCAT(INDEX(Catalogo!$G$4:$G$1502,_xlfn.IFNA(MATCH(C288,Catalogo!$C$4:$C$1502,0),-1)),"-",INDEX(Catalogo!$H$4:$H$1502,_xlfn.IFNA(MATCH(C288,Catalogo!$C$4:$C$1502,0),-1))),"")</f>
        <v/>
      </c>
    </row>
    <row r="289" spans="3:5" x14ac:dyDescent="0.25">
      <c r="C289" s="9"/>
      <c r="D289" s="11" t="str">
        <f>IFERROR(INDEX(Catalogo!$E$4:$E$1502,_xlfn.IFNA(MATCH(C289,Catalogo!$C$4:$C$1502,0),-1)),"")</f>
        <v/>
      </c>
      <c r="E289" s="12" t="str">
        <f>IFERROR(_xlfn.CONCAT(INDEX(Catalogo!$G$4:$G$1502,_xlfn.IFNA(MATCH(C289,Catalogo!$C$4:$C$1502,0),-1)),"-",INDEX(Catalogo!$H$4:$H$1502,_xlfn.IFNA(MATCH(C289,Catalogo!$C$4:$C$1502,0),-1))),"")</f>
        <v/>
      </c>
    </row>
    <row r="290" spans="3:5" x14ac:dyDescent="0.25">
      <c r="C290" s="9"/>
      <c r="D290" s="11" t="str">
        <f>IFERROR(INDEX(Catalogo!$E$4:$E$1502,_xlfn.IFNA(MATCH(C290,Catalogo!$C$4:$C$1502,0),-1)),"")</f>
        <v/>
      </c>
      <c r="E290" s="12" t="str">
        <f>IFERROR(_xlfn.CONCAT(INDEX(Catalogo!$G$4:$G$1502,_xlfn.IFNA(MATCH(C290,Catalogo!$C$4:$C$1502,0),-1)),"-",INDEX(Catalogo!$H$4:$H$1502,_xlfn.IFNA(MATCH(C290,Catalogo!$C$4:$C$1502,0),-1))),"")</f>
        <v/>
      </c>
    </row>
    <row r="291" spans="3:5" x14ac:dyDescent="0.25">
      <c r="C291" s="9"/>
      <c r="D291" s="11" t="str">
        <f>IFERROR(INDEX(Catalogo!$E$4:$E$1502,_xlfn.IFNA(MATCH(C291,Catalogo!$C$4:$C$1502,0),-1)),"")</f>
        <v/>
      </c>
      <c r="E291" s="12" t="str">
        <f>IFERROR(_xlfn.CONCAT(INDEX(Catalogo!$G$4:$G$1502,_xlfn.IFNA(MATCH(C291,Catalogo!$C$4:$C$1502,0),-1)),"-",INDEX(Catalogo!$H$4:$H$1502,_xlfn.IFNA(MATCH(C291,Catalogo!$C$4:$C$1502,0),-1))),"")</f>
        <v/>
      </c>
    </row>
    <row r="292" spans="3:5" x14ac:dyDescent="0.25">
      <c r="C292" s="9"/>
      <c r="D292" s="11" t="str">
        <f>IFERROR(INDEX(Catalogo!$E$4:$E$1502,_xlfn.IFNA(MATCH(C292,Catalogo!$C$4:$C$1502,0),-1)),"")</f>
        <v/>
      </c>
      <c r="E292" s="12" t="str">
        <f>IFERROR(_xlfn.CONCAT(INDEX(Catalogo!$G$4:$G$1502,_xlfn.IFNA(MATCH(C292,Catalogo!$C$4:$C$1502,0),-1)),"-",INDEX(Catalogo!$H$4:$H$1502,_xlfn.IFNA(MATCH(C292,Catalogo!$C$4:$C$1502,0),-1))),"")</f>
        <v/>
      </c>
    </row>
    <row r="293" spans="3:5" x14ac:dyDescent="0.25">
      <c r="C293" s="9"/>
      <c r="D293" s="11" t="str">
        <f>IFERROR(INDEX(Catalogo!$E$4:$E$1502,_xlfn.IFNA(MATCH(C293,Catalogo!$C$4:$C$1502,0),-1)),"")</f>
        <v/>
      </c>
      <c r="E293" s="12" t="str">
        <f>IFERROR(_xlfn.CONCAT(INDEX(Catalogo!$G$4:$G$1502,_xlfn.IFNA(MATCH(C293,Catalogo!$C$4:$C$1502,0),-1)),"-",INDEX(Catalogo!$H$4:$H$1502,_xlfn.IFNA(MATCH(C293,Catalogo!$C$4:$C$1502,0),-1))),"")</f>
        <v/>
      </c>
    </row>
    <row r="294" spans="3:5" x14ac:dyDescent="0.25">
      <c r="C294" s="9"/>
      <c r="D294" s="11" t="str">
        <f>IFERROR(INDEX(Catalogo!$E$4:$E$1502,_xlfn.IFNA(MATCH(C294,Catalogo!$C$4:$C$1502,0),-1)),"")</f>
        <v/>
      </c>
      <c r="E294" s="12" t="str">
        <f>IFERROR(_xlfn.CONCAT(INDEX(Catalogo!$G$4:$G$1502,_xlfn.IFNA(MATCH(C294,Catalogo!$C$4:$C$1502,0),-1)),"-",INDEX(Catalogo!$H$4:$H$1502,_xlfn.IFNA(MATCH(C294,Catalogo!$C$4:$C$1502,0),-1))),"")</f>
        <v/>
      </c>
    </row>
    <row r="295" spans="3:5" x14ac:dyDescent="0.25">
      <c r="C295" s="9"/>
      <c r="D295" s="11" t="str">
        <f>IFERROR(INDEX(Catalogo!$E$4:$E$1502,_xlfn.IFNA(MATCH(C295,Catalogo!$C$4:$C$1502,0),-1)),"")</f>
        <v/>
      </c>
      <c r="E295" s="12" t="str">
        <f>IFERROR(_xlfn.CONCAT(INDEX(Catalogo!$G$4:$G$1502,_xlfn.IFNA(MATCH(C295,Catalogo!$C$4:$C$1502,0),-1)),"-",INDEX(Catalogo!$H$4:$H$1502,_xlfn.IFNA(MATCH(C295,Catalogo!$C$4:$C$1502,0),-1))),"")</f>
        <v/>
      </c>
    </row>
    <row r="296" spans="3:5" x14ac:dyDescent="0.25">
      <c r="C296" s="18"/>
      <c r="D296" s="11" t="str">
        <f>IFERROR(INDEX(Catalogo!$E$4:$E$1502,_xlfn.IFNA(MATCH(C296,Catalogo!$C$4:$C$1502,0),-1)),"")</f>
        <v/>
      </c>
      <c r="E296" s="12" t="str">
        <f>IFERROR(_xlfn.CONCAT(INDEX(Catalogo!$G$4:$G$1502,_xlfn.IFNA(MATCH(C296,Catalogo!$C$4:$C$1502,0),-1)),"-",INDEX(Catalogo!$H$4:$H$1502,_xlfn.IFNA(MATCH(C296,Catalogo!$C$4:$C$1502,0),-1))),"")</f>
        <v/>
      </c>
    </row>
    <row r="297" spans="3:5" x14ac:dyDescent="0.25">
      <c r="C297" s="9"/>
      <c r="D297" s="11" t="str">
        <f>IFERROR(INDEX(Catalogo!$E$4:$E$1502,_xlfn.IFNA(MATCH(C297,Catalogo!$C$4:$C$1502,0),-1)),"")</f>
        <v/>
      </c>
      <c r="E297" s="12" t="str">
        <f>IFERROR(_xlfn.CONCAT(INDEX(Catalogo!$G$4:$G$1502,_xlfn.IFNA(MATCH(C297,Catalogo!$C$4:$C$1502,0),-1)),"-",INDEX(Catalogo!$H$4:$H$1502,_xlfn.IFNA(MATCH(C297,Catalogo!$C$4:$C$1502,0),-1))),"")</f>
        <v/>
      </c>
    </row>
    <row r="298" spans="3:5" x14ac:dyDescent="0.25">
      <c r="C298" s="9"/>
      <c r="D298" s="11" t="str">
        <f>IFERROR(INDEX(Catalogo!$E$4:$E$1502,_xlfn.IFNA(MATCH(C298,Catalogo!$C$4:$C$1502,0),-1)),"")</f>
        <v/>
      </c>
      <c r="E298" s="12" t="str">
        <f>IFERROR(_xlfn.CONCAT(INDEX(Catalogo!$G$4:$G$1502,_xlfn.IFNA(MATCH(C298,Catalogo!$C$4:$C$1502,0),-1)),"-",INDEX(Catalogo!$H$4:$H$1502,_xlfn.IFNA(MATCH(C298,Catalogo!$C$4:$C$1502,0),-1))),"")</f>
        <v/>
      </c>
    </row>
    <row r="299" spans="3:5" x14ac:dyDescent="0.25">
      <c r="C299" s="9"/>
      <c r="D299" s="11" t="str">
        <f>IFERROR(INDEX(Catalogo!$E$4:$E$1502,_xlfn.IFNA(MATCH(C299,Catalogo!$C$4:$C$1502,0),-1)),"")</f>
        <v/>
      </c>
      <c r="E299" s="12" t="str">
        <f>IFERROR(_xlfn.CONCAT(INDEX(Catalogo!$G$4:$G$1502,_xlfn.IFNA(MATCH(C299,Catalogo!$C$4:$C$1502,0),-1)),"-",INDEX(Catalogo!$H$4:$H$1502,_xlfn.IFNA(MATCH(C299,Catalogo!$C$4:$C$1502,0),-1))),"")</f>
        <v/>
      </c>
    </row>
    <row r="300" spans="3:5" x14ac:dyDescent="0.25">
      <c r="C300" s="9"/>
      <c r="D300" s="11" t="str">
        <f>IFERROR(INDEX(Catalogo!$E$4:$E$1502,_xlfn.IFNA(MATCH(C300,Catalogo!$C$4:$C$1502,0),-1)),"")</f>
        <v/>
      </c>
      <c r="E300" s="12" t="str">
        <f>IFERROR(_xlfn.CONCAT(INDEX(Catalogo!$G$4:$G$1502,_xlfn.IFNA(MATCH(C300,Catalogo!$C$4:$C$1502,0),-1)),"-",INDEX(Catalogo!$H$4:$H$1502,_xlfn.IFNA(MATCH(C300,Catalogo!$C$4:$C$1502,0),-1))),"")</f>
        <v/>
      </c>
    </row>
    <row r="301" spans="3:5" x14ac:dyDescent="0.25">
      <c r="C301" s="9"/>
      <c r="D301" s="11" t="str">
        <f>IFERROR(INDEX(Catalogo!$E$4:$E$1502,_xlfn.IFNA(MATCH(C301,Catalogo!$C$4:$C$1502,0),-1)),"")</f>
        <v/>
      </c>
      <c r="E301" s="12" t="str">
        <f>IFERROR(_xlfn.CONCAT(INDEX(Catalogo!$G$4:$G$1502,_xlfn.IFNA(MATCH(C301,Catalogo!$C$4:$C$1502,0),-1)),"-",INDEX(Catalogo!$H$4:$H$1502,_xlfn.IFNA(MATCH(C301,Catalogo!$C$4:$C$1502,0),-1))),"")</f>
        <v/>
      </c>
    </row>
    <row r="302" spans="3:5" x14ac:dyDescent="0.25">
      <c r="C302" s="9"/>
      <c r="D302" s="11" t="str">
        <f>IFERROR(INDEX(Catalogo!$E$4:$E$1502,_xlfn.IFNA(MATCH(C302,Catalogo!$C$4:$C$1502,0),-1)),"")</f>
        <v/>
      </c>
      <c r="E302" s="12" t="str">
        <f>IFERROR(_xlfn.CONCAT(INDEX(Catalogo!$G$4:$G$1502,_xlfn.IFNA(MATCH(C302,Catalogo!$C$4:$C$1502,0),-1)),"-",INDEX(Catalogo!$H$4:$H$1502,_xlfn.IFNA(MATCH(C302,Catalogo!$C$4:$C$1502,0),-1))),"")</f>
        <v/>
      </c>
    </row>
    <row r="303" spans="3:5" x14ac:dyDescent="0.25">
      <c r="C303" s="9"/>
      <c r="D303" s="11" t="str">
        <f>IFERROR(INDEX(Catalogo!$E$4:$E$1502,_xlfn.IFNA(MATCH(C303,Catalogo!$C$4:$C$1502,0),-1)),"")</f>
        <v/>
      </c>
      <c r="E303" s="12" t="str">
        <f>IFERROR(_xlfn.CONCAT(INDEX(Catalogo!$G$4:$G$1502,_xlfn.IFNA(MATCH(C303,Catalogo!$C$4:$C$1502,0),-1)),"-",INDEX(Catalogo!$H$4:$H$1502,_xlfn.IFNA(MATCH(C303,Catalogo!$C$4:$C$1502,0),-1))),"")</f>
        <v/>
      </c>
    </row>
    <row r="304" spans="3:5" x14ac:dyDescent="0.25">
      <c r="C304" s="9"/>
      <c r="D304" s="11" t="str">
        <f>IFERROR(INDEX(Catalogo!$E$4:$E$1502,_xlfn.IFNA(MATCH(C304,Catalogo!$C$4:$C$1502,0),-1)),"")</f>
        <v/>
      </c>
      <c r="E304" s="12" t="str">
        <f>IFERROR(_xlfn.CONCAT(INDEX(Catalogo!$G$4:$G$1502,_xlfn.IFNA(MATCH(C304,Catalogo!$C$4:$C$1502,0),-1)),"-",INDEX(Catalogo!$H$4:$H$1502,_xlfn.IFNA(MATCH(C304,Catalogo!$C$4:$C$1502,0),-1))),"")</f>
        <v/>
      </c>
    </row>
    <row r="305" spans="3:5" x14ac:dyDescent="0.25">
      <c r="C305" s="9"/>
      <c r="D305" s="11" t="str">
        <f>IFERROR(INDEX(Catalogo!$E$4:$E$1502,_xlfn.IFNA(MATCH(C305,Catalogo!$C$4:$C$1502,0),-1)),"")</f>
        <v/>
      </c>
      <c r="E305" s="12" t="str">
        <f>IFERROR(_xlfn.CONCAT(INDEX(Catalogo!$G$4:$G$1502,_xlfn.IFNA(MATCH(C305,Catalogo!$C$4:$C$1502,0),-1)),"-",INDEX(Catalogo!$H$4:$H$1502,_xlfn.IFNA(MATCH(C305,Catalogo!$C$4:$C$1502,0),-1))),"")</f>
        <v/>
      </c>
    </row>
    <row r="306" spans="3:5" x14ac:dyDescent="0.25">
      <c r="C306" s="9"/>
      <c r="D306" s="11" t="str">
        <f>IFERROR(INDEX(Catalogo!$E$4:$E$1502,_xlfn.IFNA(MATCH(C306,Catalogo!$C$4:$C$1502,0),-1)),"")</f>
        <v/>
      </c>
      <c r="E306" s="12" t="str">
        <f>IFERROR(_xlfn.CONCAT(INDEX(Catalogo!$G$4:$G$1502,_xlfn.IFNA(MATCH(C306,Catalogo!$C$4:$C$1502,0),-1)),"-",INDEX(Catalogo!$H$4:$H$1502,_xlfn.IFNA(MATCH(C306,Catalogo!$C$4:$C$1502,0),-1))),"")</f>
        <v/>
      </c>
    </row>
    <row r="307" spans="3:5" x14ac:dyDescent="0.25">
      <c r="C307" s="17"/>
      <c r="D307" s="11" t="str">
        <f>IFERROR(INDEX(Catalogo!$E$4:$E$1502,_xlfn.IFNA(MATCH(C307,Catalogo!$C$4:$C$1502,0),-1)),"")</f>
        <v/>
      </c>
      <c r="E307" s="12" t="str">
        <f>IFERROR(_xlfn.CONCAT(INDEX(Catalogo!$G$4:$G$1502,_xlfn.IFNA(MATCH(C307,Catalogo!$C$4:$C$1502,0),-1)),"-",INDEX(Catalogo!$H$4:$H$1502,_xlfn.IFNA(MATCH(C307,Catalogo!$C$4:$C$1502,0),-1))),"")</f>
        <v/>
      </c>
    </row>
    <row r="308" spans="3:5" x14ac:dyDescent="0.25">
      <c r="C308" s="9"/>
      <c r="D308" s="11" t="str">
        <f>IFERROR(INDEX(Catalogo!$E$4:$E$1502,_xlfn.IFNA(MATCH(C308,Catalogo!$C$4:$C$1502,0),-1)),"")</f>
        <v/>
      </c>
      <c r="E308" s="12" t="str">
        <f>IFERROR(_xlfn.CONCAT(INDEX(Catalogo!$G$4:$G$1502,_xlfn.IFNA(MATCH(C308,Catalogo!$C$4:$C$1502,0),-1)),"-",INDEX(Catalogo!$H$4:$H$1502,_xlfn.IFNA(MATCH(C308,Catalogo!$C$4:$C$1502,0),-1))),"")</f>
        <v/>
      </c>
    </row>
    <row r="309" spans="3:5" x14ac:dyDescent="0.25">
      <c r="C309" s="17"/>
      <c r="D309" s="11" t="str">
        <f>IFERROR(INDEX(Catalogo!$E$4:$E$1502,_xlfn.IFNA(MATCH(C309,Catalogo!$C$4:$C$1502,0),-1)),"")</f>
        <v/>
      </c>
      <c r="E309" s="12" t="str">
        <f>IFERROR(_xlfn.CONCAT(INDEX(Catalogo!$G$4:$G$1502,_xlfn.IFNA(MATCH(C309,Catalogo!$C$4:$C$1502,0),-1)),"-",INDEX(Catalogo!$H$4:$H$1502,_xlfn.IFNA(MATCH(C309,Catalogo!$C$4:$C$1502,0),-1))),"")</f>
        <v/>
      </c>
    </row>
    <row r="310" spans="3:5" x14ac:dyDescent="0.25">
      <c r="C310" s="8"/>
      <c r="D310" s="11" t="str">
        <f>IFERROR(INDEX(Catalogo!$E$4:$E$1502,_xlfn.IFNA(MATCH(C310,Catalogo!$C$4:$C$1502,0),-1)),"")</f>
        <v/>
      </c>
      <c r="E310" s="12" t="str">
        <f>IFERROR(_xlfn.CONCAT(INDEX(Catalogo!$G$4:$G$1502,_xlfn.IFNA(MATCH(C310,Catalogo!$C$4:$C$1502,0),-1)),"-",INDEX(Catalogo!$H$4:$H$1502,_xlfn.IFNA(MATCH(C310,Catalogo!$C$4:$C$1502,0),-1))),"")</f>
        <v/>
      </c>
    </row>
    <row r="311" spans="3:5" x14ac:dyDescent="0.25">
      <c r="C311" s="9"/>
      <c r="D311" s="11" t="str">
        <f>IFERROR(INDEX(Catalogo!$E$4:$E$1502,_xlfn.IFNA(MATCH(C311,Catalogo!$C$4:$C$1502,0),-1)),"")</f>
        <v/>
      </c>
      <c r="E311" s="12" t="str">
        <f>IFERROR(_xlfn.CONCAT(INDEX(Catalogo!$G$4:$G$1502,_xlfn.IFNA(MATCH(C311,Catalogo!$C$4:$C$1502,0),-1)),"-",INDEX(Catalogo!$H$4:$H$1502,_xlfn.IFNA(MATCH(C311,Catalogo!$C$4:$C$1502,0),-1))),"")</f>
        <v/>
      </c>
    </row>
    <row r="312" spans="3:5" x14ac:dyDescent="0.25">
      <c r="C312" s="9"/>
      <c r="D312" s="11" t="str">
        <f>IFERROR(INDEX(Catalogo!$E$4:$E$1502,_xlfn.IFNA(MATCH(C312,Catalogo!$C$4:$C$1502,0),-1)),"")</f>
        <v/>
      </c>
      <c r="E312" s="12" t="str">
        <f>IFERROR(_xlfn.CONCAT(INDEX(Catalogo!$G$4:$G$1502,_xlfn.IFNA(MATCH(C312,Catalogo!$C$4:$C$1502,0),-1)),"-",INDEX(Catalogo!$H$4:$H$1502,_xlfn.IFNA(MATCH(C312,Catalogo!$C$4:$C$1502,0),-1))),"")</f>
        <v/>
      </c>
    </row>
    <row r="313" spans="3:5" x14ac:dyDescent="0.25">
      <c r="C313" s="9"/>
      <c r="D313" s="11" t="str">
        <f>IFERROR(INDEX(Catalogo!$E$4:$E$1502,_xlfn.IFNA(MATCH(C313,Catalogo!$C$4:$C$1502,0),-1)),"")</f>
        <v/>
      </c>
      <c r="E313" s="12" t="str">
        <f>IFERROR(_xlfn.CONCAT(INDEX(Catalogo!$G$4:$G$1502,_xlfn.IFNA(MATCH(C313,Catalogo!$C$4:$C$1502,0),-1)),"-",INDEX(Catalogo!$H$4:$H$1502,_xlfn.IFNA(MATCH(C313,Catalogo!$C$4:$C$1502,0),-1))),"")</f>
        <v/>
      </c>
    </row>
    <row r="314" spans="3:5" x14ac:dyDescent="0.25">
      <c r="C314" s="9"/>
      <c r="D314" s="11" t="str">
        <f>IFERROR(INDEX(Catalogo!$E$4:$E$1502,_xlfn.IFNA(MATCH(C314,Catalogo!$C$4:$C$1502,0),-1)),"")</f>
        <v/>
      </c>
      <c r="E314" s="12" t="str">
        <f>IFERROR(_xlfn.CONCAT(INDEX(Catalogo!$G$4:$G$1502,_xlfn.IFNA(MATCH(C314,Catalogo!$C$4:$C$1502,0),-1)),"-",INDEX(Catalogo!$H$4:$H$1502,_xlfn.IFNA(MATCH(C314,Catalogo!$C$4:$C$1502,0),-1))),"")</f>
        <v/>
      </c>
    </row>
    <row r="315" spans="3:5" x14ac:dyDescent="0.25">
      <c r="C315" s="18"/>
      <c r="D315" s="11" t="str">
        <f>IFERROR(INDEX(Catalogo!$E$4:$E$1502,_xlfn.IFNA(MATCH(C315,Catalogo!$C$4:$C$1502,0),-1)),"")</f>
        <v/>
      </c>
      <c r="E315" s="12" t="str">
        <f>IFERROR(_xlfn.CONCAT(INDEX(Catalogo!$G$4:$G$1502,_xlfn.IFNA(MATCH(C315,Catalogo!$C$4:$C$1502,0),-1)),"-",INDEX(Catalogo!$H$4:$H$1502,_xlfn.IFNA(MATCH(C315,Catalogo!$C$4:$C$1502,0),-1))),"")</f>
        <v/>
      </c>
    </row>
    <row r="316" spans="3:5" x14ac:dyDescent="0.25">
      <c r="C316" s="9"/>
      <c r="D316" s="11" t="str">
        <f>IFERROR(INDEX(Catalogo!$E$4:$E$1502,_xlfn.IFNA(MATCH(C316,Catalogo!$C$4:$C$1502,0),-1)),"")</f>
        <v/>
      </c>
      <c r="E316" s="12" t="str">
        <f>IFERROR(_xlfn.CONCAT(INDEX(Catalogo!$G$4:$G$1502,_xlfn.IFNA(MATCH(C316,Catalogo!$C$4:$C$1502,0),-1)),"-",INDEX(Catalogo!$H$4:$H$1502,_xlfn.IFNA(MATCH(C316,Catalogo!$C$4:$C$1502,0),-1))),"")</f>
        <v/>
      </c>
    </row>
    <row r="317" spans="3:5" x14ac:dyDescent="0.25">
      <c r="C317" s="8"/>
      <c r="D317" s="11" t="str">
        <f>IFERROR(INDEX(Catalogo!$E$4:$E$1502,_xlfn.IFNA(MATCH(C317,Catalogo!$C$4:$C$1502,0),-1)),"")</f>
        <v/>
      </c>
      <c r="E317" s="12" t="str">
        <f>IFERROR(_xlfn.CONCAT(INDEX(Catalogo!$G$4:$G$1502,_xlfn.IFNA(MATCH(C317,Catalogo!$C$4:$C$1502,0),-1)),"-",INDEX(Catalogo!$H$4:$H$1502,_xlfn.IFNA(MATCH(C317,Catalogo!$C$4:$C$1502,0),-1))),"")</f>
        <v/>
      </c>
    </row>
    <row r="318" spans="3:5" x14ac:dyDescent="0.25">
      <c r="C318" s="9"/>
      <c r="D318" s="11" t="str">
        <f>IFERROR(INDEX(Catalogo!$E$4:$E$1502,_xlfn.IFNA(MATCH(C318,Catalogo!$C$4:$C$1502,0),-1)),"")</f>
        <v/>
      </c>
      <c r="E318" s="12" t="str">
        <f>IFERROR(_xlfn.CONCAT(INDEX(Catalogo!$G$4:$G$1502,_xlfn.IFNA(MATCH(C318,Catalogo!$C$4:$C$1502,0),-1)),"-",INDEX(Catalogo!$H$4:$H$1502,_xlfn.IFNA(MATCH(C318,Catalogo!$C$4:$C$1502,0),-1))),"")</f>
        <v/>
      </c>
    </row>
    <row r="319" spans="3:5" x14ac:dyDescent="0.25">
      <c r="C319" s="9"/>
      <c r="D319" s="11" t="str">
        <f>IFERROR(INDEX(Catalogo!$E$4:$E$1502,_xlfn.IFNA(MATCH(C319,Catalogo!$C$4:$C$1502,0),-1)),"")</f>
        <v/>
      </c>
      <c r="E319" s="12" t="str">
        <f>IFERROR(_xlfn.CONCAT(INDEX(Catalogo!$G$4:$G$1502,_xlfn.IFNA(MATCH(C319,Catalogo!$C$4:$C$1502,0),-1)),"-",INDEX(Catalogo!$H$4:$H$1502,_xlfn.IFNA(MATCH(C319,Catalogo!$C$4:$C$1502,0),-1))),"")</f>
        <v/>
      </c>
    </row>
    <row r="320" spans="3:5" x14ac:dyDescent="0.25">
      <c r="C320" s="17"/>
      <c r="D320" s="11" t="str">
        <f>IFERROR(INDEX(Catalogo!$E$4:$E$1502,_xlfn.IFNA(MATCH(C320,Catalogo!$C$4:$C$1502,0),-1)),"")</f>
        <v/>
      </c>
      <c r="E320" s="12" t="str">
        <f>IFERROR(_xlfn.CONCAT(INDEX(Catalogo!$G$4:$G$1502,_xlfn.IFNA(MATCH(C320,Catalogo!$C$4:$C$1502,0),-1)),"-",INDEX(Catalogo!$H$4:$H$1502,_xlfn.IFNA(MATCH(C320,Catalogo!$C$4:$C$1502,0),-1))),"")</f>
        <v/>
      </c>
    </row>
    <row r="321" spans="3:5" x14ac:dyDescent="0.25">
      <c r="C321" s="8"/>
      <c r="D321" s="11" t="str">
        <f>IFERROR(INDEX(Catalogo!$E$4:$E$1502,_xlfn.IFNA(MATCH(C321,Catalogo!$C$4:$C$1502,0),-1)),"")</f>
        <v/>
      </c>
      <c r="E321" s="12" t="str">
        <f>IFERROR(_xlfn.CONCAT(INDEX(Catalogo!$G$4:$G$1502,_xlfn.IFNA(MATCH(C321,Catalogo!$C$4:$C$1502,0),-1)),"-",INDEX(Catalogo!$H$4:$H$1502,_xlfn.IFNA(MATCH(C321,Catalogo!$C$4:$C$1502,0),-1))),"")</f>
        <v/>
      </c>
    </row>
    <row r="322" spans="3:5" x14ac:dyDescent="0.25">
      <c r="C322" s="9"/>
      <c r="D322" s="11" t="str">
        <f>IFERROR(INDEX(Catalogo!$E$4:$E$1502,_xlfn.IFNA(MATCH(C322,Catalogo!$C$4:$C$1502,0),-1)),"")</f>
        <v/>
      </c>
      <c r="E322" s="12" t="str">
        <f>IFERROR(_xlfn.CONCAT(INDEX(Catalogo!$G$4:$G$1502,_xlfn.IFNA(MATCH(C322,Catalogo!$C$4:$C$1502,0),-1)),"-",INDEX(Catalogo!$H$4:$H$1502,_xlfn.IFNA(MATCH(C322,Catalogo!$C$4:$C$1502,0),-1))),"")</f>
        <v/>
      </c>
    </row>
    <row r="323" spans="3:5" x14ac:dyDescent="0.25">
      <c r="C323" s="8"/>
      <c r="D323" s="11" t="str">
        <f>IFERROR(INDEX(Catalogo!$E$4:$E$1502,_xlfn.IFNA(MATCH(C323,Catalogo!$C$4:$C$1502,0),-1)),"")</f>
        <v/>
      </c>
      <c r="E323" s="12" t="str">
        <f>IFERROR(_xlfn.CONCAT(INDEX(Catalogo!$G$4:$G$1502,_xlfn.IFNA(MATCH(C323,Catalogo!$C$4:$C$1502,0),-1)),"-",INDEX(Catalogo!$H$4:$H$1502,_xlfn.IFNA(MATCH(C323,Catalogo!$C$4:$C$1502,0),-1))),"")</f>
        <v/>
      </c>
    </row>
    <row r="324" spans="3:5" x14ac:dyDescent="0.25">
      <c r="C324" s="17"/>
      <c r="D324" s="11" t="str">
        <f>IFERROR(INDEX(Catalogo!$E$4:$E$1502,_xlfn.IFNA(MATCH(C324,Catalogo!$C$4:$C$1502,0),-1)),"")</f>
        <v/>
      </c>
      <c r="E324" s="12" t="str">
        <f>IFERROR(_xlfn.CONCAT(INDEX(Catalogo!$G$4:$G$1502,_xlfn.IFNA(MATCH(C324,Catalogo!$C$4:$C$1502,0),-1)),"-",INDEX(Catalogo!$H$4:$H$1502,_xlfn.IFNA(MATCH(C324,Catalogo!$C$4:$C$1502,0),-1))),"")</f>
        <v/>
      </c>
    </row>
    <row r="325" spans="3:5" x14ac:dyDescent="0.25">
      <c r="C325" s="9"/>
      <c r="D325" s="11" t="str">
        <f>IFERROR(INDEX(Catalogo!$E$4:$E$1502,_xlfn.IFNA(MATCH(C325,Catalogo!$C$4:$C$1502,0),-1)),"")</f>
        <v/>
      </c>
      <c r="E325" s="12" t="str">
        <f>IFERROR(_xlfn.CONCAT(INDEX(Catalogo!$G$4:$G$1502,_xlfn.IFNA(MATCH(C325,Catalogo!$C$4:$C$1502,0),-1)),"-",INDEX(Catalogo!$H$4:$H$1502,_xlfn.IFNA(MATCH(C325,Catalogo!$C$4:$C$1502,0),-1))),"")</f>
        <v/>
      </c>
    </row>
    <row r="326" spans="3:5" x14ac:dyDescent="0.25">
      <c r="C326" s="18"/>
      <c r="D326" s="11" t="str">
        <f>IFERROR(INDEX(Catalogo!$E$4:$E$1502,_xlfn.IFNA(MATCH(C326,Catalogo!$C$4:$C$1502,0),-1)),"")</f>
        <v/>
      </c>
      <c r="E326" s="12" t="str">
        <f>IFERROR(_xlfn.CONCAT(INDEX(Catalogo!$G$4:$G$1502,_xlfn.IFNA(MATCH(C326,Catalogo!$C$4:$C$1502,0),-1)),"-",INDEX(Catalogo!$H$4:$H$1502,_xlfn.IFNA(MATCH(C326,Catalogo!$C$4:$C$1502,0),-1))),"")</f>
        <v/>
      </c>
    </row>
    <row r="327" spans="3:5" x14ac:dyDescent="0.25">
      <c r="C327" s="9"/>
      <c r="D327" s="11" t="str">
        <f>IFERROR(INDEX(Catalogo!$E$4:$E$1502,_xlfn.IFNA(MATCH(C327,Catalogo!$C$4:$C$1502,0),-1)),"")</f>
        <v/>
      </c>
      <c r="E327" s="12" t="str">
        <f>IFERROR(_xlfn.CONCAT(INDEX(Catalogo!$G$4:$G$1502,_xlfn.IFNA(MATCH(C327,Catalogo!$C$4:$C$1502,0),-1)),"-",INDEX(Catalogo!$H$4:$H$1502,_xlfn.IFNA(MATCH(C327,Catalogo!$C$4:$C$1502,0),-1))),"")</f>
        <v/>
      </c>
    </row>
    <row r="328" spans="3:5" x14ac:dyDescent="0.25">
      <c r="C328" s="9"/>
      <c r="D328" s="11" t="str">
        <f>IFERROR(INDEX(Catalogo!$E$4:$E$1502,_xlfn.IFNA(MATCH(C328,Catalogo!$C$4:$C$1502,0),-1)),"")</f>
        <v/>
      </c>
      <c r="E328" s="12" t="str">
        <f>IFERROR(_xlfn.CONCAT(INDEX(Catalogo!$G$4:$G$1502,_xlfn.IFNA(MATCH(C328,Catalogo!$C$4:$C$1502,0),-1)),"-",INDEX(Catalogo!$H$4:$H$1502,_xlfn.IFNA(MATCH(C328,Catalogo!$C$4:$C$1502,0),-1))),"")</f>
        <v/>
      </c>
    </row>
    <row r="329" spans="3:5" x14ac:dyDescent="0.25">
      <c r="C329" s="17"/>
      <c r="D329" s="11" t="str">
        <f>IFERROR(INDEX(Catalogo!$E$4:$E$1502,_xlfn.IFNA(MATCH(C329,Catalogo!$C$4:$C$1502,0),-1)),"")</f>
        <v/>
      </c>
      <c r="E329" s="12" t="str">
        <f>IFERROR(_xlfn.CONCAT(INDEX(Catalogo!$G$4:$G$1502,_xlfn.IFNA(MATCH(C329,Catalogo!$C$4:$C$1502,0),-1)),"-",INDEX(Catalogo!$H$4:$H$1502,_xlfn.IFNA(MATCH(C329,Catalogo!$C$4:$C$1502,0),-1))),"")</f>
        <v/>
      </c>
    </row>
    <row r="330" spans="3:5" x14ac:dyDescent="0.25">
      <c r="C330" s="9"/>
      <c r="D330" s="11" t="str">
        <f>IFERROR(INDEX(Catalogo!$E$4:$E$1502,_xlfn.IFNA(MATCH(C330,Catalogo!$C$4:$C$1502,0),-1)),"")</f>
        <v/>
      </c>
      <c r="E330" s="12" t="str">
        <f>IFERROR(_xlfn.CONCAT(INDEX(Catalogo!$G$4:$G$1502,_xlfn.IFNA(MATCH(C330,Catalogo!$C$4:$C$1502,0),-1)),"-",INDEX(Catalogo!$H$4:$H$1502,_xlfn.IFNA(MATCH(C330,Catalogo!$C$4:$C$1502,0),-1))),"")</f>
        <v/>
      </c>
    </row>
    <row r="331" spans="3:5" x14ac:dyDescent="0.25">
      <c r="C331" s="9"/>
      <c r="D331" s="11" t="str">
        <f>IFERROR(INDEX(Catalogo!$E$4:$E$1502,_xlfn.IFNA(MATCH(C331,Catalogo!$C$4:$C$1502,0),-1)),"")</f>
        <v/>
      </c>
      <c r="E331" s="12" t="str">
        <f>IFERROR(_xlfn.CONCAT(INDEX(Catalogo!$G$4:$G$1502,_xlfn.IFNA(MATCH(C331,Catalogo!$C$4:$C$1502,0),-1)),"-",INDEX(Catalogo!$H$4:$H$1502,_xlfn.IFNA(MATCH(C331,Catalogo!$C$4:$C$1502,0),-1))),"")</f>
        <v/>
      </c>
    </row>
    <row r="332" spans="3:5" x14ac:dyDescent="0.25">
      <c r="C332" s="9"/>
      <c r="D332" s="11" t="str">
        <f>IFERROR(INDEX(Catalogo!$E$4:$E$1502,_xlfn.IFNA(MATCH(C332,Catalogo!$C$4:$C$1502,0),-1)),"")</f>
        <v/>
      </c>
      <c r="E332" s="12" t="str">
        <f>IFERROR(_xlfn.CONCAT(INDEX(Catalogo!$G$4:$G$1502,_xlfn.IFNA(MATCH(C332,Catalogo!$C$4:$C$1502,0),-1)),"-",INDEX(Catalogo!$H$4:$H$1502,_xlfn.IFNA(MATCH(C332,Catalogo!$C$4:$C$1502,0),-1))),"")</f>
        <v/>
      </c>
    </row>
    <row r="333" spans="3:5" x14ac:dyDescent="0.25">
      <c r="C333" s="9"/>
      <c r="D333" s="11" t="str">
        <f>IFERROR(INDEX(Catalogo!$E$4:$E$1502,_xlfn.IFNA(MATCH(C333,Catalogo!$C$4:$C$1502,0),-1)),"")</f>
        <v/>
      </c>
      <c r="E333" s="12" t="str">
        <f>IFERROR(_xlfn.CONCAT(INDEX(Catalogo!$G$4:$G$1502,_xlfn.IFNA(MATCH(C333,Catalogo!$C$4:$C$1502,0),-1)),"-",INDEX(Catalogo!$H$4:$H$1502,_xlfn.IFNA(MATCH(C333,Catalogo!$C$4:$C$1502,0),-1))),"")</f>
        <v/>
      </c>
    </row>
    <row r="334" spans="3:5" x14ac:dyDescent="0.25">
      <c r="C334" s="17"/>
      <c r="D334" s="11" t="str">
        <f>IFERROR(INDEX(Catalogo!$E$4:$E$1502,_xlfn.IFNA(MATCH(C334,Catalogo!$C$4:$C$1502,0),-1)),"")</f>
        <v/>
      </c>
      <c r="E334" s="12" t="str">
        <f>IFERROR(_xlfn.CONCAT(INDEX(Catalogo!$G$4:$G$1502,_xlfn.IFNA(MATCH(C334,Catalogo!$C$4:$C$1502,0),-1)),"-",INDEX(Catalogo!$H$4:$H$1502,_xlfn.IFNA(MATCH(C334,Catalogo!$C$4:$C$1502,0),-1))),"")</f>
        <v/>
      </c>
    </row>
    <row r="335" spans="3:5" x14ac:dyDescent="0.25">
      <c r="C335" s="9"/>
      <c r="D335" s="11" t="str">
        <f>IFERROR(INDEX(Catalogo!$E$4:$E$1502,_xlfn.IFNA(MATCH(C335,Catalogo!$C$4:$C$1502,0),-1)),"")</f>
        <v/>
      </c>
      <c r="E335" s="12" t="str">
        <f>IFERROR(_xlfn.CONCAT(INDEX(Catalogo!$G$4:$G$1502,_xlfn.IFNA(MATCH(C335,Catalogo!$C$4:$C$1502,0),-1)),"-",INDEX(Catalogo!$H$4:$H$1502,_xlfn.IFNA(MATCH(C335,Catalogo!$C$4:$C$1502,0),-1))),"")</f>
        <v/>
      </c>
    </row>
    <row r="336" spans="3:5" x14ac:dyDescent="0.25">
      <c r="C336" s="9"/>
      <c r="D336" s="11" t="str">
        <f>IFERROR(INDEX(Catalogo!$E$4:$E$1502,_xlfn.IFNA(MATCH(C336,Catalogo!$C$4:$C$1502,0),-1)),"")</f>
        <v/>
      </c>
      <c r="E336" s="12" t="str">
        <f>IFERROR(_xlfn.CONCAT(INDEX(Catalogo!$G$4:$G$1502,_xlfn.IFNA(MATCH(C336,Catalogo!$C$4:$C$1502,0),-1)),"-",INDEX(Catalogo!$H$4:$H$1502,_xlfn.IFNA(MATCH(C336,Catalogo!$C$4:$C$1502,0),-1))),"")</f>
        <v/>
      </c>
    </row>
    <row r="337" spans="3:5" x14ac:dyDescent="0.25">
      <c r="C337" s="8"/>
      <c r="D337" s="11" t="str">
        <f>IFERROR(INDEX(Catalogo!$E$4:$E$1502,_xlfn.IFNA(MATCH(C337,Catalogo!$C$4:$C$1502,0),-1)),"")</f>
        <v/>
      </c>
      <c r="E337" s="12" t="str">
        <f>IFERROR(_xlfn.CONCAT(INDEX(Catalogo!$G$4:$G$1502,_xlfn.IFNA(MATCH(C337,Catalogo!$C$4:$C$1502,0),-1)),"-",INDEX(Catalogo!$H$4:$H$1502,_xlfn.IFNA(MATCH(C337,Catalogo!$C$4:$C$1502,0),-1))),"")</f>
        <v/>
      </c>
    </row>
    <row r="338" spans="3:5" x14ac:dyDescent="0.25">
      <c r="C338" s="9"/>
      <c r="D338" s="11" t="str">
        <f>IFERROR(INDEX(Catalogo!$E$4:$E$1502,_xlfn.IFNA(MATCH(C338,Catalogo!$C$4:$C$1502,0),-1)),"")</f>
        <v/>
      </c>
      <c r="E338" s="12" t="str">
        <f>IFERROR(_xlfn.CONCAT(INDEX(Catalogo!$G$4:$G$1502,_xlfn.IFNA(MATCH(C338,Catalogo!$C$4:$C$1502,0),-1)),"-",INDEX(Catalogo!$H$4:$H$1502,_xlfn.IFNA(MATCH(C338,Catalogo!$C$4:$C$1502,0),-1))),"")</f>
        <v/>
      </c>
    </row>
    <row r="339" spans="3:5" x14ac:dyDescent="0.25">
      <c r="C339" s="9"/>
      <c r="D339" s="11" t="str">
        <f>IFERROR(INDEX(Catalogo!$E$4:$E$1502,_xlfn.IFNA(MATCH(C339,Catalogo!$C$4:$C$1502,0),-1)),"")</f>
        <v/>
      </c>
      <c r="E339" s="12" t="str">
        <f>IFERROR(_xlfn.CONCAT(INDEX(Catalogo!$G$4:$G$1502,_xlfn.IFNA(MATCH(C339,Catalogo!$C$4:$C$1502,0),-1)),"-",INDEX(Catalogo!$H$4:$H$1502,_xlfn.IFNA(MATCH(C339,Catalogo!$C$4:$C$1502,0),-1))),"")</f>
        <v/>
      </c>
    </row>
    <row r="340" spans="3:5" x14ac:dyDescent="0.25">
      <c r="C340" s="17"/>
      <c r="D340" s="11" t="str">
        <f>IFERROR(INDEX(Catalogo!$E$4:$E$1502,_xlfn.IFNA(MATCH(C340,Catalogo!$C$4:$C$1502,0),-1)),"")</f>
        <v/>
      </c>
      <c r="E340" s="12" t="str">
        <f>IFERROR(_xlfn.CONCAT(INDEX(Catalogo!$G$4:$G$1502,_xlfn.IFNA(MATCH(C340,Catalogo!$C$4:$C$1502,0),-1)),"-",INDEX(Catalogo!$H$4:$H$1502,_xlfn.IFNA(MATCH(C340,Catalogo!$C$4:$C$1502,0),-1))),"")</f>
        <v/>
      </c>
    </row>
    <row r="341" spans="3:5" x14ac:dyDescent="0.25">
      <c r="C341" s="9"/>
      <c r="D341" s="11" t="str">
        <f>IFERROR(INDEX(Catalogo!$E$4:$E$1502,_xlfn.IFNA(MATCH(C341,Catalogo!$C$4:$C$1502,0),-1)),"")</f>
        <v/>
      </c>
      <c r="E341" s="12" t="str">
        <f>IFERROR(_xlfn.CONCAT(INDEX(Catalogo!$G$4:$G$1502,_xlfn.IFNA(MATCH(C341,Catalogo!$C$4:$C$1502,0),-1)),"-",INDEX(Catalogo!$H$4:$H$1502,_xlfn.IFNA(MATCH(C341,Catalogo!$C$4:$C$1502,0),-1))),"")</f>
        <v/>
      </c>
    </row>
    <row r="342" spans="3:5" x14ac:dyDescent="0.25">
      <c r="C342" s="17"/>
      <c r="D342" s="11" t="str">
        <f>IFERROR(INDEX(Catalogo!$E$4:$E$1502,_xlfn.IFNA(MATCH(C342,Catalogo!$C$4:$C$1502,0),-1)),"")</f>
        <v/>
      </c>
      <c r="E342" s="12" t="str">
        <f>IFERROR(_xlfn.CONCAT(INDEX(Catalogo!$G$4:$G$1502,_xlfn.IFNA(MATCH(C342,Catalogo!$C$4:$C$1502,0),-1)),"-",INDEX(Catalogo!$H$4:$H$1502,_xlfn.IFNA(MATCH(C342,Catalogo!$C$4:$C$1502,0),-1))),"")</f>
        <v/>
      </c>
    </row>
    <row r="343" spans="3:5" x14ac:dyDescent="0.25">
      <c r="C343" s="9"/>
      <c r="D343" s="11" t="str">
        <f>IFERROR(INDEX(Catalogo!$E$4:$E$1502,_xlfn.IFNA(MATCH(C343,Catalogo!$C$4:$C$1502,0),-1)),"")</f>
        <v/>
      </c>
      <c r="E343" s="12" t="str">
        <f>IFERROR(_xlfn.CONCAT(INDEX(Catalogo!$G$4:$G$1502,_xlfn.IFNA(MATCH(C343,Catalogo!$C$4:$C$1502,0),-1)),"-",INDEX(Catalogo!$H$4:$H$1502,_xlfn.IFNA(MATCH(C343,Catalogo!$C$4:$C$1502,0),-1))),"")</f>
        <v/>
      </c>
    </row>
    <row r="344" spans="3:5" x14ac:dyDescent="0.25">
      <c r="C344" s="17"/>
      <c r="D344" s="11" t="str">
        <f>IFERROR(INDEX(Catalogo!$E$4:$E$1502,_xlfn.IFNA(MATCH(C344,Catalogo!$C$4:$C$1502,0),-1)),"")</f>
        <v/>
      </c>
      <c r="E344" s="12" t="str">
        <f>IFERROR(_xlfn.CONCAT(INDEX(Catalogo!$G$4:$G$1502,_xlfn.IFNA(MATCH(C344,Catalogo!$C$4:$C$1502,0),-1)),"-",INDEX(Catalogo!$H$4:$H$1502,_xlfn.IFNA(MATCH(C344,Catalogo!$C$4:$C$1502,0),-1))),"")</f>
        <v/>
      </c>
    </row>
    <row r="345" spans="3:5" x14ac:dyDescent="0.25">
      <c r="C345" s="8"/>
      <c r="D345" s="11" t="str">
        <f>IFERROR(INDEX(Catalogo!$E$4:$E$1502,_xlfn.IFNA(MATCH(C345,Catalogo!$C$4:$C$1502,0),-1)),"")</f>
        <v/>
      </c>
      <c r="E345" s="12" t="str">
        <f>IFERROR(_xlfn.CONCAT(INDEX(Catalogo!$G$4:$G$1502,_xlfn.IFNA(MATCH(C345,Catalogo!$C$4:$C$1502,0),-1)),"-",INDEX(Catalogo!$H$4:$H$1502,_xlfn.IFNA(MATCH(C345,Catalogo!$C$4:$C$1502,0),-1))),"")</f>
        <v/>
      </c>
    </row>
    <row r="346" spans="3:5" x14ac:dyDescent="0.25">
      <c r="C346" s="9"/>
      <c r="D346" s="11" t="str">
        <f>IFERROR(INDEX(Catalogo!$E$4:$E$1502,_xlfn.IFNA(MATCH(C346,Catalogo!$C$4:$C$1502,0),-1)),"")</f>
        <v/>
      </c>
      <c r="E346" s="12" t="str">
        <f>IFERROR(_xlfn.CONCAT(INDEX(Catalogo!$G$4:$G$1502,_xlfn.IFNA(MATCH(C346,Catalogo!$C$4:$C$1502,0),-1)),"-",INDEX(Catalogo!$H$4:$H$1502,_xlfn.IFNA(MATCH(C346,Catalogo!$C$4:$C$1502,0),-1))),"")</f>
        <v/>
      </c>
    </row>
    <row r="347" spans="3:5" x14ac:dyDescent="0.25">
      <c r="C347" s="9"/>
      <c r="D347" s="11" t="str">
        <f>IFERROR(INDEX(Catalogo!$E$4:$E$1502,_xlfn.IFNA(MATCH(C347,Catalogo!$C$4:$C$1502,0),-1)),"")</f>
        <v/>
      </c>
      <c r="E347" s="12" t="str">
        <f>IFERROR(_xlfn.CONCAT(INDEX(Catalogo!$G$4:$G$1502,_xlfn.IFNA(MATCH(C347,Catalogo!$C$4:$C$1502,0),-1)),"-",INDEX(Catalogo!$H$4:$H$1502,_xlfn.IFNA(MATCH(C347,Catalogo!$C$4:$C$1502,0),-1))),"")</f>
        <v/>
      </c>
    </row>
    <row r="348" spans="3:5" x14ac:dyDescent="0.25">
      <c r="C348" s="9"/>
      <c r="D348" s="11" t="str">
        <f>IFERROR(INDEX(Catalogo!$E$4:$E$1502,_xlfn.IFNA(MATCH(C348,Catalogo!$C$4:$C$1502,0),-1)),"")</f>
        <v/>
      </c>
      <c r="E348" s="12" t="str">
        <f>IFERROR(_xlfn.CONCAT(INDEX(Catalogo!$G$4:$G$1502,_xlfn.IFNA(MATCH(C348,Catalogo!$C$4:$C$1502,0),-1)),"-",INDEX(Catalogo!$H$4:$H$1502,_xlfn.IFNA(MATCH(C348,Catalogo!$C$4:$C$1502,0),-1))),"")</f>
        <v/>
      </c>
    </row>
    <row r="349" spans="3:5" x14ac:dyDescent="0.25">
      <c r="C349" s="8"/>
      <c r="D349" s="11" t="str">
        <f>IFERROR(INDEX(Catalogo!$E$4:$E$1502,_xlfn.IFNA(MATCH(C349,Catalogo!$C$4:$C$1502,0),-1)),"")</f>
        <v/>
      </c>
      <c r="E349" s="12" t="str">
        <f>IFERROR(_xlfn.CONCAT(INDEX(Catalogo!$G$4:$G$1502,_xlfn.IFNA(MATCH(C349,Catalogo!$C$4:$C$1502,0),-1)),"-",INDEX(Catalogo!$H$4:$H$1502,_xlfn.IFNA(MATCH(C349,Catalogo!$C$4:$C$1502,0),-1))),"")</f>
        <v/>
      </c>
    </row>
    <row r="350" spans="3:5" x14ac:dyDescent="0.25">
      <c r="C350" s="9"/>
      <c r="D350" s="11" t="str">
        <f>IFERROR(INDEX(Catalogo!$E$4:$E$1502,_xlfn.IFNA(MATCH(C350,Catalogo!$C$4:$C$1502,0),-1)),"")</f>
        <v/>
      </c>
      <c r="E350" s="12" t="str">
        <f>IFERROR(_xlfn.CONCAT(INDEX(Catalogo!$G$4:$G$1502,_xlfn.IFNA(MATCH(C350,Catalogo!$C$4:$C$1502,0),-1)),"-",INDEX(Catalogo!$H$4:$H$1502,_xlfn.IFNA(MATCH(C350,Catalogo!$C$4:$C$1502,0),-1))),"")</f>
        <v/>
      </c>
    </row>
    <row r="351" spans="3:5" x14ac:dyDescent="0.25">
      <c r="C351" s="10"/>
      <c r="D351" s="11" t="str">
        <f>IFERROR(INDEX(Catalogo!$E$4:$E$1502,_xlfn.IFNA(MATCH(C351,Catalogo!$C$4:$C$1502,0),-1)),"")</f>
        <v/>
      </c>
      <c r="E351" s="12" t="str">
        <f>IFERROR(_xlfn.CONCAT(INDEX(Catalogo!$G$4:$G$1502,_xlfn.IFNA(MATCH(C351,Catalogo!$C$4:$C$1502,0),-1)),"-",INDEX(Catalogo!$H$4:$H$1502,_xlfn.IFNA(MATCH(C351,Catalogo!$C$4:$C$1502,0),-1))),"")</f>
        <v/>
      </c>
    </row>
    <row r="352" spans="3:5" x14ac:dyDescent="0.25">
      <c r="C352" s="9"/>
      <c r="D352" s="11" t="str">
        <f>IFERROR(INDEX(Catalogo!$E$4:$E$1502,_xlfn.IFNA(MATCH(C352,Catalogo!$C$4:$C$1502,0),-1)),"")</f>
        <v/>
      </c>
      <c r="E352" s="12" t="str">
        <f>IFERROR(_xlfn.CONCAT(INDEX(Catalogo!$G$4:$G$1502,_xlfn.IFNA(MATCH(C352,Catalogo!$C$4:$C$1502,0),-1)),"-",INDEX(Catalogo!$H$4:$H$1502,_xlfn.IFNA(MATCH(C352,Catalogo!$C$4:$C$1502,0),-1))),"")</f>
        <v/>
      </c>
    </row>
    <row r="353" spans="3:5" x14ac:dyDescent="0.25">
      <c r="C353" s="17"/>
      <c r="D353" s="11" t="str">
        <f>IFERROR(INDEX(Catalogo!$E$4:$E$1502,_xlfn.IFNA(MATCH(C353,Catalogo!$C$4:$C$1502,0),-1)),"")</f>
        <v/>
      </c>
      <c r="E353" s="12" t="str">
        <f>IFERROR(_xlfn.CONCAT(INDEX(Catalogo!$G$4:$G$1502,_xlfn.IFNA(MATCH(C353,Catalogo!$C$4:$C$1502,0),-1)),"-",INDEX(Catalogo!$H$4:$H$1502,_xlfn.IFNA(MATCH(C353,Catalogo!$C$4:$C$1502,0),-1))),"")</f>
        <v/>
      </c>
    </row>
    <row r="354" spans="3:5" x14ac:dyDescent="0.25">
      <c r="C354" s="18"/>
      <c r="D354" s="11" t="str">
        <f>IFERROR(INDEX(Catalogo!$E$4:$E$1502,_xlfn.IFNA(MATCH(C354,Catalogo!$C$4:$C$1502,0),-1)),"")</f>
        <v/>
      </c>
      <c r="E354" s="12" t="str">
        <f>IFERROR(_xlfn.CONCAT(INDEX(Catalogo!$G$4:$G$1502,_xlfn.IFNA(MATCH(C354,Catalogo!$C$4:$C$1502,0),-1)),"-",INDEX(Catalogo!$H$4:$H$1502,_xlfn.IFNA(MATCH(C354,Catalogo!$C$4:$C$1502,0),-1))),"")</f>
        <v/>
      </c>
    </row>
    <row r="355" spans="3:5" x14ac:dyDescent="0.25">
      <c r="C355" s="17"/>
      <c r="D355" s="11" t="str">
        <f>IFERROR(INDEX(Catalogo!$E$4:$E$1502,_xlfn.IFNA(MATCH(C355,Catalogo!$C$4:$C$1502,0),-1)),"")</f>
        <v/>
      </c>
      <c r="E355" s="12" t="str">
        <f>IFERROR(_xlfn.CONCAT(INDEX(Catalogo!$G$4:$G$1502,_xlfn.IFNA(MATCH(C355,Catalogo!$C$4:$C$1502,0),-1)),"-",INDEX(Catalogo!$H$4:$H$1502,_xlfn.IFNA(MATCH(C355,Catalogo!$C$4:$C$1502,0),-1))),"")</f>
        <v/>
      </c>
    </row>
    <row r="356" spans="3:5" x14ac:dyDescent="0.25">
      <c r="C356" s="9"/>
      <c r="D356" s="11" t="str">
        <f>IFERROR(INDEX(Catalogo!$E$4:$E$1502,_xlfn.IFNA(MATCH(C356,Catalogo!$C$4:$C$1502,0),-1)),"")</f>
        <v/>
      </c>
      <c r="E356" s="12" t="str">
        <f>IFERROR(_xlfn.CONCAT(INDEX(Catalogo!$G$4:$G$1502,_xlfn.IFNA(MATCH(C356,Catalogo!$C$4:$C$1502,0),-1)),"-",INDEX(Catalogo!$H$4:$H$1502,_xlfn.IFNA(MATCH(C356,Catalogo!$C$4:$C$1502,0),-1))),"")</f>
        <v/>
      </c>
    </row>
    <row r="357" spans="3:5" x14ac:dyDescent="0.25">
      <c r="C357" s="17"/>
      <c r="D357" s="11" t="str">
        <f>IFERROR(INDEX(Catalogo!$E$4:$E$1502,_xlfn.IFNA(MATCH(C357,Catalogo!$C$4:$C$1502,0),-1)),"")</f>
        <v/>
      </c>
      <c r="E357" s="12" t="str">
        <f>IFERROR(_xlfn.CONCAT(INDEX(Catalogo!$G$4:$G$1502,_xlfn.IFNA(MATCH(C357,Catalogo!$C$4:$C$1502,0),-1)),"-",INDEX(Catalogo!$H$4:$H$1502,_xlfn.IFNA(MATCH(C357,Catalogo!$C$4:$C$1502,0),-1))),"")</f>
        <v/>
      </c>
    </row>
    <row r="358" spans="3:5" x14ac:dyDescent="0.25">
      <c r="C358" s="9"/>
      <c r="D358" s="11" t="str">
        <f>IFERROR(INDEX(Catalogo!$E$4:$E$1502,_xlfn.IFNA(MATCH(C358,Catalogo!$C$4:$C$1502,0),-1)),"")</f>
        <v/>
      </c>
      <c r="E358" s="12" t="str">
        <f>IFERROR(_xlfn.CONCAT(INDEX(Catalogo!$G$4:$G$1502,_xlfn.IFNA(MATCH(C358,Catalogo!$C$4:$C$1502,0),-1)),"-",INDEX(Catalogo!$H$4:$H$1502,_xlfn.IFNA(MATCH(C358,Catalogo!$C$4:$C$1502,0),-1))),"")</f>
        <v/>
      </c>
    </row>
    <row r="359" spans="3:5" x14ac:dyDescent="0.25">
      <c r="C359" s="9"/>
      <c r="D359" s="11" t="str">
        <f>IFERROR(INDEX(Catalogo!$E$4:$E$1502,_xlfn.IFNA(MATCH(C359,Catalogo!$C$4:$C$1502,0),-1)),"")</f>
        <v/>
      </c>
      <c r="E359" s="12" t="str">
        <f>IFERROR(_xlfn.CONCAT(INDEX(Catalogo!$G$4:$G$1502,_xlfn.IFNA(MATCH(C359,Catalogo!$C$4:$C$1502,0),-1)),"-",INDEX(Catalogo!$H$4:$H$1502,_xlfn.IFNA(MATCH(C359,Catalogo!$C$4:$C$1502,0),-1))),"")</f>
        <v/>
      </c>
    </row>
    <row r="360" spans="3:5" x14ac:dyDescent="0.25">
      <c r="C360" s="9"/>
      <c r="D360" s="11" t="str">
        <f>IFERROR(INDEX(Catalogo!$E$4:$E$1502,_xlfn.IFNA(MATCH(C360,Catalogo!$C$4:$C$1502,0),-1)),"")</f>
        <v/>
      </c>
      <c r="E360" s="12" t="str">
        <f>IFERROR(_xlfn.CONCAT(INDEX(Catalogo!$G$4:$G$1502,_xlfn.IFNA(MATCH(C360,Catalogo!$C$4:$C$1502,0),-1)),"-",INDEX(Catalogo!$H$4:$H$1502,_xlfn.IFNA(MATCH(C360,Catalogo!$C$4:$C$1502,0),-1))),"")</f>
        <v/>
      </c>
    </row>
    <row r="361" spans="3:5" x14ac:dyDescent="0.25">
      <c r="C361" s="9"/>
      <c r="D361" s="11" t="str">
        <f>IFERROR(INDEX(Catalogo!$E$4:$E$1502,_xlfn.IFNA(MATCH(C361,Catalogo!$C$4:$C$1502,0),-1)),"")</f>
        <v/>
      </c>
      <c r="E361" s="12" t="str">
        <f>IFERROR(_xlfn.CONCAT(INDEX(Catalogo!$G$4:$G$1502,_xlfn.IFNA(MATCH(C361,Catalogo!$C$4:$C$1502,0),-1)),"-",INDEX(Catalogo!$H$4:$H$1502,_xlfn.IFNA(MATCH(C361,Catalogo!$C$4:$C$1502,0),-1))),"")</f>
        <v/>
      </c>
    </row>
    <row r="362" spans="3:5" x14ac:dyDescent="0.25">
      <c r="C362" s="9"/>
      <c r="D362" s="11" t="str">
        <f>IFERROR(INDEX(Catalogo!$E$4:$E$1502,_xlfn.IFNA(MATCH(C362,Catalogo!$C$4:$C$1502,0),-1)),"")</f>
        <v/>
      </c>
      <c r="E362" s="12" t="str">
        <f>IFERROR(_xlfn.CONCAT(INDEX(Catalogo!$G$4:$G$1502,_xlfn.IFNA(MATCH(C362,Catalogo!$C$4:$C$1502,0),-1)),"-",INDEX(Catalogo!$H$4:$H$1502,_xlfn.IFNA(MATCH(C362,Catalogo!$C$4:$C$1502,0),-1))),"")</f>
        <v/>
      </c>
    </row>
    <row r="363" spans="3:5" x14ac:dyDescent="0.25">
      <c r="C363" s="9"/>
      <c r="D363" s="11" t="str">
        <f>IFERROR(INDEX(Catalogo!$E$4:$E$1502,_xlfn.IFNA(MATCH(C363,Catalogo!$C$4:$C$1502,0),-1)),"")</f>
        <v/>
      </c>
      <c r="E363" s="12" t="str">
        <f>IFERROR(_xlfn.CONCAT(INDEX(Catalogo!$G$4:$G$1502,_xlfn.IFNA(MATCH(C363,Catalogo!$C$4:$C$1502,0),-1)),"-",INDEX(Catalogo!$H$4:$H$1502,_xlfn.IFNA(MATCH(C363,Catalogo!$C$4:$C$1502,0),-1))),"")</f>
        <v/>
      </c>
    </row>
    <row r="364" spans="3:5" x14ac:dyDescent="0.25">
      <c r="C364" s="18"/>
      <c r="D364" s="11" t="str">
        <f>IFERROR(INDEX(Catalogo!$E$4:$E$1502,_xlfn.IFNA(MATCH(C364,Catalogo!$C$4:$C$1502,0),-1)),"")</f>
        <v/>
      </c>
      <c r="E364" s="12" t="str">
        <f>IFERROR(_xlfn.CONCAT(INDEX(Catalogo!$G$4:$G$1502,_xlfn.IFNA(MATCH(C364,Catalogo!$C$4:$C$1502,0),-1)),"-",INDEX(Catalogo!$H$4:$H$1502,_xlfn.IFNA(MATCH(C364,Catalogo!$C$4:$C$1502,0),-1))),"")</f>
        <v/>
      </c>
    </row>
    <row r="365" spans="3:5" x14ac:dyDescent="0.25">
      <c r="C365" s="9"/>
      <c r="D365" s="11" t="str">
        <f>IFERROR(INDEX(Catalogo!$E$4:$E$1502,_xlfn.IFNA(MATCH(C365,Catalogo!$C$4:$C$1502,0),-1)),"")</f>
        <v/>
      </c>
      <c r="E365" s="12" t="str">
        <f>IFERROR(_xlfn.CONCAT(INDEX(Catalogo!$G$4:$G$1502,_xlfn.IFNA(MATCH(C365,Catalogo!$C$4:$C$1502,0),-1)),"-",INDEX(Catalogo!$H$4:$H$1502,_xlfn.IFNA(MATCH(C365,Catalogo!$C$4:$C$1502,0),-1))),"")</f>
        <v/>
      </c>
    </row>
    <row r="366" spans="3:5" x14ac:dyDescent="0.25">
      <c r="C366" s="8"/>
      <c r="D366" s="11" t="str">
        <f>IFERROR(INDEX(Catalogo!$E$4:$E$1502,_xlfn.IFNA(MATCH(C366,Catalogo!$C$4:$C$1502,0),-1)),"")</f>
        <v/>
      </c>
      <c r="E366" s="12" t="str">
        <f>IFERROR(_xlfn.CONCAT(INDEX(Catalogo!$G$4:$G$1502,_xlfn.IFNA(MATCH(C366,Catalogo!$C$4:$C$1502,0),-1)),"-",INDEX(Catalogo!$H$4:$H$1502,_xlfn.IFNA(MATCH(C366,Catalogo!$C$4:$C$1502,0),-1))),"")</f>
        <v/>
      </c>
    </row>
    <row r="367" spans="3:5" x14ac:dyDescent="0.25">
      <c r="C367" s="9"/>
      <c r="D367" s="11" t="str">
        <f>IFERROR(INDEX(Catalogo!$E$4:$E$1502,_xlfn.IFNA(MATCH(C367,Catalogo!$C$4:$C$1502,0),-1)),"")</f>
        <v/>
      </c>
      <c r="E367" s="12" t="str">
        <f>IFERROR(_xlfn.CONCAT(INDEX(Catalogo!$G$4:$G$1502,_xlfn.IFNA(MATCH(C367,Catalogo!$C$4:$C$1502,0),-1)),"-",INDEX(Catalogo!$H$4:$H$1502,_xlfn.IFNA(MATCH(C367,Catalogo!$C$4:$C$1502,0),-1))),"")</f>
        <v/>
      </c>
    </row>
    <row r="368" spans="3:5" x14ac:dyDescent="0.25">
      <c r="C368" s="17"/>
      <c r="D368" s="11" t="str">
        <f>IFERROR(INDEX(Catalogo!$E$4:$E$1502,_xlfn.IFNA(MATCH(C368,Catalogo!$C$4:$C$1502,0),-1)),"")</f>
        <v/>
      </c>
      <c r="E368" s="12" t="str">
        <f>IFERROR(_xlfn.CONCAT(INDEX(Catalogo!$G$4:$G$1502,_xlfn.IFNA(MATCH(C368,Catalogo!$C$4:$C$1502,0),-1)),"-",INDEX(Catalogo!$H$4:$H$1502,_xlfn.IFNA(MATCH(C368,Catalogo!$C$4:$C$1502,0),-1))),"")</f>
        <v/>
      </c>
    </row>
    <row r="369" spans="3:5" x14ac:dyDescent="0.25">
      <c r="C369" s="18"/>
      <c r="D369" s="11" t="str">
        <f>IFERROR(INDEX(Catalogo!$E$4:$E$1502,_xlfn.IFNA(MATCH(C369,Catalogo!$C$4:$C$1502,0),-1)),"")</f>
        <v/>
      </c>
      <c r="E369" s="12" t="str">
        <f>IFERROR(_xlfn.CONCAT(INDEX(Catalogo!$G$4:$G$1502,_xlfn.IFNA(MATCH(C369,Catalogo!$C$4:$C$1502,0),-1)),"-",INDEX(Catalogo!$H$4:$H$1502,_xlfn.IFNA(MATCH(C369,Catalogo!$C$4:$C$1502,0),-1))),"")</f>
        <v/>
      </c>
    </row>
    <row r="370" spans="3:5" x14ac:dyDescent="0.25">
      <c r="C370" s="8"/>
      <c r="D370" s="11" t="str">
        <f>IFERROR(INDEX(Catalogo!$E$4:$E$1502,_xlfn.IFNA(MATCH(C370,Catalogo!$C$4:$C$1502,0),-1)),"")</f>
        <v/>
      </c>
      <c r="E370" s="12" t="str">
        <f>IFERROR(_xlfn.CONCAT(INDEX(Catalogo!$G$4:$G$1502,_xlfn.IFNA(MATCH(C370,Catalogo!$C$4:$C$1502,0),-1)),"-",INDEX(Catalogo!$H$4:$H$1502,_xlfn.IFNA(MATCH(C370,Catalogo!$C$4:$C$1502,0),-1))),"")</f>
        <v/>
      </c>
    </row>
    <row r="371" spans="3:5" x14ac:dyDescent="0.25">
      <c r="C371" s="17"/>
      <c r="D371" s="11" t="str">
        <f>IFERROR(INDEX(Catalogo!$E$4:$E$1502,_xlfn.IFNA(MATCH(C371,Catalogo!$C$4:$C$1502,0),-1)),"")</f>
        <v/>
      </c>
      <c r="E371" s="12" t="str">
        <f>IFERROR(_xlfn.CONCAT(INDEX(Catalogo!$G$4:$G$1502,_xlfn.IFNA(MATCH(C371,Catalogo!$C$4:$C$1502,0),-1)),"-",INDEX(Catalogo!$H$4:$H$1502,_xlfn.IFNA(MATCH(C371,Catalogo!$C$4:$C$1502,0),-1))),"")</f>
        <v/>
      </c>
    </row>
    <row r="372" spans="3:5" x14ac:dyDescent="0.25">
      <c r="C372" s="9"/>
      <c r="D372" s="11" t="str">
        <f>IFERROR(INDEX(Catalogo!$E$4:$E$1502,_xlfn.IFNA(MATCH(C372,Catalogo!$C$4:$C$1502,0),-1)),"")</f>
        <v/>
      </c>
      <c r="E372" s="12" t="str">
        <f>IFERROR(_xlfn.CONCAT(INDEX(Catalogo!$G$4:$G$1502,_xlfn.IFNA(MATCH(C372,Catalogo!$C$4:$C$1502,0),-1)),"-",INDEX(Catalogo!$H$4:$H$1502,_xlfn.IFNA(MATCH(C372,Catalogo!$C$4:$C$1502,0),-1))),"")</f>
        <v/>
      </c>
    </row>
    <row r="373" spans="3:5" x14ac:dyDescent="0.25">
      <c r="C373" s="17"/>
      <c r="D373" s="11" t="str">
        <f>IFERROR(INDEX(Catalogo!$E$4:$E$1502,_xlfn.IFNA(MATCH(C373,Catalogo!$C$4:$C$1502,0),-1)),"")</f>
        <v/>
      </c>
      <c r="E373" s="12" t="str">
        <f>IFERROR(_xlfn.CONCAT(INDEX(Catalogo!$G$4:$G$1502,_xlfn.IFNA(MATCH(C373,Catalogo!$C$4:$C$1502,0),-1)),"-",INDEX(Catalogo!$H$4:$H$1502,_xlfn.IFNA(MATCH(C373,Catalogo!$C$4:$C$1502,0),-1))),"")</f>
        <v/>
      </c>
    </row>
    <row r="374" spans="3:5" x14ac:dyDescent="0.25">
      <c r="C374" s="9"/>
      <c r="D374" s="11" t="str">
        <f>IFERROR(INDEX(Catalogo!$E$4:$E$1502,_xlfn.IFNA(MATCH(C374,Catalogo!$C$4:$C$1502,0),-1)),"")</f>
        <v/>
      </c>
      <c r="E374" s="12" t="str">
        <f>IFERROR(_xlfn.CONCAT(INDEX(Catalogo!$G$4:$G$1502,_xlfn.IFNA(MATCH(C374,Catalogo!$C$4:$C$1502,0),-1)),"-",INDEX(Catalogo!$H$4:$H$1502,_xlfn.IFNA(MATCH(C374,Catalogo!$C$4:$C$1502,0),-1))),"")</f>
        <v/>
      </c>
    </row>
    <row r="375" spans="3:5" x14ac:dyDescent="0.25">
      <c r="C375" s="17"/>
      <c r="D375" s="11" t="str">
        <f>IFERROR(INDEX(Catalogo!$E$4:$E$1502,_xlfn.IFNA(MATCH(C375,Catalogo!$C$4:$C$1502,0),-1)),"")</f>
        <v/>
      </c>
      <c r="E375" s="12" t="str">
        <f>IFERROR(_xlfn.CONCAT(INDEX(Catalogo!$G$4:$G$1502,_xlfn.IFNA(MATCH(C375,Catalogo!$C$4:$C$1502,0),-1)),"-",INDEX(Catalogo!$H$4:$H$1502,_xlfn.IFNA(MATCH(C375,Catalogo!$C$4:$C$1502,0),-1))),"")</f>
        <v/>
      </c>
    </row>
    <row r="376" spans="3:5" x14ac:dyDescent="0.25">
      <c r="C376" s="8"/>
      <c r="D376" s="11" t="str">
        <f>IFERROR(INDEX(Catalogo!$E$4:$E$1502,_xlfn.IFNA(MATCH(C376,Catalogo!$C$4:$C$1502,0),-1)),"")</f>
        <v/>
      </c>
      <c r="E376" s="12" t="str">
        <f>IFERROR(_xlfn.CONCAT(INDEX(Catalogo!$G$4:$G$1502,_xlfn.IFNA(MATCH(C376,Catalogo!$C$4:$C$1502,0),-1)),"-",INDEX(Catalogo!$H$4:$H$1502,_xlfn.IFNA(MATCH(C376,Catalogo!$C$4:$C$1502,0),-1))),"")</f>
        <v/>
      </c>
    </row>
    <row r="377" spans="3:5" x14ac:dyDescent="0.25">
      <c r="C377" s="8"/>
      <c r="D377" s="11" t="str">
        <f>IFERROR(INDEX(Catalogo!$E$4:$E$1502,_xlfn.IFNA(MATCH(C377,Catalogo!$C$4:$C$1502,0),-1)),"")</f>
        <v/>
      </c>
      <c r="E377" s="12" t="str">
        <f>IFERROR(_xlfn.CONCAT(INDEX(Catalogo!$G$4:$G$1502,_xlfn.IFNA(MATCH(C377,Catalogo!$C$4:$C$1502,0),-1)),"-",INDEX(Catalogo!$H$4:$H$1502,_xlfn.IFNA(MATCH(C377,Catalogo!$C$4:$C$1502,0),-1))),"")</f>
        <v/>
      </c>
    </row>
    <row r="378" spans="3:5" x14ac:dyDescent="0.25">
      <c r="C378" s="8"/>
      <c r="D378" s="11" t="str">
        <f>IFERROR(INDEX(Catalogo!$E$4:$E$1502,_xlfn.IFNA(MATCH(C378,Catalogo!$C$4:$C$1502,0),-1)),"")</f>
        <v/>
      </c>
      <c r="E378" s="12" t="str">
        <f>IFERROR(_xlfn.CONCAT(INDEX(Catalogo!$G$4:$G$1502,_xlfn.IFNA(MATCH(C378,Catalogo!$C$4:$C$1502,0),-1)),"-",INDEX(Catalogo!$H$4:$H$1502,_xlfn.IFNA(MATCH(C378,Catalogo!$C$4:$C$1502,0),-1))),"")</f>
        <v/>
      </c>
    </row>
    <row r="379" spans="3:5" x14ac:dyDescent="0.25">
      <c r="C379" s="9"/>
      <c r="D379" s="11" t="str">
        <f>IFERROR(INDEX(Catalogo!$E$4:$E$1502,_xlfn.IFNA(MATCH(C379,Catalogo!$C$4:$C$1502,0),-1)),"")</f>
        <v/>
      </c>
      <c r="E379" s="12" t="str">
        <f>IFERROR(_xlfn.CONCAT(INDEX(Catalogo!$G$4:$G$1502,_xlfn.IFNA(MATCH(C379,Catalogo!$C$4:$C$1502,0),-1)),"-",INDEX(Catalogo!$H$4:$H$1502,_xlfn.IFNA(MATCH(C379,Catalogo!$C$4:$C$1502,0),-1))),"")</f>
        <v/>
      </c>
    </row>
    <row r="380" spans="3:5" x14ac:dyDescent="0.25">
      <c r="C380" s="9"/>
      <c r="D380" s="11" t="str">
        <f>IFERROR(INDEX(Catalogo!$E$4:$E$1502,_xlfn.IFNA(MATCH(C380,Catalogo!$C$4:$C$1502,0),-1)),"")</f>
        <v/>
      </c>
      <c r="E380" s="12" t="str">
        <f>IFERROR(_xlfn.CONCAT(INDEX(Catalogo!$G$4:$G$1502,_xlfn.IFNA(MATCH(C380,Catalogo!$C$4:$C$1502,0),-1)),"-",INDEX(Catalogo!$H$4:$H$1502,_xlfn.IFNA(MATCH(C380,Catalogo!$C$4:$C$1502,0),-1))),"")</f>
        <v/>
      </c>
    </row>
    <row r="381" spans="3:5" x14ac:dyDescent="0.25">
      <c r="C381" s="9"/>
      <c r="D381" s="11" t="str">
        <f>IFERROR(INDEX(Catalogo!$E$4:$E$1502,_xlfn.IFNA(MATCH(C381,Catalogo!$C$4:$C$1502,0),-1)),"")</f>
        <v/>
      </c>
      <c r="E381" s="12" t="str">
        <f>IFERROR(_xlfn.CONCAT(INDEX(Catalogo!$G$4:$G$1502,_xlfn.IFNA(MATCH(C381,Catalogo!$C$4:$C$1502,0),-1)),"-",INDEX(Catalogo!$H$4:$H$1502,_xlfn.IFNA(MATCH(C381,Catalogo!$C$4:$C$1502,0),-1))),"")</f>
        <v/>
      </c>
    </row>
    <row r="382" spans="3:5" x14ac:dyDescent="0.25">
      <c r="C382" s="9"/>
      <c r="D382" s="11" t="str">
        <f>IFERROR(INDEX(Catalogo!$E$4:$E$1502,_xlfn.IFNA(MATCH(C382,Catalogo!$C$4:$C$1502,0),-1)),"")</f>
        <v/>
      </c>
      <c r="E382" s="12" t="str">
        <f>IFERROR(_xlfn.CONCAT(INDEX(Catalogo!$G$4:$G$1502,_xlfn.IFNA(MATCH(C382,Catalogo!$C$4:$C$1502,0),-1)),"-",INDEX(Catalogo!$H$4:$H$1502,_xlfn.IFNA(MATCH(C382,Catalogo!$C$4:$C$1502,0),-1))),"")</f>
        <v/>
      </c>
    </row>
    <row r="383" spans="3:5" x14ac:dyDescent="0.25">
      <c r="C383" s="8"/>
      <c r="D383" s="11" t="str">
        <f>IFERROR(INDEX(Catalogo!$E$4:$E$1502,_xlfn.IFNA(MATCH(C383,Catalogo!$C$4:$C$1502,0),-1)),"")</f>
        <v/>
      </c>
      <c r="E383" s="12" t="str">
        <f>IFERROR(_xlfn.CONCAT(INDEX(Catalogo!$G$4:$G$1502,_xlfn.IFNA(MATCH(C383,Catalogo!$C$4:$C$1502,0),-1)),"-",INDEX(Catalogo!$H$4:$H$1502,_xlfn.IFNA(MATCH(C383,Catalogo!$C$4:$C$1502,0),-1))),"")</f>
        <v/>
      </c>
    </row>
    <row r="384" spans="3:5" x14ac:dyDescent="0.25">
      <c r="C384" s="8"/>
      <c r="D384" s="11" t="str">
        <f>IFERROR(INDEX(Catalogo!$E$4:$E$1502,_xlfn.IFNA(MATCH(C384,Catalogo!$C$4:$C$1502,0),-1)),"")</f>
        <v/>
      </c>
      <c r="E384" s="12" t="str">
        <f>IFERROR(_xlfn.CONCAT(INDEX(Catalogo!$G$4:$G$1502,_xlfn.IFNA(MATCH(C384,Catalogo!$C$4:$C$1502,0),-1)),"-",INDEX(Catalogo!$H$4:$H$1502,_xlfn.IFNA(MATCH(C384,Catalogo!$C$4:$C$1502,0),-1))),"")</f>
        <v/>
      </c>
    </row>
    <row r="385" spans="3:5" x14ac:dyDescent="0.25">
      <c r="C385" s="8"/>
      <c r="D385" s="11" t="str">
        <f>IFERROR(INDEX(Catalogo!$E$4:$E$1502,_xlfn.IFNA(MATCH(C385,Catalogo!$C$4:$C$1502,0),-1)),"")</f>
        <v/>
      </c>
      <c r="E385" s="12" t="str">
        <f>IFERROR(_xlfn.CONCAT(INDEX(Catalogo!$G$4:$G$1502,_xlfn.IFNA(MATCH(C385,Catalogo!$C$4:$C$1502,0),-1)),"-",INDEX(Catalogo!$H$4:$H$1502,_xlfn.IFNA(MATCH(C385,Catalogo!$C$4:$C$1502,0),-1))),"")</f>
        <v/>
      </c>
    </row>
    <row r="386" spans="3:5" x14ac:dyDescent="0.25">
      <c r="C386" s="9"/>
      <c r="D386" s="11" t="str">
        <f>IFERROR(INDEX(Catalogo!$E$4:$E$1502,_xlfn.IFNA(MATCH(C386,Catalogo!$C$4:$C$1502,0),-1)),"")</f>
        <v/>
      </c>
      <c r="E386" s="12" t="str">
        <f>IFERROR(_xlfn.CONCAT(INDEX(Catalogo!$G$4:$G$1502,_xlfn.IFNA(MATCH(C386,Catalogo!$C$4:$C$1502,0),-1)),"-",INDEX(Catalogo!$H$4:$H$1502,_xlfn.IFNA(MATCH(C386,Catalogo!$C$4:$C$1502,0),-1))),"")</f>
        <v/>
      </c>
    </row>
    <row r="387" spans="3:5" x14ac:dyDescent="0.25">
      <c r="C387" s="9"/>
      <c r="D387" s="11" t="str">
        <f>IFERROR(INDEX(Catalogo!$E$4:$E$1502,_xlfn.IFNA(MATCH(C387,Catalogo!$C$4:$C$1502,0),-1)),"")</f>
        <v/>
      </c>
      <c r="E387" s="12" t="str">
        <f>IFERROR(_xlfn.CONCAT(INDEX(Catalogo!$G$4:$G$1502,_xlfn.IFNA(MATCH(C387,Catalogo!$C$4:$C$1502,0),-1)),"-",INDEX(Catalogo!$H$4:$H$1502,_xlfn.IFNA(MATCH(C387,Catalogo!$C$4:$C$1502,0),-1))),"")</f>
        <v/>
      </c>
    </row>
    <row r="388" spans="3:5" x14ac:dyDescent="0.25">
      <c r="C388" s="9"/>
      <c r="D388" s="11" t="str">
        <f>IFERROR(INDEX(Catalogo!$E$4:$E$1502,_xlfn.IFNA(MATCH(C388,Catalogo!$C$4:$C$1502,0),-1)),"")</f>
        <v/>
      </c>
      <c r="E388" s="12" t="str">
        <f>IFERROR(_xlfn.CONCAT(INDEX(Catalogo!$G$4:$G$1502,_xlfn.IFNA(MATCH(C388,Catalogo!$C$4:$C$1502,0),-1)),"-",INDEX(Catalogo!$H$4:$H$1502,_xlfn.IFNA(MATCH(C388,Catalogo!$C$4:$C$1502,0),-1))),"")</f>
        <v/>
      </c>
    </row>
    <row r="389" spans="3:5" x14ac:dyDescent="0.25">
      <c r="C389" s="8"/>
      <c r="D389" s="11" t="str">
        <f>IFERROR(INDEX(Catalogo!$E$4:$E$1502,_xlfn.IFNA(MATCH(C389,Catalogo!$C$4:$C$1502,0),-1)),"")</f>
        <v/>
      </c>
      <c r="E389" s="12" t="str">
        <f>IFERROR(_xlfn.CONCAT(INDEX(Catalogo!$G$4:$G$1502,_xlfn.IFNA(MATCH(C389,Catalogo!$C$4:$C$1502,0),-1)),"-",INDEX(Catalogo!$H$4:$H$1502,_xlfn.IFNA(MATCH(C389,Catalogo!$C$4:$C$1502,0),-1))),"")</f>
        <v/>
      </c>
    </row>
    <row r="390" spans="3:5" x14ac:dyDescent="0.25">
      <c r="C390" s="8"/>
      <c r="D390" s="11" t="str">
        <f>IFERROR(INDEX(Catalogo!$E$4:$E$1502,_xlfn.IFNA(MATCH(C390,Catalogo!$C$4:$C$1502,0),-1)),"")</f>
        <v/>
      </c>
      <c r="E390" s="12" t="str">
        <f>IFERROR(_xlfn.CONCAT(INDEX(Catalogo!$G$4:$G$1502,_xlfn.IFNA(MATCH(C390,Catalogo!$C$4:$C$1502,0),-1)),"-",INDEX(Catalogo!$H$4:$H$1502,_xlfn.IFNA(MATCH(C390,Catalogo!$C$4:$C$1502,0),-1))),"")</f>
        <v/>
      </c>
    </row>
    <row r="391" spans="3:5" x14ac:dyDescent="0.25">
      <c r="C391" s="9"/>
      <c r="D391" s="11" t="str">
        <f>IFERROR(INDEX(Catalogo!$E$4:$E$1502,_xlfn.IFNA(MATCH(C391,Catalogo!$C$4:$C$1502,0),-1)),"")</f>
        <v/>
      </c>
      <c r="E391" s="12" t="str">
        <f>IFERROR(_xlfn.CONCAT(INDEX(Catalogo!$G$4:$G$1502,_xlfn.IFNA(MATCH(C391,Catalogo!$C$4:$C$1502,0),-1)),"-",INDEX(Catalogo!$H$4:$H$1502,_xlfn.IFNA(MATCH(C391,Catalogo!$C$4:$C$1502,0),-1))),"")</f>
        <v/>
      </c>
    </row>
    <row r="392" spans="3:5" x14ac:dyDescent="0.25">
      <c r="C392" s="8"/>
      <c r="D392" s="11" t="str">
        <f>IFERROR(INDEX(Catalogo!$E$4:$E$1502,_xlfn.IFNA(MATCH(C392,Catalogo!$C$4:$C$1502,0),-1)),"")</f>
        <v/>
      </c>
      <c r="E392" s="12" t="str">
        <f>IFERROR(_xlfn.CONCAT(INDEX(Catalogo!$G$4:$G$1502,_xlfn.IFNA(MATCH(C392,Catalogo!$C$4:$C$1502,0),-1)),"-",INDEX(Catalogo!$H$4:$H$1502,_xlfn.IFNA(MATCH(C392,Catalogo!$C$4:$C$1502,0),-1))),"")</f>
        <v/>
      </c>
    </row>
    <row r="393" spans="3:5" x14ac:dyDescent="0.25">
      <c r="C393" s="8"/>
      <c r="D393" s="11" t="str">
        <f>IFERROR(INDEX(Catalogo!$E$4:$E$1502,_xlfn.IFNA(MATCH(C393,Catalogo!$C$4:$C$1502,0),-1)),"")</f>
        <v/>
      </c>
      <c r="E393" s="12" t="str">
        <f>IFERROR(_xlfn.CONCAT(INDEX(Catalogo!$G$4:$G$1502,_xlfn.IFNA(MATCH(C393,Catalogo!$C$4:$C$1502,0),-1)),"-",INDEX(Catalogo!$H$4:$H$1502,_xlfn.IFNA(MATCH(C393,Catalogo!$C$4:$C$1502,0),-1))),"")</f>
        <v/>
      </c>
    </row>
    <row r="394" spans="3:5" x14ac:dyDescent="0.25">
      <c r="C394" s="9"/>
      <c r="D394" s="11" t="str">
        <f>IFERROR(INDEX(Catalogo!$E$4:$E$1502,_xlfn.IFNA(MATCH(C394,Catalogo!$C$4:$C$1502,0),-1)),"")</f>
        <v/>
      </c>
      <c r="E394" s="12" t="str">
        <f>IFERROR(_xlfn.CONCAT(INDEX(Catalogo!$G$4:$G$1502,_xlfn.IFNA(MATCH(C394,Catalogo!$C$4:$C$1502,0),-1)),"-",INDEX(Catalogo!$H$4:$H$1502,_xlfn.IFNA(MATCH(C394,Catalogo!$C$4:$C$1502,0),-1))),"")</f>
        <v/>
      </c>
    </row>
    <row r="395" spans="3:5" x14ac:dyDescent="0.25">
      <c r="C395" s="8"/>
      <c r="D395" s="11" t="str">
        <f>IFERROR(INDEX(Catalogo!$E$4:$E$1502,_xlfn.IFNA(MATCH(C395,Catalogo!$C$4:$C$1502,0),-1)),"")</f>
        <v/>
      </c>
      <c r="E395" s="12" t="str">
        <f>IFERROR(_xlfn.CONCAT(INDEX(Catalogo!$G$4:$G$1502,_xlfn.IFNA(MATCH(C395,Catalogo!$C$4:$C$1502,0),-1)),"-",INDEX(Catalogo!$H$4:$H$1502,_xlfn.IFNA(MATCH(C395,Catalogo!$C$4:$C$1502,0),-1))),"")</f>
        <v/>
      </c>
    </row>
    <row r="396" spans="3:5" x14ac:dyDescent="0.25">
      <c r="C396" s="9"/>
      <c r="D396" s="11" t="str">
        <f>IFERROR(INDEX(Catalogo!$E$4:$E$1502,_xlfn.IFNA(MATCH(C396,Catalogo!$C$4:$C$1502,0),-1)),"")</f>
        <v/>
      </c>
      <c r="E396" s="12" t="str">
        <f>IFERROR(_xlfn.CONCAT(INDEX(Catalogo!$G$4:$G$1502,_xlfn.IFNA(MATCH(C396,Catalogo!$C$4:$C$1502,0),-1)),"-",INDEX(Catalogo!$H$4:$H$1502,_xlfn.IFNA(MATCH(C396,Catalogo!$C$4:$C$1502,0),-1))),"")</f>
        <v/>
      </c>
    </row>
    <row r="397" spans="3:5" x14ac:dyDescent="0.25">
      <c r="C397" s="9"/>
      <c r="D397" s="11" t="str">
        <f>IFERROR(INDEX(Catalogo!$E$4:$E$1502,_xlfn.IFNA(MATCH(C397,Catalogo!$C$4:$C$1502,0),-1)),"")</f>
        <v/>
      </c>
      <c r="E397" s="12" t="str">
        <f>IFERROR(_xlfn.CONCAT(INDEX(Catalogo!$G$4:$G$1502,_xlfn.IFNA(MATCH(C397,Catalogo!$C$4:$C$1502,0),-1)),"-",INDEX(Catalogo!$H$4:$H$1502,_xlfn.IFNA(MATCH(C397,Catalogo!$C$4:$C$1502,0),-1))),"")</f>
        <v/>
      </c>
    </row>
    <row r="398" spans="3:5" x14ac:dyDescent="0.25">
      <c r="C398" s="9"/>
      <c r="D398" s="11" t="str">
        <f>IFERROR(INDEX(Catalogo!$E$4:$E$1502,_xlfn.IFNA(MATCH(C398,Catalogo!$C$4:$C$1502,0),-1)),"")</f>
        <v/>
      </c>
      <c r="E398" s="12" t="str">
        <f>IFERROR(_xlfn.CONCAT(INDEX(Catalogo!$G$4:$G$1502,_xlfn.IFNA(MATCH(C398,Catalogo!$C$4:$C$1502,0),-1)),"-",INDEX(Catalogo!$H$4:$H$1502,_xlfn.IFNA(MATCH(C398,Catalogo!$C$4:$C$1502,0),-1))),"")</f>
        <v/>
      </c>
    </row>
    <row r="399" spans="3:5" x14ac:dyDescent="0.25">
      <c r="C399" s="8"/>
      <c r="D399" s="11" t="str">
        <f>IFERROR(INDEX(Catalogo!$E$4:$E$1502,_xlfn.IFNA(MATCH(C399,Catalogo!$C$4:$C$1502,0),-1)),"")</f>
        <v/>
      </c>
      <c r="E399" s="12" t="str">
        <f>IFERROR(_xlfn.CONCAT(INDEX(Catalogo!$G$4:$G$1502,_xlfn.IFNA(MATCH(C399,Catalogo!$C$4:$C$1502,0),-1)),"-",INDEX(Catalogo!$H$4:$H$1502,_xlfn.IFNA(MATCH(C399,Catalogo!$C$4:$C$1502,0),-1))),"")</f>
        <v/>
      </c>
    </row>
    <row r="400" spans="3:5" x14ac:dyDescent="0.25">
      <c r="C400" s="8"/>
      <c r="D400" s="11" t="str">
        <f>IFERROR(INDEX(Catalogo!$E$4:$E$1502,_xlfn.IFNA(MATCH(C400,Catalogo!$C$4:$C$1502,0),-1)),"")</f>
        <v/>
      </c>
      <c r="E400" s="12" t="str">
        <f>IFERROR(_xlfn.CONCAT(INDEX(Catalogo!$G$4:$G$1502,_xlfn.IFNA(MATCH(C400,Catalogo!$C$4:$C$1502,0),-1)),"-",INDEX(Catalogo!$H$4:$H$1502,_xlfn.IFNA(MATCH(C400,Catalogo!$C$4:$C$1502,0),-1))),"")</f>
        <v/>
      </c>
    </row>
    <row r="401" spans="3:5" x14ac:dyDescent="0.25">
      <c r="C401" s="8"/>
      <c r="D401" s="11" t="str">
        <f>IFERROR(INDEX(Catalogo!$E$4:$E$1502,_xlfn.IFNA(MATCH(C401,Catalogo!$C$4:$C$1502,0),-1)),"")</f>
        <v/>
      </c>
      <c r="E401" s="12" t="str">
        <f>IFERROR(_xlfn.CONCAT(INDEX(Catalogo!$G$4:$G$1502,_xlfn.IFNA(MATCH(C401,Catalogo!$C$4:$C$1502,0),-1)),"-",INDEX(Catalogo!$H$4:$H$1502,_xlfn.IFNA(MATCH(C401,Catalogo!$C$4:$C$1502,0),-1))),"")</f>
        <v/>
      </c>
    </row>
    <row r="402" spans="3:5" x14ac:dyDescent="0.25">
      <c r="C402" s="8"/>
      <c r="D402" s="11" t="str">
        <f>IFERROR(INDEX(Catalogo!$E$4:$E$1502,_xlfn.IFNA(MATCH(C402,Catalogo!$C$4:$C$1502,0),-1)),"")</f>
        <v/>
      </c>
      <c r="E402" s="12" t="str">
        <f>IFERROR(_xlfn.CONCAT(INDEX(Catalogo!$G$4:$G$1502,_xlfn.IFNA(MATCH(C402,Catalogo!$C$4:$C$1502,0),-1)),"-",INDEX(Catalogo!$H$4:$H$1502,_xlfn.IFNA(MATCH(C402,Catalogo!$C$4:$C$1502,0),-1))),"")</f>
        <v/>
      </c>
    </row>
    <row r="403" spans="3:5" x14ac:dyDescent="0.25">
      <c r="C403" s="9"/>
      <c r="D403" s="11" t="str">
        <f>IFERROR(INDEX(Catalogo!$E$4:$E$1502,_xlfn.IFNA(MATCH(C403,Catalogo!$C$4:$C$1502,0),-1)),"")</f>
        <v/>
      </c>
      <c r="E403" s="12" t="str">
        <f>IFERROR(_xlfn.CONCAT(INDEX(Catalogo!$G$4:$G$1502,_xlfn.IFNA(MATCH(C403,Catalogo!$C$4:$C$1502,0),-1)),"-",INDEX(Catalogo!$H$4:$H$1502,_xlfn.IFNA(MATCH(C403,Catalogo!$C$4:$C$1502,0),-1))),"")</f>
        <v/>
      </c>
    </row>
    <row r="404" spans="3:5" x14ac:dyDescent="0.25">
      <c r="C404" s="9"/>
      <c r="D404" s="11" t="str">
        <f>IFERROR(INDEX(Catalogo!$E$4:$E$1502,_xlfn.IFNA(MATCH(C404,Catalogo!$C$4:$C$1502,0),-1)),"")</f>
        <v/>
      </c>
      <c r="E404" s="12" t="str">
        <f>IFERROR(_xlfn.CONCAT(INDEX(Catalogo!$G$4:$G$1502,_xlfn.IFNA(MATCH(C404,Catalogo!$C$4:$C$1502,0),-1)),"-",INDEX(Catalogo!$H$4:$H$1502,_xlfn.IFNA(MATCH(C404,Catalogo!$C$4:$C$1502,0),-1))),"")</f>
        <v/>
      </c>
    </row>
    <row r="405" spans="3:5" x14ac:dyDescent="0.25">
      <c r="C405" s="8"/>
      <c r="D405" s="11" t="str">
        <f>IFERROR(INDEX(Catalogo!$E$4:$E$1502,_xlfn.IFNA(MATCH(C405,Catalogo!$C$4:$C$1502,0),-1)),"")</f>
        <v/>
      </c>
      <c r="E405" s="12" t="str">
        <f>IFERROR(_xlfn.CONCAT(INDEX(Catalogo!$G$4:$G$1502,_xlfn.IFNA(MATCH(C405,Catalogo!$C$4:$C$1502,0),-1)),"-",INDEX(Catalogo!$H$4:$H$1502,_xlfn.IFNA(MATCH(C405,Catalogo!$C$4:$C$1502,0),-1))),"")</f>
        <v/>
      </c>
    </row>
    <row r="406" spans="3:5" x14ac:dyDescent="0.25">
      <c r="C406" s="9"/>
      <c r="D406" s="11" t="str">
        <f>IFERROR(INDEX(Catalogo!$E$4:$E$1502,_xlfn.IFNA(MATCH(C406,Catalogo!$C$4:$C$1502,0),-1)),"")</f>
        <v/>
      </c>
      <c r="E406" s="12" t="str">
        <f>IFERROR(_xlfn.CONCAT(INDEX(Catalogo!$G$4:$G$1502,_xlfn.IFNA(MATCH(C406,Catalogo!$C$4:$C$1502,0),-1)),"-",INDEX(Catalogo!$H$4:$H$1502,_xlfn.IFNA(MATCH(C406,Catalogo!$C$4:$C$1502,0),-1))),"")</f>
        <v/>
      </c>
    </row>
    <row r="407" spans="3:5" x14ac:dyDescent="0.25">
      <c r="C407" s="8"/>
      <c r="D407" s="11" t="str">
        <f>IFERROR(INDEX(Catalogo!$E$4:$E$1502,_xlfn.IFNA(MATCH(C407,Catalogo!$C$4:$C$1502,0),-1)),"")</f>
        <v/>
      </c>
      <c r="E407" s="12" t="str">
        <f>IFERROR(_xlfn.CONCAT(INDEX(Catalogo!$G$4:$G$1502,_xlfn.IFNA(MATCH(C407,Catalogo!$C$4:$C$1502,0),-1)),"-",INDEX(Catalogo!$H$4:$H$1502,_xlfn.IFNA(MATCH(C407,Catalogo!$C$4:$C$1502,0),-1))),"")</f>
        <v/>
      </c>
    </row>
    <row r="408" spans="3:5" x14ac:dyDescent="0.25">
      <c r="C408" s="9"/>
      <c r="D408" s="11" t="str">
        <f>IFERROR(INDEX(Catalogo!$E$4:$E$1502,_xlfn.IFNA(MATCH(C408,Catalogo!$C$4:$C$1502,0),-1)),"")</f>
        <v/>
      </c>
      <c r="E408" s="12" t="str">
        <f>IFERROR(_xlfn.CONCAT(INDEX(Catalogo!$G$4:$G$1502,_xlfn.IFNA(MATCH(C408,Catalogo!$C$4:$C$1502,0),-1)),"-",INDEX(Catalogo!$H$4:$H$1502,_xlfn.IFNA(MATCH(C408,Catalogo!$C$4:$C$1502,0),-1))),"")</f>
        <v/>
      </c>
    </row>
    <row r="409" spans="3:5" x14ac:dyDescent="0.25">
      <c r="C409" s="8"/>
      <c r="D409" s="11" t="str">
        <f>IFERROR(INDEX(Catalogo!$E$4:$E$1502,_xlfn.IFNA(MATCH(C409,Catalogo!$C$4:$C$1502,0),-1)),"")</f>
        <v/>
      </c>
      <c r="E409" s="12" t="str">
        <f>IFERROR(_xlfn.CONCAT(INDEX(Catalogo!$G$4:$G$1502,_xlfn.IFNA(MATCH(C409,Catalogo!$C$4:$C$1502,0),-1)),"-",INDEX(Catalogo!$H$4:$H$1502,_xlfn.IFNA(MATCH(C409,Catalogo!$C$4:$C$1502,0),-1))),"")</f>
        <v/>
      </c>
    </row>
    <row r="410" spans="3:5" x14ac:dyDescent="0.25">
      <c r="C410" s="9"/>
      <c r="D410" s="11" t="str">
        <f>IFERROR(INDEX(Catalogo!$E$4:$E$1502,_xlfn.IFNA(MATCH(C410,Catalogo!$C$4:$C$1502,0),-1)),"")</f>
        <v/>
      </c>
      <c r="E410" s="12" t="str">
        <f>IFERROR(_xlfn.CONCAT(INDEX(Catalogo!$G$4:$G$1502,_xlfn.IFNA(MATCH(C410,Catalogo!$C$4:$C$1502,0),-1)),"-",INDEX(Catalogo!$H$4:$H$1502,_xlfn.IFNA(MATCH(C410,Catalogo!$C$4:$C$1502,0),-1))),"")</f>
        <v/>
      </c>
    </row>
    <row r="411" spans="3:5" x14ac:dyDescent="0.25">
      <c r="C411" s="9"/>
      <c r="D411" s="11" t="str">
        <f>IFERROR(INDEX(Catalogo!$E$4:$E$1502,_xlfn.IFNA(MATCH(C411,Catalogo!$C$4:$C$1502,0),-1)),"")</f>
        <v/>
      </c>
      <c r="E411" s="12" t="str">
        <f>IFERROR(_xlfn.CONCAT(INDEX(Catalogo!$G$4:$G$1502,_xlfn.IFNA(MATCH(C411,Catalogo!$C$4:$C$1502,0),-1)),"-",INDEX(Catalogo!$H$4:$H$1502,_xlfn.IFNA(MATCH(C411,Catalogo!$C$4:$C$1502,0),-1))),"")</f>
        <v/>
      </c>
    </row>
    <row r="412" spans="3:5" x14ac:dyDescent="0.25">
      <c r="C412" s="9"/>
      <c r="D412" s="11" t="str">
        <f>IFERROR(INDEX(Catalogo!$E$4:$E$1502,_xlfn.IFNA(MATCH(C412,Catalogo!$C$4:$C$1502,0),-1)),"")</f>
        <v/>
      </c>
      <c r="E412" s="12" t="str">
        <f>IFERROR(_xlfn.CONCAT(INDEX(Catalogo!$G$4:$G$1502,_xlfn.IFNA(MATCH(C412,Catalogo!$C$4:$C$1502,0),-1)),"-",INDEX(Catalogo!$H$4:$H$1502,_xlfn.IFNA(MATCH(C412,Catalogo!$C$4:$C$1502,0),-1))),"")</f>
        <v/>
      </c>
    </row>
    <row r="413" spans="3:5" x14ac:dyDescent="0.25">
      <c r="C413" s="8"/>
      <c r="D413" s="11" t="str">
        <f>IFERROR(INDEX(Catalogo!$E$4:$E$1502,_xlfn.IFNA(MATCH(C413,Catalogo!$C$4:$C$1502,0),-1)),"")</f>
        <v/>
      </c>
      <c r="E413" s="12" t="str">
        <f>IFERROR(_xlfn.CONCAT(INDEX(Catalogo!$G$4:$G$1502,_xlfn.IFNA(MATCH(C413,Catalogo!$C$4:$C$1502,0),-1)),"-",INDEX(Catalogo!$H$4:$H$1502,_xlfn.IFNA(MATCH(C413,Catalogo!$C$4:$C$1502,0),-1))),"")</f>
        <v/>
      </c>
    </row>
    <row r="414" spans="3:5" x14ac:dyDescent="0.25">
      <c r="C414" s="8"/>
      <c r="D414" s="11" t="str">
        <f>IFERROR(INDEX(Catalogo!$E$4:$E$1502,_xlfn.IFNA(MATCH(C414,Catalogo!$C$4:$C$1502,0),-1)),"")</f>
        <v/>
      </c>
      <c r="E414" s="12" t="str">
        <f>IFERROR(_xlfn.CONCAT(INDEX(Catalogo!$G$4:$G$1502,_xlfn.IFNA(MATCH(C414,Catalogo!$C$4:$C$1502,0),-1)),"-",INDEX(Catalogo!$H$4:$H$1502,_xlfn.IFNA(MATCH(C414,Catalogo!$C$4:$C$1502,0),-1))),"")</f>
        <v/>
      </c>
    </row>
    <row r="415" spans="3:5" x14ac:dyDescent="0.25">
      <c r="C415" s="9"/>
      <c r="D415" s="11" t="str">
        <f>IFERROR(INDEX(Catalogo!$E$4:$E$1502,_xlfn.IFNA(MATCH(C415,Catalogo!$C$4:$C$1502,0),-1)),"")</f>
        <v/>
      </c>
      <c r="E415" s="12" t="str">
        <f>IFERROR(_xlfn.CONCAT(INDEX(Catalogo!$G$4:$G$1502,_xlfn.IFNA(MATCH(C415,Catalogo!$C$4:$C$1502,0),-1)),"-",INDEX(Catalogo!$H$4:$H$1502,_xlfn.IFNA(MATCH(C415,Catalogo!$C$4:$C$1502,0),-1))),"")</f>
        <v/>
      </c>
    </row>
    <row r="416" spans="3:5" x14ac:dyDescent="0.25">
      <c r="C416" s="8"/>
      <c r="D416" s="11" t="str">
        <f>IFERROR(INDEX(Catalogo!$E$4:$E$1502,_xlfn.IFNA(MATCH(C416,Catalogo!$C$4:$C$1502,0),-1)),"")</f>
        <v/>
      </c>
      <c r="E416" s="12" t="str">
        <f>IFERROR(_xlfn.CONCAT(INDEX(Catalogo!$G$4:$G$1502,_xlfn.IFNA(MATCH(C416,Catalogo!$C$4:$C$1502,0),-1)),"-",INDEX(Catalogo!$H$4:$H$1502,_xlfn.IFNA(MATCH(C416,Catalogo!$C$4:$C$1502,0),-1))),"")</f>
        <v/>
      </c>
    </row>
    <row r="417" spans="3:5" x14ac:dyDescent="0.25">
      <c r="C417" s="8"/>
      <c r="D417" s="11" t="str">
        <f>IFERROR(INDEX(Catalogo!$E$4:$E$1502,_xlfn.IFNA(MATCH(C417,Catalogo!$C$4:$C$1502,0),-1)),"")</f>
        <v/>
      </c>
      <c r="E417" s="12" t="str">
        <f>IFERROR(_xlfn.CONCAT(INDEX(Catalogo!$G$4:$G$1502,_xlfn.IFNA(MATCH(C417,Catalogo!$C$4:$C$1502,0),-1)),"-",INDEX(Catalogo!$H$4:$H$1502,_xlfn.IFNA(MATCH(C417,Catalogo!$C$4:$C$1502,0),-1))),"")</f>
        <v/>
      </c>
    </row>
    <row r="418" spans="3:5" x14ac:dyDescent="0.25">
      <c r="C418" s="8"/>
      <c r="D418" s="11" t="str">
        <f>IFERROR(INDEX(Catalogo!$E$4:$E$1502,_xlfn.IFNA(MATCH(C418,Catalogo!$C$4:$C$1502,0),-1)),"")</f>
        <v/>
      </c>
      <c r="E418" s="12" t="str">
        <f>IFERROR(_xlfn.CONCAT(INDEX(Catalogo!$G$4:$G$1502,_xlfn.IFNA(MATCH(C418,Catalogo!$C$4:$C$1502,0),-1)),"-",INDEX(Catalogo!$H$4:$H$1502,_xlfn.IFNA(MATCH(C418,Catalogo!$C$4:$C$1502,0),-1))),"")</f>
        <v/>
      </c>
    </row>
    <row r="419" spans="3:5" x14ac:dyDescent="0.25">
      <c r="C419" s="8"/>
      <c r="D419" s="11" t="str">
        <f>IFERROR(INDEX(Catalogo!$E$4:$E$1502,_xlfn.IFNA(MATCH(C419,Catalogo!$C$4:$C$1502,0),-1)),"")</f>
        <v/>
      </c>
      <c r="E419" s="12" t="str">
        <f>IFERROR(_xlfn.CONCAT(INDEX(Catalogo!$G$4:$G$1502,_xlfn.IFNA(MATCH(C419,Catalogo!$C$4:$C$1502,0),-1)),"-",INDEX(Catalogo!$H$4:$H$1502,_xlfn.IFNA(MATCH(C419,Catalogo!$C$4:$C$1502,0),-1))),"")</f>
        <v/>
      </c>
    </row>
    <row r="420" spans="3:5" x14ac:dyDescent="0.25">
      <c r="C420" s="8"/>
      <c r="D420" s="11" t="str">
        <f>IFERROR(INDEX(Catalogo!$E$4:$E$1502,_xlfn.IFNA(MATCH(C420,Catalogo!$C$4:$C$1502,0),-1)),"")</f>
        <v/>
      </c>
      <c r="E420" s="12" t="str">
        <f>IFERROR(_xlfn.CONCAT(INDEX(Catalogo!$G$4:$G$1502,_xlfn.IFNA(MATCH(C420,Catalogo!$C$4:$C$1502,0),-1)),"-",INDEX(Catalogo!$H$4:$H$1502,_xlfn.IFNA(MATCH(C420,Catalogo!$C$4:$C$1502,0),-1))),"")</f>
        <v/>
      </c>
    </row>
    <row r="421" spans="3:5" x14ac:dyDescent="0.25">
      <c r="C421" s="8"/>
      <c r="D421" s="11" t="str">
        <f>IFERROR(INDEX(Catalogo!$E$4:$E$1502,_xlfn.IFNA(MATCH(C421,Catalogo!$C$4:$C$1502,0),-1)),"")</f>
        <v/>
      </c>
      <c r="E421" s="12" t="str">
        <f>IFERROR(_xlfn.CONCAT(INDEX(Catalogo!$G$4:$G$1502,_xlfn.IFNA(MATCH(C421,Catalogo!$C$4:$C$1502,0),-1)),"-",INDEX(Catalogo!$H$4:$H$1502,_xlfn.IFNA(MATCH(C421,Catalogo!$C$4:$C$1502,0),-1))),"")</f>
        <v/>
      </c>
    </row>
    <row r="422" spans="3:5" x14ac:dyDescent="0.25">
      <c r="C422" s="9"/>
      <c r="D422" s="11" t="str">
        <f>IFERROR(INDEX(Catalogo!$E$4:$E$1502,_xlfn.IFNA(MATCH(C422,Catalogo!$C$4:$C$1502,0),-1)),"")</f>
        <v/>
      </c>
      <c r="E422" s="12" t="str">
        <f>IFERROR(_xlfn.CONCAT(INDEX(Catalogo!$G$4:$G$1502,_xlfn.IFNA(MATCH(C422,Catalogo!$C$4:$C$1502,0),-1)),"-",INDEX(Catalogo!$H$4:$H$1502,_xlfn.IFNA(MATCH(C422,Catalogo!$C$4:$C$1502,0),-1))),"")</f>
        <v/>
      </c>
    </row>
    <row r="423" spans="3:5" x14ac:dyDescent="0.25">
      <c r="C423" s="8"/>
      <c r="D423" s="11" t="str">
        <f>IFERROR(INDEX(Catalogo!$E$4:$E$1502,_xlfn.IFNA(MATCH(C423,Catalogo!$C$4:$C$1502,0),-1)),"")</f>
        <v/>
      </c>
      <c r="E423" s="12" t="str">
        <f>IFERROR(_xlfn.CONCAT(INDEX(Catalogo!$G$4:$G$1502,_xlfn.IFNA(MATCH(C423,Catalogo!$C$4:$C$1502,0),-1)),"-",INDEX(Catalogo!$H$4:$H$1502,_xlfn.IFNA(MATCH(C423,Catalogo!$C$4:$C$1502,0),-1))),"")</f>
        <v/>
      </c>
    </row>
    <row r="424" spans="3:5" x14ac:dyDescent="0.25">
      <c r="C424" s="8"/>
      <c r="D424" s="11" t="str">
        <f>IFERROR(INDEX(Catalogo!$E$4:$E$1502,_xlfn.IFNA(MATCH(C424,Catalogo!$C$4:$C$1502,0),-1)),"")</f>
        <v/>
      </c>
      <c r="E424" s="12" t="str">
        <f>IFERROR(_xlfn.CONCAT(INDEX(Catalogo!$G$4:$G$1502,_xlfn.IFNA(MATCH(C424,Catalogo!$C$4:$C$1502,0),-1)),"-",INDEX(Catalogo!$H$4:$H$1502,_xlfn.IFNA(MATCH(C424,Catalogo!$C$4:$C$1502,0),-1))),"")</f>
        <v/>
      </c>
    </row>
    <row r="425" spans="3:5" x14ac:dyDescent="0.25">
      <c r="C425" s="8"/>
      <c r="D425" s="11" t="str">
        <f>IFERROR(INDEX(Catalogo!$E$4:$E$1502,_xlfn.IFNA(MATCH(C425,Catalogo!$C$4:$C$1502,0),-1)),"")</f>
        <v/>
      </c>
      <c r="E425" s="12" t="str">
        <f>IFERROR(_xlfn.CONCAT(INDEX(Catalogo!$G$4:$G$1502,_xlfn.IFNA(MATCH(C425,Catalogo!$C$4:$C$1502,0),-1)),"-",INDEX(Catalogo!$H$4:$H$1502,_xlfn.IFNA(MATCH(C425,Catalogo!$C$4:$C$1502,0),-1))),"")</f>
        <v/>
      </c>
    </row>
    <row r="426" spans="3:5" x14ac:dyDescent="0.25">
      <c r="C426" s="9"/>
      <c r="D426" s="11" t="str">
        <f>IFERROR(INDEX(Catalogo!$E$4:$E$1502,_xlfn.IFNA(MATCH(C426,Catalogo!$C$4:$C$1502,0),-1)),"")</f>
        <v/>
      </c>
      <c r="E426" s="12" t="str">
        <f>IFERROR(_xlfn.CONCAT(INDEX(Catalogo!$G$4:$G$1502,_xlfn.IFNA(MATCH(C426,Catalogo!$C$4:$C$1502,0),-1)),"-",INDEX(Catalogo!$H$4:$H$1502,_xlfn.IFNA(MATCH(C426,Catalogo!$C$4:$C$1502,0),-1))),"")</f>
        <v/>
      </c>
    </row>
    <row r="427" spans="3:5" x14ac:dyDescent="0.25">
      <c r="C427" s="9"/>
      <c r="D427" s="11" t="str">
        <f>IFERROR(INDEX(Catalogo!$E$4:$E$1502,_xlfn.IFNA(MATCH(C427,Catalogo!$C$4:$C$1502,0),-1)),"")</f>
        <v/>
      </c>
      <c r="E427" s="12" t="str">
        <f>IFERROR(_xlfn.CONCAT(INDEX(Catalogo!$G$4:$G$1502,_xlfn.IFNA(MATCH(C427,Catalogo!$C$4:$C$1502,0),-1)),"-",INDEX(Catalogo!$H$4:$H$1502,_xlfn.IFNA(MATCH(C427,Catalogo!$C$4:$C$1502,0),-1))),"")</f>
        <v/>
      </c>
    </row>
    <row r="428" spans="3:5" x14ac:dyDescent="0.25">
      <c r="C428" s="9"/>
      <c r="D428" s="11" t="str">
        <f>IFERROR(INDEX(Catalogo!$E$4:$E$1502,_xlfn.IFNA(MATCH(C428,Catalogo!$C$4:$C$1502,0),-1)),"")</f>
        <v/>
      </c>
      <c r="E428" s="12" t="str">
        <f>IFERROR(_xlfn.CONCAT(INDEX(Catalogo!$G$4:$G$1502,_xlfn.IFNA(MATCH(C428,Catalogo!$C$4:$C$1502,0),-1)),"-",INDEX(Catalogo!$H$4:$H$1502,_xlfn.IFNA(MATCH(C428,Catalogo!$C$4:$C$1502,0),-1))),"")</f>
        <v/>
      </c>
    </row>
    <row r="429" spans="3:5" x14ac:dyDescent="0.25">
      <c r="C429" s="9"/>
      <c r="D429" s="11" t="str">
        <f>IFERROR(INDEX(Catalogo!$E$4:$E$1502,_xlfn.IFNA(MATCH(C429,Catalogo!$C$4:$C$1502,0),-1)),"")</f>
        <v/>
      </c>
      <c r="E429" s="12" t="str">
        <f>IFERROR(_xlfn.CONCAT(INDEX(Catalogo!$G$4:$G$1502,_xlfn.IFNA(MATCH(C429,Catalogo!$C$4:$C$1502,0),-1)),"-",INDEX(Catalogo!$H$4:$H$1502,_xlfn.IFNA(MATCH(C429,Catalogo!$C$4:$C$1502,0),-1))),"")</f>
        <v/>
      </c>
    </row>
    <row r="430" spans="3:5" x14ac:dyDescent="0.25">
      <c r="C430" s="8"/>
      <c r="D430" s="11" t="str">
        <f>IFERROR(INDEX(Catalogo!$E$4:$E$1502,_xlfn.IFNA(MATCH(C430,Catalogo!$C$4:$C$1502,0),-1)),"")</f>
        <v/>
      </c>
      <c r="E430" s="12" t="str">
        <f>IFERROR(_xlfn.CONCAT(INDEX(Catalogo!$G$4:$G$1502,_xlfn.IFNA(MATCH(C430,Catalogo!$C$4:$C$1502,0),-1)),"-",INDEX(Catalogo!$H$4:$H$1502,_xlfn.IFNA(MATCH(C430,Catalogo!$C$4:$C$1502,0),-1))),"")</f>
        <v/>
      </c>
    </row>
    <row r="431" spans="3:5" x14ac:dyDescent="0.25">
      <c r="C431" s="9"/>
      <c r="D431" s="11" t="str">
        <f>IFERROR(INDEX(Catalogo!$E$4:$E$1502,_xlfn.IFNA(MATCH(C431,Catalogo!$C$4:$C$1502,0),-1)),"")</f>
        <v/>
      </c>
      <c r="E431" s="12" t="str">
        <f>IFERROR(_xlfn.CONCAT(INDEX(Catalogo!$G$4:$G$1502,_xlfn.IFNA(MATCH(C431,Catalogo!$C$4:$C$1502,0),-1)),"-",INDEX(Catalogo!$H$4:$H$1502,_xlfn.IFNA(MATCH(C431,Catalogo!$C$4:$C$1502,0),-1))),"")</f>
        <v/>
      </c>
    </row>
    <row r="432" spans="3:5" x14ac:dyDescent="0.25">
      <c r="C432" s="9"/>
      <c r="D432" s="11" t="str">
        <f>IFERROR(INDEX(Catalogo!$E$4:$E$1502,_xlfn.IFNA(MATCH(C432,Catalogo!$C$4:$C$1502,0),-1)),"")</f>
        <v/>
      </c>
      <c r="E432" s="12" t="str">
        <f>IFERROR(_xlfn.CONCAT(INDEX(Catalogo!$G$4:$G$1502,_xlfn.IFNA(MATCH(C432,Catalogo!$C$4:$C$1502,0),-1)),"-",INDEX(Catalogo!$H$4:$H$1502,_xlfn.IFNA(MATCH(C432,Catalogo!$C$4:$C$1502,0),-1))),"")</f>
        <v/>
      </c>
    </row>
    <row r="433" spans="3:5" x14ac:dyDescent="0.25">
      <c r="C433" s="8"/>
      <c r="D433" s="11" t="str">
        <f>IFERROR(INDEX(Catalogo!$E$4:$E$1502,_xlfn.IFNA(MATCH(C433,Catalogo!$C$4:$C$1502,0),-1)),"")</f>
        <v/>
      </c>
      <c r="E433" s="12" t="str">
        <f>IFERROR(_xlfn.CONCAT(INDEX(Catalogo!$G$4:$G$1502,_xlfn.IFNA(MATCH(C433,Catalogo!$C$4:$C$1502,0),-1)),"-",INDEX(Catalogo!$H$4:$H$1502,_xlfn.IFNA(MATCH(C433,Catalogo!$C$4:$C$1502,0),-1))),"")</f>
        <v/>
      </c>
    </row>
    <row r="434" spans="3:5" x14ac:dyDescent="0.25">
      <c r="C434" s="8"/>
      <c r="D434" s="11" t="str">
        <f>IFERROR(INDEX(Catalogo!$E$4:$E$1502,_xlfn.IFNA(MATCH(C434,Catalogo!$C$4:$C$1502,0),-1)),"")</f>
        <v/>
      </c>
      <c r="E434" s="12" t="str">
        <f>IFERROR(_xlfn.CONCAT(INDEX(Catalogo!$G$4:$G$1502,_xlfn.IFNA(MATCH(C434,Catalogo!$C$4:$C$1502,0),-1)),"-",INDEX(Catalogo!$H$4:$H$1502,_xlfn.IFNA(MATCH(C434,Catalogo!$C$4:$C$1502,0),-1))),"")</f>
        <v/>
      </c>
    </row>
    <row r="435" spans="3:5" x14ac:dyDescent="0.25">
      <c r="C435" s="8"/>
      <c r="D435" s="11" t="str">
        <f>IFERROR(INDEX(Catalogo!$E$4:$E$1502,_xlfn.IFNA(MATCH(C435,Catalogo!$C$4:$C$1502,0),-1)),"")</f>
        <v/>
      </c>
      <c r="E435" s="12" t="str">
        <f>IFERROR(_xlfn.CONCAT(INDEX(Catalogo!$G$4:$G$1502,_xlfn.IFNA(MATCH(C435,Catalogo!$C$4:$C$1502,0),-1)),"-",INDEX(Catalogo!$H$4:$H$1502,_xlfn.IFNA(MATCH(C435,Catalogo!$C$4:$C$1502,0),-1))),"")</f>
        <v/>
      </c>
    </row>
    <row r="436" spans="3:5" x14ac:dyDescent="0.25">
      <c r="C436" s="9"/>
      <c r="D436" s="11" t="str">
        <f>IFERROR(INDEX(Catalogo!$E$4:$E$1502,_xlfn.IFNA(MATCH(C436,Catalogo!$C$4:$C$1502,0),-1)),"")</f>
        <v/>
      </c>
      <c r="E436" s="12" t="str">
        <f>IFERROR(_xlfn.CONCAT(INDEX(Catalogo!$G$4:$G$1502,_xlfn.IFNA(MATCH(C436,Catalogo!$C$4:$C$1502,0),-1)),"-",INDEX(Catalogo!$H$4:$H$1502,_xlfn.IFNA(MATCH(C436,Catalogo!$C$4:$C$1502,0),-1))),"")</f>
        <v/>
      </c>
    </row>
    <row r="437" spans="3:5" x14ac:dyDescent="0.25">
      <c r="C437" s="9"/>
      <c r="D437" s="11" t="str">
        <f>IFERROR(INDEX(Catalogo!$E$4:$E$1502,_xlfn.IFNA(MATCH(C437,Catalogo!$C$4:$C$1502,0),-1)),"")</f>
        <v/>
      </c>
      <c r="E437" s="12" t="str">
        <f>IFERROR(_xlfn.CONCAT(INDEX(Catalogo!$G$4:$G$1502,_xlfn.IFNA(MATCH(C437,Catalogo!$C$4:$C$1502,0),-1)),"-",INDEX(Catalogo!$H$4:$H$1502,_xlfn.IFNA(MATCH(C437,Catalogo!$C$4:$C$1502,0),-1))),"")</f>
        <v/>
      </c>
    </row>
    <row r="438" spans="3:5" x14ac:dyDescent="0.25">
      <c r="C438" s="8"/>
      <c r="D438" s="11" t="str">
        <f>IFERROR(INDEX(Catalogo!$E$4:$E$1502,_xlfn.IFNA(MATCH(C438,Catalogo!$C$4:$C$1502,0),-1)),"")</f>
        <v/>
      </c>
      <c r="E438" s="12" t="str">
        <f>IFERROR(_xlfn.CONCAT(INDEX(Catalogo!$G$4:$G$1502,_xlfn.IFNA(MATCH(C438,Catalogo!$C$4:$C$1502,0),-1)),"-",INDEX(Catalogo!$H$4:$H$1502,_xlfn.IFNA(MATCH(C438,Catalogo!$C$4:$C$1502,0),-1))),"")</f>
        <v/>
      </c>
    </row>
    <row r="439" spans="3:5" x14ac:dyDescent="0.25">
      <c r="C439" s="8"/>
      <c r="D439" s="11" t="str">
        <f>IFERROR(INDEX(Catalogo!$E$4:$E$1502,_xlfn.IFNA(MATCH(C439,Catalogo!$C$4:$C$1502,0),-1)),"")</f>
        <v/>
      </c>
      <c r="E439" s="12" t="str">
        <f>IFERROR(_xlfn.CONCAT(INDEX(Catalogo!$G$4:$G$1502,_xlfn.IFNA(MATCH(C439,Catalogo!$C$4:$C$1502,0),-1)),"-",INDEX(Catalogo!$H$4:$H$1502,_xlfn.IFNA(MATCH(C439,Catalogo!$C$4:$C$1502,0),-1))),"")</f>
        <v/>
      </c>
    </row>
    <row r="440" spans="3:5" x14ac:dyDescent="0.25">
      <c r="C440" s="8"/>
      <c r="D440" s="11" t="str">
        <f>IFERROR(INDEX(Catalogo!$E$4:$E$1502,_xlfn.IFNA(MATCH(C440,Catalogo!$C$4:$C$1502,0),-1)),"")</f>
        <v/>
      </c>
      <c r="E440" s="12" t="str">
        <f>IFERROR(_xlfn.CONCAT(INDEX(Catalogo!$G$4:$G$1502,_xlfn.IFNA(MATCH(C440,Catalogo!$C$4:$C$1502,0),-1)),"-",INDEX(Catalogo!$H$4:$H$1502,_xlfn.IFNA(MATCH(C440,Catalogo!$C$4:$C$1502,0),-1))),"")</f>
        <v/>
      </c>
    </row>
    <row r="441" spans="3:5" x14ac:dyDescent="0.25">
      <c r="C441" s="9"/>
      <c r="D441" s="11" t="str">
        <f>IFERROR(INDEX(Catalogo!$E$4:$E$1502,_xlfn.IFNA(MATCH(C441,Catalogo!$C$4:$C$1502,0),-1)),"")</f>
        <v/>
      </c>
      <c r="E441" s="12" t="str">
        <f>IFERROR(_xlfn.CONCAT(INDEX(Catalogo!$G$4:$G$1502,_xlfn.IFNA(MATCH(C441,Catalogo!$C$4:$C$1502,0),-1)),"-",INDEX(Catalogo!$H$4:$H$1502,_xlfn.IFNA(MATCH(C441,Catalogo!$C$4:$C$1502,0),-1))),"")</f>
        <v/>
      </c>
    </row>
    <row r="442" spans="3:5" x14ac:dyDescent="0.25">
      <c r="C442" s="8"/>
      <c r="D442" s="11" t="str">
        <f>IFERROR(INDEX(Catalogo!$E$4:$E$1502,_xlfn.IFNA(MATCH(C442,Catalogo!$C$4:$C$1502,0),-1)),"")</f>
        <v/>
      </c>
      <c r="E442" s="12" t="str">
        <f>IFERROR(_xlfn.CONCAT(INDEX(Catalogo!$G$4:$G$1502,_xlfn.IFNA(MATCH(C442,Catalogo!$C$4:$C$1502,0),-1)),"-",INDEX(Catalogo!$H$4:$H$1502,_xlfn.IFNA(MATCH(C442,Catalogo!$C$4:$C$1502,0),-1))),"")</f>
        <v/>
      </c>
    </row>
    <row r="443" spans="3:5" x14ac:dyDescent="0.25">
      <c r="C443" s="8"/>
      <c r="D443" s="11" t="str">
        <f>IFERROR(INDEX(Catalogo!$E$4:$E$1502,_xlfn.IFNA(MATCH(C443,Catalogo!$C$4:$C$1502,0),-1)),"")</f>
        <v/>
      </c>
      <c r="E443" s="12" t="str">
        <f>IFERROR(_xlfn.CONCAT(INDEX(Catalogo!$G$4:$G$1502,_xlfn.IFNA(MATCH(C443,Catalogo!$C$4:$C$1502,0),-1)),"-",INDEX(Catalogo!$H$4:$H$1502,_xlfn.IFNA(MATCH(C443,Catalogo!$C$4:$C$1502,0),-1))),"")</f>
        <v/>
      </c>
    </row>
    <row r="444" spans="3:5" x14ac:dyDescent="0.25">
      <c r="C444" s="8"/>
      <c r="D444" s="11" t="str">
        <f>IFERROR(INDEX(Catalogo!$E$4:$E$1502,_xlfn.IFNA(MATCH(C444,Catalogo!$C$4:$C$1502,0),-1)),"")</f>
        <v/>
      </c>
      <c r="E444" s="12" t="str">
        <f>IFERROR(_xlfn.CONCAT(INDEX(Catalogo!$G$4:$G$1502,_xlfn.IFNA(MATCH(C444,Catalogo!$C$4:$C$1502,0),-1)),"-",INDEX(Catalogo!$H$4:$H$1502,_xlfn.IFNA(MATCH(C444,Catalogo!$C$4:$C$1502,0),-1))),"")</f>
        <v/>
      </c>
    </row>
    <row r="445" spans="3:5" x14ac:dyDescent="0.25">
      <c r="C445" s="8"/>
      <c r="D445" s="11" t="str">
        <f>IFERROR(INDEX(Catalogo!$E$4:$E$1502,_xlfn.IFNA(MATCH(C445,Catalogo!$C$4:$C$1502,0),-1)),"")</f>
        <v/>
      </c>
      <c r="E445" s="12" t="str">
        <f>IFERROR(_xlfn.CONCAT(INDEX(Catalogo!$G$4:$G$1502,_xlfn.IFNA(MATCH(C445,Catalogo!$C$4:$C$1502,0),-1)),"-",INDEX(Catalogo!$H$4:$H$1502,_xlfn.IFNA(MATCH(C445,Catalogo!$C$4:$C$1502,0),-1))),"")</f>
        <v/>
      </c>
    </row>
    <row r="446" spans="3:5" x14ac:dyDescent="0.25">
      <c r="C446" s="9"/>
      <c r="D446" s="11" t="str">
        <f>IFERROR(INDEX(Catalogo!$E$4:$E$1502,_xlfn.IFNA(MATCH(C446,Catalogo!$C$4:$C$1502,0),-1)),"")</f>
        <v/>
      </c>
      <c r="E446" s="12" t="str">
        <f>IFERROR(_xlfn.CONCAT(INDEX(Catalogo!$G$4:$G$1502,_xlfn.IFNA(MATCH(C446,Catalogo!$C$4:$C$1502,0),-1)),"-",INDEX(Catalogo!$H$4:$H$1502,_xlfn.IFNA(MATCH(C446,Catalogo!$C$4:$C$1502,0),-1))),"")</f>
        <v/>
      </c>
    </row>
    <row r="447" spans="3:5" x14ac:dyDescent="0.25">
      <c r="C447" s="8"/>
      <c r="D447" s="11" t="str">
        <f>IFERROR(INDEX(Catalogo!$E$4:$E$1502,_xlfn.IFNA(MATCH(C447,Catalogo!$C$4:$C$1502,0),-1)),"")</f>
        <v/>
      </c>
      <c r="E447" s="12" t="str">
        <f>IFERROR(_xlfn.CONCAT(INDEX(Catalogo!$G$4:$G$1502,_xlfn.IFNA(MATCH(C447,Catalogo!$C$4:$C$1502,0),-1)),"-",INDEX(Catalogo!$H$4:$H$1502,_xlfn.IFNA(MATCH(C447,Catalogo!$C$4:$C$1502,0),-1))),"")</f>
        <v/>
      </c>
    </row>
    <row r="448" spans="3:5" x14ac:dyDescent="0.25">
      <c r="C448" s="8"/>
      <c r="D448" s="11" t="str">
        <f>IFERROR(INDEX(Catalogo!$E$4:$E$1502,_xlfn.IFNA(MATCH(C448,Catalogo!$C$4:$C$1502,0),-1)),"")</f>
        <v/>
      </c>
      <c r="E448" s="12" t="str">
        <f>IFERROR(_xlfn.CONCAT(INDEX(Catalogo!$G$4:$G$1502,_xlfn.IFNA(MATCH(C448,Catalogo!$C$4:$C$1502,0),-1)),"-",INDEX(Catalogo!$H$4:$H$1502,_xlfn.IFNA(MATCH(C448,Catalogo!$C$4:$C$1502,0),-1))),"")</f>
        <v/>
      </c>
    </row>
    <row r="449" spans="3:5" x14ac:dyDescent="0.25">
      <c r="C449" s="8"/>
      <c r="D449" s="11" t="str">
        <f>IFERROR(INDEX(Catalogo!$E$4:$E$1502,_xlfn.IFNA(MATCH(C449,Catalogo!$C$4:$C$1502,0),-1)),"")</f>
        <v/>
      </c>
      <c r="E449" s="12" t="str">
        <f>IFERROR(_xlfn.CONCAT(INDEX(Catalogo!$G$4:$G$1502,_xlfn.IFNA(MATCH(C449,Catalogo!$C$4:$C$1502,0),-1)),"-",INDEX(Catalogo!$H$4:$H$1502,_xlfn.IFNA(MATCH(C449,Catalogo!$C$4:$C$1502,0),-1))),"")</f>
        <v/>
      </c>
    </row>
    <row r="450" spans="3:5" x14ac:dyDescent="0.25">
      <c r="C450" s="9"/>
      <c r="D450" s="11" t="str">
        <f>IFERROR(INDEX(Catalogo!$E$4:$E$1502,_xlfn.IFNA(MATCH(C450,Catalogo!$C$4:$C$1502,0),-1)),"")</f>
        <v/>
      </c>
      <c r="E450" s="12" t="str">
        <f>IFERROR(_xlfn.CONCAT(INDEX(Catalogo!$G$4:$G$1502,_xlfn.IFNA(MATCH(C450,Catalogo!$C$4:$C$1502,0),-1)),"-",INDEX(Catalogo!$H$4:$H$1502,_xlfn.IFNA(MATCH(C450,Catalogo!$C$4:$C$1502,0),-1))),"")</f>
        <v/>
      </c>
    </row>
    <row r="451" spans="3:5" x14ac:dyDescent="0.25">
      <c r="C451" s="9"/>
      <c r="D451" s="11" t="str">
        <f>IFERROR(INDEX(Catalogo!$E$4:$E$1502,_xlfn.IFNA(MATCH(C451,Catalogo!$C$4:$C$1502,0),-1)),"")</f>
        <v/>
      </c>
      <c r="E451" s="12" t="str">
        <f>IFERROR(_xlfn.CONCAT(INDEX(Catalogo!$G$4:$G$1502,_xlfn.IFNA(MATCH(C451,Catalogo!$C$4:$C$1502,0),-1)),"-",INDEX(Catalogo!$H$4:$H$1502,_xlfn.IFNA(MATCH(C451,Catalogo!$C$4:$C$1502,0),-1))),"")</f>
        <v/>
      </c>
    </row>
    <row r="452" spans="3:5" x14ac:dyDescent="0.25">
      <c r="C452" s="9"/>
      <c r="D452" s="11" t="str">
        <f>IFERROR(INDEX(Catalogo!$E$4:$E$1502,_xlfn.IFNA(MATCH(C452,Catalogo!$C$4:$C$1502,0),-1)),"")</f>
        <v/>
      </c>
      <c r="E452" s="12" t="str">
        <f>IFERROR(_xlfn.CONCAT(INDEX(Catalogo!$G$4:$G$1502,_xlfn.IFNA(MATCH(C452,Catalogo!$C$4:$C$1502,0),-1)),"-",INDEX(Catalogo!$H$4:$H$1502,_xlfn.IFNA(MATCH(C452,Catalogo!$C$4:$C$1502,0),-1))),"")</f>
        <v/>
      </c>
    </row>
    <row r="453" spans="3:5" x14ac:dyDescent="0.25">
      <c r="C453" s="9"/>
      <c r="D453" s="11" t="str">
        <f>IFERROR(INDEX(Catalogo!$E$4:$E$1502,_xlfn.IFNA(MATCH(C453,Catalogo!$C$4:$C$1502,0),-1)),"")</f>
        <v/>
      </c>
      <c r="E453" s="12" t="str">
        <f>IFERROR(_xlfn.CONCAT(INDEX(Catalogo!$G$4:$G$1502,_xlfn.IFNA(MATCH(C453,Catalogo!$C$4:$C$1502,0),-1)),"-",INDEX(Catalogo!$H$4:$H$1502,_xlfn.IFNA(MATCH(C453,Catalogo!$C$4:$C$1502,0),-1))),"")</f>
        <v/>
      </c>
    </row>
    <row r="454" spans="3:5" x14ac:dyDescent="0.25">
      <c r="C454" s="9"/>
      <c r="D454" s="11" t="str">
        <f>IFERROR(INDEX(Catalogo!$E$4:$E$1502,_xlfn.IFNA(MATCH(C454,Catalogo!$C$4:$C$1502,0),-1)),"")</f>
        <v/>
      </c>
      <c r="E454" s="12" t="str">
        <f>IFERROR(_xlfn.CONCAT(INDEX(Catalogo!$G$4:$G$1502,_xlfn.IFNA(MATCH(C454,Catalogo!$C$4:$C$1502,0),-1)),"-",INDEX(Catalogo!$H$4:$H$1502,_xlfn.IFNA(MATCH(C454,Catalogo!$C$4:$C$1502,0),-1))),"")</f>
        <v/>
      </c>
    </row>
    <row r="455" spans="3:5" x14ac:dyDescent="0.25">
      <c r="C455" s="9"/>
      <c r="D455" s="11" t="str">
        <f>IFERROR(INDEX(Catalogo!$E$4:$E$1502,_xlfn.IFNA(MATCH(C455,Catalogo!$C$4:$C$1502,0),-1)),"")</f>
        <v/>
      </c>
      <c r="E455" s="12" t="str">
        <f>IFERROR(_xlfn.CONCAT(INDEX(Catalogo!$G$4:$G$1502,_xlfn.IFNA(MATCH(C455,Catalogo!$C$4:$C$1502,0),-1)),"-",INDEX(Catalogo!$H$4:$H$1502,_xlfn.IFNA(MATCH(C455,Catalogo!$C$4:$C$1502,0),-1))),"")</f>
        <v/>
      </c>
    </row>
    <row r="456" spans="3:5" x14ac:dyDescent="0.25">
      <c r="C456" s="9"/>
      <c r="D456" s="11" t="str">
        <f>IFERROR(INDEX(Catalogo!$E$4:$E$1502,_xlfn.IFNA(MATCH(C456,Catalogo!$C$4:$C$1502,0),-1)),"")</f>
        <v/>
      </c>
      <c r="E456" s="12" t="str">
        <f>IFERROR(_xlfn.CONCAT(INDEX(Catalogo!$G$4:$G$1502,_xlfn.IFNA(MATCH(C456,Catalogo!$C$4:$C$1502,0),-1)),"-",INDEX(Catalogo!$H$4:$H$1502,_xlfn.IFNA(MATCH(C456,Catalogo!$C$4:$C$1502,0),-1))),"")</f>
        <v/>
      </c>
    </row>
    <row r="457" spans="3:5" x14ac:dyDescent="0.25">
      <c r="C457" s="9"/>
      <c r="D457" s="11" t="str">
        <f>IFERROR(INDEX(Catalogo!$E$4:$E$1502,_xlfn.IFNA(MATCH(C457,Catalogo!$C$4:$C$1502,0),-1)),"")</f>
        <v/>
      </c>
      <c r="E457" s="12" t="str">
        <f>IFERROR(_xlfn.CONCAT(INDEX(Catalogo!$G$4:$G$1502,_xlfn.IFNA(MATCH(C457,Catalogo!$C$4:$C$1502,0),-1)),"-",INDEX(Catalogo!$H$4:$H$1502,_xlfn.IFNA(MATCH(C457,Catalogo!$C$4:$C$1502,0),-1))),"")</f>
        <v/>
      </c>
    </row>
    <row r="458" spans="3:5" x14ac:dyDescent="0.25">
      <c r="C458" s="9"/>
      <c r="D458" s="11" t="str">
        <f>IFERROR(INDEX(Catalogo!$E$4:$E$1502,_xlfn.IFNA(MATCH(C458,Catalogo!$C$4:$C$1502,0),-1)),"")</f>
        <v/>
      </c>
      <c r="E458" s="12" t="str">
        <f>IFERROR(_xlfn.CONCAT(INDEX(Catalogo!$G$4:$G$1502,_xlfn.IFNA(MATCH(C458,Catalogo!$C$4:$C$1502,0),-1)),"-",INDEX(Catalogo!$H$4:$H$1502,_xlfn.IFNA(MATCH(C458,Catalogo!$C$4:$C$1502,0),-1))),"")</f>
        <v/>
      </c>
    </row>
    <row r="459" spans="3:5" x14ac:dyDescent="0.25">
      <c r="C459" s="9"/>
      <c r="D459" s="11" t="str">
        <f>IFERROR(INDEX(Catalogo!$E$4:$E$1502,_xlfn.IFNA(MATCH(C459,Catalogo!$C$4:$C$1502,0),-1)),"")</f>
        <v/>
      </c>
      <c r="E459" s="12" t="str">
        <f>IFERROR(_xlfn.CONCAT(INDEX(Catalogo!$G$4:$G$1502,_xlfn.IFNA(MATCH(C459,Catalogo!$C$4:$C$1502,0),-1)),"-",INDEX(Catalogo!$H$4:$H$1502,_xlfn.IFNA(MATCH(C459,Catalogo!$C$4:$C$1502,0),-1))),"")</f>
        <v/>
      </c>
    </row>
    <row r="460" spans="3:5" x14ac:dyDescent="0.25">
      <c r="C460" s="9"/>
      <c r="D460" s="11" t="str">
        <f>IFERROR(INDEX(Catalogo!$E$4:$E$1502,_xlfn.IFNA(MATCH(C460,Catalogo!$C$4:$C$1502,0),-1)),"")</f>
        <v/>
      </c>
      <c r="E460" s="12" t="str">
        <f>IFERROR(_xlfn.CONCAT(INDEX(Catalogo!$G$4:$G$1502,_xlfn.IFNA(MATCH(C460,Catalogo!$C$4:$C$1502,0),-1)),"-",INDEX(Catalogo!$H$4:$H$1502,_xlfn.IFNA(MATCH(C460,Catalogo!$C$4:$C$1502,0),-1))),"")</f>
        <v/>
      </c>
    </row>
    <row r="461" spans="3:5" x14ac:dyDescent="0.25">
      <c r="C461" s="9"/>
      <c r="D461" s="11" t="str">
        <f>IFERROR(INDEX(Catalogo!$E$4:$E$1502,_xlfn.IFNA(MATCH(C461,Catalogo!$C$4:$C$1502,0),-1)),"")</f>
        <v/>
      </c>
      <c r="E461" s="12" t="str">
        <f>IFERROR(_xlfn.CONCAT(INDEX(Catalogo!$G$4:$G$1502,_xlfn.IFNA(MATCH(C461,Catalogo!$C$4:$C$1502,0),-1)),"-",INDEX(Catalogo!$H$4:$H$1502,_xlfn.IFNA(MATCH(C461,Catalogo!$C$4:$C$1502,0),-1))),"")</f>
        <v/>
      </c>
    </row>
    <row r="462" spans="3:5" x14ac:dyDescent="0.25">
      <c r="C462" s="9"/>
      <c r="D462" s="11" t="str">
        <f>IFERROR(INDEX(Catalogo!$E$4:$E$1502,_xlfn.IFNA(MATCH(C462,Catalogo!$C$4:$C$1502,0),-1)),"")</f>
        <v/>
      </c>
      <c r="E462" s="12" t="str">
        <f>IFERROR(_xlfn.CONCAT(INDEX(Catalogo!$G$4:$G$1502,_xlfn.IFNA(MATCH(C462,Catalogo!$C$4:$C$1502,0),-1)),"-",INDEX(Catalogo!$H$4:$H$1502,_xlfn.IFNA(MATCH(C462,Catalogo!$C$4:$C$1502,0),-1))),"")</f>
        <v/>
      </c>
    </row>
    <row r="463" spans="3:5" x14ac:dyDescent="0.25">
      <c r="C463" s="9"/>
      <c r="D463" s="11" t="str">
        <f>IFERROR(INDEX(Catalogo!$E$4:$E$1502,_xlfn.IFNA(MATCH(C463,Catalogo!$C$4:$C$1502,0),-1)),"")</f>
        <v/>
      </c>
      <c r="E463" s="12" t="str">
        <f>IFERROR(_xlfn.CONCAT(INDEX(Catalogo!$G$4:$G$1502,_xlfn.IFNA(MATCH(C463,Catalogo!$C$4:$C$1502,0),-1)),"-",INDEX(Catalogo!$H$4:$H$1502,_xlfn.IFNA(MATCH(C463,Catalogo!$C$4:$C$1502,0),-1))),"")</f>
        <v/>
      </c>
    </row>
    <row r="464" spans="3:5" x14ac:dyDescent="0.25">
      <c r="C464" s="9"/>
      <c r="D464" s="11" t="str">
        <f>IFERROR(INDEX(Catalogo!$E$4:$E$1502,_xlfn.IFNA(MATCH(C464,Catalogo!$C$4:$C$1502,0),-1)),"")</f>
        <v/>
      </c>
      <c r="E464" s="12" t="str">
        <f>IFERROR(_xlfn.CONCAT(INDEX(Catalogo!$G$4:$G$1502,_xlfn.IFNA(MATCH(C464,Catalogo!$C$4:$C$1502,0),-1)),"-",INDEX(Catalogo!$H$4:$H$1502,_xlfn.IFNA(MATCH(C464,Catalogo!$C$4:$C$1502,0),-1))),"")</f>
        <v/>
      </c>
    </row>
    <row r="465" spans="3:5" x14ac:dyDescent="0.25">
      <c r="C465" s="9"/>
      <c r="D465" s="11" t="str">
        <f>IFERROR(INDEX(Catalogo!$E$4:$E$1502,_xlfn.IFNA(MATCH(C465,Catalogo!$C$4:$C$1502,0),-1)),"")</f>
        <v/>
      </c>
      <c r="E465" s="12" t="str">
        <f>IFERROR(_xlfn.CONCAT(INDEX(Catalogo!$G$4:$G$1502,_xlfn.IFNA(MATCH(C465,Catalogo!$C$4:$C$1502,0),-1)),"-",INDEX(Catalogo!$H$4:$H$1502,_xlfn.IFNA(MATCH(C465,Catalogo!$C$4:$C$1502,0),-1))),"")</f>
        <v/>
      </c>
    </row>
    <row r="466" spans="3:5" x14ac:dyDescent="0.25">
      <c r="C466" s="9"/>
      <c r="D466" s="11" t="str">
        <f>IFERROR(INDEX(Catalogo!$E$4:$E$1502,_xlfn.IFNA(MATCH(C466,Catalogo!$C$4:$C$1502,0),-1)),"")</f>
        <v/>
      </c>
      <c r="E466" s="12" t="str">
        <f>IFERROR(_xlfn.CONCAT(INDEX(Catalogo!$G$4:$G$1502,_xlfn.IFNA(MATCH(C466,Catalogo!$C$4:$C$1502,0),-1)),"-",INDEX(Catalogo!$H$4:$H$1502,_xlfn.IFNA(MATCH(C466,Catalogo!$C$4:$C$1502,0),-1))),"")</f>
        <v/>
      </c>
    </row>
    <row r="467" spans="3:5" x14ac:dyDescent="0.25">
      <c r="C467" s="9"/>
      <c r="D467" s="11" t="str">
        <f>IFERROR(INDEX(Catalogo!$E$4:$E$1502,_xlfn.IFNA(MATCH(C467,Catalogo!$C$4:$C$1502,0),-1)),"")</f>
        <v/>
      </c>
      <c r="E467" s="12" t="str">
        <f>IFERROR(_xlfn.CONCAT(INDEX(Catalogo!$G$4:$G$1502,_xlfn.IFNA(MATCH(C467,Catalogo!$C$4:$C$1502,0),-1)),"-",INDEX(Catalogo!$H$4:$H$1502,_xlfn.IFNA(MATCH(C467,Catalogo!$C$4:$C$1502,0),-1))),"")</f>
        <v/>
      </c>
    </row>
    <row r="468" spans="3:5" x14ac:dyDescent="0.25">
      <c r="C468" s="9"/>
      <c r="D468" s="11" t="str">
        <f>IFERROR(INDEX(Catalogo!$E$4:$E$1502,_xlfn.IFNA(MATCH(C468,Catalogo!$C$4:$C$1502,0),-1)),"")</f>
        <v/>
      </c>
      <c r="E468" s="12" t="str">
        <f>IFERROR(_xlfn.CONCAT(INDEX(Catalogo!$G$4:$G$1502,_xlfn.IFNA(MATCH(C468,Catalogo!$C$4:$C$1502,0),-1)),"-",INDEX(Catalogo!$H$4:$H$1502,_xlfn.IFNA(MATCH(C468,Catalogo!$C$4:$C$1502,0),-1))),"")</f>
        <v/>
      </c>
    </row>
    <row r="469" spans="3:5" x14ac:dyDescent="0.25">
      <c r="C469" s="9"/>
      <c r="D469" s="11" t="str">
        <f>IFERROR(INDEX(Catalogo!$E$4:$E$1502,_xlfn.IFNA(MATCH(C469,Catalogo!$C$4:$C$1502,0),-1)),"")</f>
        <v/>
      </c>
      <c r="E469" s="12" t="str">
        <f>IFERROR(_xlfn.CONCAT(INDEX(Catalogo!$G$4:$G$1502,_xlfn.IFNA(MATCH(C469,Catalogo!$C$4:$C$1502,0),-1)),"-",INDEX(Catalogo!$H$4:$H$1502,_xlfn.IFNA(MATCH(C469,Catalogo!$C$4:$C$1502,0),-1))),"")</f>
        <v/>
      </c>
    </row>
    <row r="470" spans="3:5" x14ac:dyDescent="0.25">
      <c r="C470" s="9"/>
      <c r="D470" s="11" t="str">
        <f>IFERROR(INDEX(Catalogo!$E$4:$E$1502,_xlfn.IFNA(MATCH(C470,Catalogo!$C$4:$C$1502,0),-1)),"")</f>
        <v/>
      </c>
      <c r="E470" s="12" t="str">
        <f>IFERROR(_xlfn.CONCAT(INDEX(Catalogo!$G$4:$G$1502,_xlfn.IFNA(MATCH(C470,Catalogo!$C$4:$C$1502,0),-1)),"-",INDEX(Catalogo!$H$4:$H$1502,_xlfn.IFNA(MATCH(C470,Catalogo!$C$4:$C$1502,0),-1))),"")</f>
        <v/>
      </c>
    </row>
    <row r="471" spans="3:5" x14ac:dyDescent="0.25">
      <c r="C471" s="9"/>
      <c r="D471" s="11" t="str">
        <f>IFERROR(INDEX(Catalogo!$E$4:$E$1502,_xlfn.IFNA(MATCH(C471,Catalogo!$C$4:$C$1502,0),-1)),"")</f>
        <v/>
      </c>
      <c r="E471" s="12" t="str">
        <f>IFERROR(_xlfn.CONCAT(INDEX(Catalogo!$G$4:$G$1502,_xlfn.IFNA(MATCH(C471,Catalogo!$C$4:$C$1502,0),-1)),"-",INDEX(Catalogo!$H$4:$H$1502,_xlfn.IFNA(MATCH(C471,Catalogo!$C$4:$C$1502,0),-1))),"")</f>
        <v/>
      </c>
    </row>
    <row r="472" spans="3:5" x14ac:dyDescent="0.25">
      <c r="C472" s="9"/>
      <c r="D472" s="11" t="str">
        <f>IFERROR(INDEX(Catalogo!$E$4:$E$1502,_xlfn.IFNA(MATCH(C472,Catalogo!$C$4:$C$1502,0),-1)),"")</f>
        <v/>
      </c>
      <c r="E472" s="12" t="str">
        <f>IFERROR(_xlfn.CONCAT(INDEX(Catalogo!$G$4:$G$1502,_xlfn.IFNA(MATCH(C472,Catalogo!$C$4:$C$1502,0),-1)),"-",INDEX(Catalogo!$H$4:$H$1502,_xlfn.IFNA(MATCH(C472,Catalogo!$C$4:$C$1502,0),-1))),"")</f>
        <v/>
      </c>
    </row>
    <row r="473" spans="3:5" x14ac:dyDescent="0.25">
      <c r="C473" s="9"/>
      <c r="D473" s="11" t="str">
        <f>IFERROR(INDEX(Catalogo!$E$4:$E$1502,_xlfn.IFNA(MATCH(C473,Catalogo!$C$4:$C$1502,0),-1)),"")</f>
        <v/>
      </c>
      <c r="E473" s="12" t="str">
        <f>IFERROR(_xlfn.CONCAT(INDEX(Catalogo!$G$4:$G$1502,_xlfn.IFNA(MATCH(C473,Catalogo!$C$4:$C$1502,0),-1)),"-",INDEX(Catalogo!$H$4:$H$1502,_xlfn.IFNA(MATCH(C473,Catalogo!$C$4:$C$1502,0),-1))),"")</f>
        <v/>
      </c>
    </row>
    <row r="474" spans="3:5" x14ac:dyDescent="0.25">
      <c r="C474" s="9"/>
      <c r="D474" s="11" t="str">
        <f>IFERROR(INDEX(Catalogo!$E$4:$E$1502,_xlfn.IFNA(MATCH(C474,Catalogo!$C$4:$C$1502,0),-1)),"")</f>
        <v/>
      </c>
      <c r="E474" s="12" t="str">
        <f>IFERROR(_xlfn.CONCAT(INDEX(Catalogo!$G$4:$G$1502,_xlfn.IFNA(MATCH(C474,Catalogo!$C$4:$C$1502,0),-1)),"-",INDEX(Catalogo!$H$4:$H$1502,_xlfn.IFNA(MATCH(C474,Catalogo!$C$4:$C$1502,0),-1))),"")</f>
        <v/>
      </c>
    </row>
    <row r="475" spans="3:5" x14ac:dyDescent="0.25">
      <c r="C475" s="9"/>
      <c r="D475" s="11" t="str">
        <f>IFERROR(INDEX(Catalogo!$E$4:$E$1502,_xlfn.IFNA(MATCH(C475,Catalogo!$C$4:$C$1502,0),-1)),"")</f>
        <v/>
      </c>
      <c r="E475" s="12" t="str">
        <f>IFERROR(_xlfn.CONCAT(INDEX(Catalogo!$G$4:$G$1502,_xlfn.IFNA(MATCH(C475,Catalogo!$C$4:$C$1502,0),-1)),"-",INDEX(Catalogo!$H$4:$H$1502,_xlfn.IFNA(MATCH(C475,Catalogo!$C$4:$C$1502,0),-1))),"")</f>
        <v/>
      </c>
    </row>
    <row r="476" spans="3:5" x14ac:dyDescent="0.25">
      <c r="C476" s="9"/>
      <c r="D476" s="11" t="str">
        <f>IFERROR(INDEX(Catalogo!$E$4:$E$1502,_xlfn.IFNA(MATCH(C476,Catalogo!$C$4:$C$1502,0),-1)),"")</f>
        <v/>
      </c>
      <c r="E476" s="12" t="str">
        <f>IFERROR(_xlfn.CONCAT(INDEX(Catalogo!$G$4:$G$1502,_xlfn.IFNA(MATCH(C476,Catalogo!$C$4:$C$1502,0),-1)),"-",INDEX(Catalogo!$H$4:$H$1502,_xlfn.IFNA(MATCH(C476,Catalogo!$C$4:$C$1502,0),-1))),"")</f>
        <v/>
      </c>
    </row>
    <row r="477" spans="3:5" x14ac:dyDescent="0.25">
      <c r="C477" s="9"/>
      <c r="D477" s="11" t="str">
        <f>IFERROR(INDEX(Catalogo!$E$4:$E$1502,_xlfn.IFNA(MATCH(C477,Catalogo!$C$4:$C$1502,0),-1)),"")</f>
        <v/>
      </c>
      <c r="E477" s="12" t="str">
        <f>IFERROR(_xlfn.CONCAT(INDEX(Catalogo!$G$4:$G$1502,_xlfn.IFNA(MATCH(C477,Catalogo!$C$4:$C$1502,0),-1)),"-",INDEX(Catalogo!$H$4:$H$1502,_xlfn.IFNA(MATCH(C477,Catalogo!$C$4:$C$1502,0),-1))),"")</f>
        <v/>
      </c>
    </row>
    <row r="478" spans="3:5" x14ac:dyDescent="0.25">
      <c r="C478" s="9"/>
      <c r="D478" s="11" t="str">
        <f>IFERROR(INDEX(Catalogo!$E$4:$E$1502,_xlfn.IFNA(MATCH(C478,Catalogo!$C$4:$C$1502,0),-1)),"")</f>
        <v/>
      </c>
      <c r="E478" s="12" t="str">
        <f>IFERROR(_xlfn.CONCAT(INDEX(Catalogo!$G$4:$G$1502,_xlfn.IFNA(MATCH(C478,Catalogo!$C$4:$C$1502,0),-1)),"-",INDEX(Catalogo!$H$4:$H$1502,_xlfn.IFNA(MATCH(C478,Catalogo!$C$4:$C$1502,0),-1))),"")</f>
        <v/>
      </c>
    </row>
    <row r="479" spans="3:5" x14ac:dyDescent="0.25">
      <c r="C479" s="9"/>
      <c r="D479" s="11" t="str">
        <f>IFERROR(INDEX(Catalogo!$E$4:$E$1502,_xlfn.IFNA(MATCH(C479,Catalogo!$C$4:$C$1502,0),-1)),"")</f>
        <v/>
      </c>
      <c r="E479" s="12" t="str">
        <f>IFERROR(_xlfn.CONCAT(INDEX(Catalogo!$G$4:$G$1502,_xlfn.IFNA(MATCH(C479,Catalogo!$C$4:$C$1502,0),-1)),"-",INDEX(Catalogo!$H$4:$H$1502,_xlfn.IFNA(MATCH(C479,Catalogo!$C$4:$C$1502,0),-1))),"")</f>
        <v/>
      </c>
    </row>
    <row r="480" spans="3:5" x14ac:dyDescent="0.25">
      <c r="C480" s="9"/>
      <c r="D480" s="11" t="str">
        <f>IFERROR(INDEX(Catalogo!$E$4:$E$1502,_xlfn.IFNA(MATCH(C480,Catalogo!$C$4:$C$1502,0),-1)),"")</f>
        <v/>
      </c>
      <c r="E480" s="12" t="str">
        <f>IFERROR(_xlfn.CONCAT(INDEX(Catalogo!$G$4:$G$1502,_xlfn.IFNA(MATCH(C480,Catalogo!$C$4:$C$1502,0),-1)),"-",INDEX(Catalogo!$H$4:$H$1502,_xlfn.IFNA(MATCH(C480,Catalogo!$C$4:$C$1502,0),-1))),"")</f>
        <v/>
      </c>
    </row>
    <row r="481" spans="3:5" x14ac:dyDescent="0.25">
      <c r="C481" s="9"/>
      <c r="D481" s="11" t="str">
        <f>IFERROR(INDEX(Catalogo!$E$4:$E$1502,_xlfn.IFNA(MATCH(C481,Catalogo!$C$4:$C$1502,0),-1)),"")</f>
        <v/>
      </c>
      <c r="E481" s="12" t="str">
        <f>IFERROR(_xlfn.CONCAT(INDEX(Catalogo!$G$4:$G$1502,_xlfn.IFNA(MATCH(C481,Catalogo!$C$4:$C$1502,0),-1)),"-",INDEX(Catalogo!$H$4:$H$1502,_xlfn.IFNA(MATCH(C481,Catalogo!$C$4:$C$1502,0),-1))),"")</f>
        <v/>
      </c>
    </row>
    <row r="482" spans="3:5" x14ac:dyDescent="0.25">
      <c r="C482" s="9"/>
      <c r="D482" s="11" t="str">
        <f>IFERROR(INDEX(Catalogo!$E$4:$E$1502,_xlfn.IFNA(MATCH(C482,Catalogo!$C$4:$C$1502,0),-1)),"")</f>
        <v/>
      </c>
      <c r="E482" s="12" t="str">
        <f>IFERROR(_xlfn.CONCAT(INDEX(Catalogo!$G$4:$G$1502,_xlfn.IFNA(MATCH(C482,Catalogo!$C$4:$C$1502,0),-1)),"-",INDEX(Catalogo!$H$4:$H$1502,_xlfn.IFNA(MATCH(C482,Catalogo!$C$4:$C$1502,0),-1))),"")</f>
        <v/>
      </c>
    </row>
    <row r="483" spans="3:5" x14ac:dyDescent="0.25">
      <c r="C483" s="9"/>
      <c r="D483" s="11" t="str">
        <f>IFERROR(INDEX(Catalogo!$E$4:$E$1502,_xlfn.IFNA(MATCH(C483,Catalogo!$C$4:$C$1502,0),-1)),"")</f>
        <v/>
      </c>
      <c r="E483" s="12" t="str">
        <f>IFERROR(_xlfn.CONCAT(INDEX(Catalogo!$G$4:$G$1502,_xlfn.IFNA(MATCH(C483,Catalogo!$C$4:$C$1502,0),-1)),"-",INDEX(Catalogo!$H$4:$H$1502,_xlfn.IFNA(MATCH(C483,Catalogo!$C$4:$C$1502,0),-1))),"")</f>
        <v/>
      </c>
    </row>
    <row r="484" spans="3:5" x14ac:dyDescent="0.25">
      <c r="C484" s="9"/>
      <c r="D484" s="11" t="str">
        <f>IFERROR(INDEX(Catalogo!$E$4:$E$1502,_xlfn.IFNA(MATCH(C484,Catalogo!$C$4:$C$1502,0),-1)),"")</f>
        <v/>
      </c>
      <c r="E484" s="12" t="str">
        <f>IFERROR(_xlfn.CONCAT(INDEX(Catalogo!$G$4:$G$1502,_xlfn.IFNA(MATCH(C484,Catalogo!$C$4:$C$1502,0),-1)),"-",INDEX(Catalogo!$H$4:$H$1502,_xlfn.IFNA(MATCH(C484,Catalogo!$C$4:$C$1502,0),-1))),"")</f>
        <v/>
      </c>
    </row>
    <row r="485" spans="3:5" x14ac:dyDescent="0.25">
      <c r="C485" s="9"/>
      <c r="D485" s="11" t="str">
        <f>IFERROR(INDEX(Catalogo!$E$4:$E$1502,_xlfn.IFNA(MATCH(C485,Catalogo!$C$4:$C$1502,0),-1)),"")</f>
        <v/>
      </c>
      <c r="E485" s="12" t="str">
        <f>IFERROR(_xlfn.CONCAT(INDEX(Catalogo!$G$4:$G$1502,_xlfn.IFNA(MATCH(C485,Catalogo!$C$4:$C$1502,0),-1)),"-",INDEX(Catalogo!$H$4:$H$1502,_xlfn.IFNA(MATCH(C485,Catalogo!$C$4:$C$1502,0),-1))),"")</f>
        <v/>
      </c>
    </row>
    <row r="486" spans="3:5" x14ac:dyDescent="0.25">
      <c r="C486" s="9"/>
      <c r="D486" s="11" t="str">
        <f>IFERROR(INDEX(Catalogo!$E$4:$E$1502,_xlfn.IFNA(MATCH(C486,Catalogo!$C$4:$C$1502,0),-1)),"")</f>
        <v/>
      </c>
      <c r="E486" s="12" t="str">
        <f>IFERROR(_xlfn.CONCAT(INDEX(Catalogo!$G$4:$G$1502,_xlfn.IFNA(MATCH(C486,Catalogo!$C$4:$C$1502,0),-1)),"-",INDEX(Catalogo!$H$4:$H$1502,_xlfn.IFNA(MATCH(C486,Catalogo!$C$4:$C$1502,0),-1))),"")</f>
        <v/>
      </c>
    </row>
    <row r="487" spans="3:5" x14ac:dyDescent="0.25">
      <c r="C487" s="9"/>
      <c r="D487" s="11" t="str">
        <f>IFERROR(INDEX(Catalogo!$E$4:$E$1502,_xlfn.IFNA(MATCH(C487,Catalogo!$C$4:$C$1502,0),-1)),"")</f>
        <v/>
      </c>
      <c r="E487" s="12" t="str">
        <f>IFERROR(_xlfn.CONCAT(INDEX(Catalogo!$G$4:$G$1502,_xlfn.IFNA(MATCH(C487,Catalogo!$C$4:$C$1502,0),-1)),"-",INDEX(Catalogo!$H$4:$H$1502,_xlfn.IFNA(MATCH(C487,Catalogo!$C$4:$C$1502,0),-1))),"")</f>
        <v/>
      </c>
    </row>
    <row r="488" spans="3:5" x14ac:dyDescent="0.25">
      <c r="C488" s="9"/>
      <c r="D488" s="11" t="str">
        <f>IFERROR(INDEX(Catalogo!$E$4:$E$1502,_xlfn.IFNA(MATCH(C488,Catalogo!$C$4:$C$1502,0),-1)),"")</f>
        <v/>
      </c>
      <c r="E488" s="12" t="str">
        <f>IFERROR(_xlfn.CONCAT(INDEX(Catalogo!$G$4:$G$1502,_xlfn.IFNA(MATCH(C488,Catalogo!$C$4:$C$1502,0),-1)),"-",INDEX(Catalogo!$H$4:$H$1502,_xlfn.IFNA(MATCH(C488,Catalogo!$C$4:$C$1502,0),-1))),"")</f>
        <v/>
      </c>
    </row>
    <row r="489" spans="3:5" x14ac:dyDescent="0.25">
      <c r="C489" s="9"/>
      <c r="D489" s="11" t="str">
        <f>IFERROR(INDEX(Catalogo!$E$4:$E$1502,_xlfn.IFNA(MATCH(C489,Catalogo!$C$4:$C$1502,0),-1)),"")</f>
        <v/>
      </c>
      <c r="E489" s="12" t="str">
        <f>IFERROR(_xlfn.CONCAT(INDEX(Catalogo!$G$4:$G$1502,_xlfn.IFNA(MATCH(C489,Catalogo!$C$4:$C$1502,0),-1)),"-",INDEX(Catalogo!$H$4:$H$1502,_xlfn.IFNA(MATCH(C489,Catalogo!$C$4:$C$1502,0),-1))),"")</f>
        <v/>
      </c>
    </row>
    <row r="490" spans="3:5" x14ac:dyDescent="0.25">
      <c r="C490" s="9"/>
      <c r="D490" s="11" t="str">
        <f>IFERROR(INDEX(Catalogo!$E$4:$E$1502,_xlfn.IFNA(MATCH(C490,Catalogo!$C$4:$C$1502,0),-1)),"")</f>
        <v/>
      </c>
      <c r="E490" s="12" t="str">
        <f>IFERROR(_xlfn.CONCAT(INDEX(Catalogo!$G$4:$G$1502,_xlfn.IFNA(MATCH(C490,Catalogo!$C$4:$C$1502,0),-1)),"-",INDEX(Catalogo!$H$4:$H$1502,_xlfn.IFNA(MATCH(C490,Catalogo!$C$4:$C$1502,0),-1))),"")</f>
        <v/>
      </c>
    </row>
    <row r="491" spans="3:5" x14ac:dyDescent="0.25">
      <c r="C491" s="9"/>
      <c r="D491" s="11" t="str">
        <f>IFERROR(INDEX(Catalogo!$E$4:$E$1502,_xlfn.IFNA(MATCH(C491,Catalogo!$C$4:$C$1502,0),-1)),"")</f>
        <v/>
      </c>
      <c r="E491" s="12" t="str">
        <f>IFERROR(_xlfn.CONCAT(INDEX(Catalogo!$G$4:$G$1502,_xlfn.IFNA(MATCH(C491,Catalogo!$C$4:$C$1502,0),-1)),"-",INDEX(Catalogo!$H$4:$H$1502,_xlfn.IFNA(MATCH(C491,Catalogo!$C$4:$C$1502,0),-1))),"")</f>
        <v/>
      </c>
    </row>
    <row r="492" spans="3:5" x14ac:dyDescent="0.25">
      <c r="C492" s="9"/>
      <c r="D492" s="11" t="str">
        <f>IFERROR(INDEX(Catalogo!$E$4:$E$1502,_xlfn.IFNA(MATCH(C492,Catalogo!$C$4:$C$1502,0),-1)),"")</f>
        <v/>
      </c>
      <c r="E492" s="12" t="str">
        <f>IFERROR(_xlfn.CONCAT(INDEX(Catalogo!$G$4:$G$1502,_xlfn.IFNA(MATCH(C492,Catalogo!$C$4:$C$1502,0),-1)),"-",INDEX(Catalogo!$H$4:$H$1502,_xlfn.IFNA(MATCH(C492,Catalogo!$C$4:$C$1502,0),-1))),"")</f>
        <v/>
      </c>
    </row>
    <row r="493" spans="3:5" x14ac:dyDescent="0.25">
      <c r="C493" s="9"/>
      <c r="D493" s="11" t="str">
        <f>IFERROR(INDEX(Catalogo!$E$4:$E$1502,_xlfn.IFNA(MATCH(C493,Catalogo!$C$4:$C$1502,0),-1)),"")</f>
        <v/>
      </c>
      <c r="E493" s="12" t="str">
        <f>IFERROR(_xlfn.CONCAT(INDEX(Catalogo!$G$4:$G$1502,_xlfn.IFNA(MATCH(C493,Catalogo!$C$4:$C$1502,0),-1)),"-",INDEX(Catalogo!$H$4:$H$1502,_xlfn.IFNA(MATCH(C493,Catalogo!$C$4:$C$1502,0),-1))),"")</f>
        <v/>
      </c>
    </row>
    <row r="494" spans="3:5" x14ac:dyDescent="0.25">
      <c r="C494" s="9"/>
      <c r="D494" s="11" t="str">
        <f>IFERROR(INDEX(Catalogo!$E$4:$E$1502,_xlfn.IFNA(MATCH(C494,Catalogo!$C$4:$C$1502,0),-1)),"")</f>
        <v/>
      </c>
      <c r="E494" s="12" t="str">
        <f>IFERROR(_xlfn.CONCAT(INDEX(Catalogo!$G$4:$G$1502,_xlfn.IFNA(MATCH(C494,Catalogo!$C$4:$C$1502,0),-1)),"-",INDEX(Catalogo!$H$4:$H$1502,_xlfn.IFNA(MATCH(C494,Catalogo!$C$4:$C$1502,0),-1))),"")</f>
        <v/>
      </c>
    </row>
    <row r="495" spans="3:5" x14ac:dyDescent="0.25">
      <c r="C495" s="9"/>
      <c r="D495" s="11" t="str">
        <f>IFERROR(INDEX(Catalogo!$E$4:$E$1502,_xlfn.IFNA(MATCH(C495,Catalogo!$C$4:$C$1502,0),-1)),"")</f>
        <v/>
      </c>
      <c r="E495" s="12" t="str">
        <f>IFERROR(_xlfn.CONCAT(INDEX(Catalogo!$G$4:$G$1502,_xlfn.IFNA(MATCH(C495,Catalogo!$C$4:$C$1502,0),-1)),"-",INDEX(Catalogo!$H$4:$H$1502,_xlfn.IFNA(MATCH(C495,Catalogo!$C$4:$C$1502,0),-1))),"")</f>
        <v/>
      </c>
    </row>
    <row r="496" spans="3:5" x14ac:dyDescent="0.25">
      <c r="C496" s="9"/>
      <c r="D496" s="11" t="str">
        <f>IFERROR(INDEX(Catalogo!$E$4:$E$1502,_xlfn.IFNA(MATCH(C496,Catalogo!$C$4:$C$1502,0),-1)),"")</f>
        <v/>
      </c>
      <c r="E496" s="12" t="str">
        <f>IFERROR(_xlfn.CONCAT(INDEX(Catalogo!$G$4:$G$1502,_xlfn.IFNA(MATCH(C496,Catalogo!$C$4:$C$1502,0),-1)),"-",INDEX(Catalogo!$H$4:$H$1502,_xlfn.IFNA(MATCH(C496,Catalogo!$C$4:$C$1502,0),-1))),"")</f>
        <v/>
      </c>
    </row>
    <row r="497" spans="3:5" x14ac:dyDescent="0.25">
      <c r="C497" s="9"/>
      <c r="D497" s="11" t="str">
        <f>IFERROR(INDEX(Catalogo!$E$4:$E$1502,_xlfn.IFNA(MATCH(C497,Catalogo!$C$4:$C$1502,0),-1)),"")</f>
        <v/>
      </c>
      <c r="E497" s="12" t="str">
        <f>IFERROR(_xlfn.CONCAT(INDEX(Catalogo!$G$4:$G$1502,_xlfn.IFNA(MATCH(C497,Catalogo!$C$4:$C$1502,0),-1)),"-",INDEX(Catalogo!$H$4:$H$1502,_xlfn.IFNA(MATCH(C497,Catalogo!$C$4:$C$1502,0),-1))),"")</f>
        <v/>
      </c>
    </row>
    <row r="498" spans="3:5" x14ac:dyDescent="0.25">
      <c r="C498" s="9"/>
      <c r="D498" s="11" t="str">
        <f>IFERROR(INDEX(Catalogo!$E$4:$E$1502,_xlfn.IFNA(MATCH(C498,Catalogo!$C$4:$C$1502,0),-1)),"")</f>
        <v/>
      </c>
      <c r="E498" s="12" t="str">
        <f>IFERROR(_xlfn.CONCAT(INDEX(Catalogo!$G$4:$G$1502,_xlfn.IFNA(MATCH(C498,Catalogo!$C$4:$C$1502,0),-1)),"-",INDEX(Catalogo!$H$4:$H$1502,_xlfn.IFNA(MATCH(C498,Catalogo!$C$4:$C$1502,0),-1))),"")</f>
        <v/>
      </c>
    </row>
    <row r="499" spans="3:5" x14ac:dyDescent="0.25">
      <c r="C499" s="9"/>
      <c r="D499" s="11" t="str">
        <f>IFERROR(INDEX(Catalogo!$E$4:$E$1502,_xlfn.IFNA(MATCH(C499,Catalogo!$C$4:$C$1502,0),-1)),"")</f>
        <v/>
      </c>
      <c r="E499" s="12" t="str">
        <f>IFERROR(_xlfn.CONCAT(INDEX(Catalogo!$G$4:$G$1502,_xlfn.IFNA(MATCH(C499,Catalogo!$C$4:$C$1502,0),-1)),"-",INDEX(Catalogo!$H$4:$H$1502,_xlfn.IFNA(MATCH(C499,Catalogo!$C$4:$C$1502,0),-1))),"")</f>
        <v/>
      </c>
    </row>
    <row r="500" spans="3:5" x14ac:dyDescent="0.25">
      <c r="C500" s="9"/>
      <c r="D500" s="11" t="str">
        <f>IFERROR(INDEX(Catalogo!$E$4:$E$1502,_xlfn.IFNA(MATCH(C500,Catalogo!$C$4:$C$1502,0),-1)),"")</f>
        <v/>
      </c>
      <c r="E500" s="12" t="str">
        <f>IFERROR(_xlfn.CONCAT(INDEX(Catalogo!$G$4:$G$1502,_xlfn.IFNA(MATCH(C500,Catalogo!$C$4:$C$1502,0),-1)),"-",INDEX(Catalogo!$H$4:$H$1502,_xlfn.IFNA(MATCH(C500,Catalogo!$C$4:$C$1502,0),-1))),"")</f>
        <v/>
      </c>
    </row>
    <row r="501" spans="3:5" x14ac:dyDescent="0.25">
      <c r="C501" s="9"/>
      <c r="D501" s="11" t="str">
        <f>IFERROR(INDEX(Catalogo!$E$4:$E$1502,_xlfn.IFNA(MATCH(C501,Catalogo!$C$4:$C$1502,0),-1)),"")</f>
        <v/>
      </c>
      <c r="E501" s="12" t="str">
        <f>IFERROR(_xlfn.CONCAT(INDEX(Catalogo!$G$4:$G$1502,_xlfn.IFNA(MATCH(C501,Catalogo!$C$4:$C$1502,0),-1)),"-",INDEX(Catalogo!$H$4:$H$1502,_xlfn.IFNA(MATCH(C501,Catalogo!$C$4:$C$1502,0),-1))),"")</f>
        <v/>
      </c>
    </row>
    <row r="502" spans="3:5" x14ac:dyDescent="0.25">
      <c r="C502" s="9"/>
      <c r="D502" s="11" t="str">
        <f>IFERROR(INDEX(Catalogo!$E$4:$E$1502,_xlfn.IFNA(MATCH(C502,Catalogo!$C$4:$C$1502,0),-1)),"")</f>
        <v/>
      </c>
      <c r="E502" s="12" t="str">
        <f>IFERROR(_xlfn.CONCAT(INDEX(Catalogo!$G$4:$G$1502,_xlfn.IFNA(MATCH(C502,Catalogo!$C$4:$C$1502,0),-1)),"-",INDEX(Catalogo!$H$4:$H$1502,_xlfn.IFNA(MATCH(C502,Catalogo!$C$4:$C$1502,0),-1))),"")</f>
        <v/>
      </c>
    </row>
    <row r="503" spans="3:5" x14ac:dyDescent="0.25">
      <c r="C503" s="9"/>
      <c r="D503" s="11" t="str">
        <f>IFERROR(INDEX(Catalogo!$E$4:$E$1502,_xlfn.IFNA(MATCH(C503,Catalogo!$C$4:$C$1502,0),-1)),"")</f>
        <v/>
      </c>
      <c r="E503" s="12" t="str">
        <f>IFERROR(_xlfn.CONCAT(INDEX(Catalogo!$G$4:$G$1502,_xlfn.IFNA(MATCH(C503,Catalogo!$C$4:$C$1502,0),-1)),"-",INDEX(Catalogo!$H$4:$H$1502,_xlfn.IFNA(MATCH(C503,Catalogo!$C$4:$C$1502,0),-1))),"")</f>
        <v/>
      </c>
    </row>
    <row r="504" spans="3:5" x14ac:dyDescent="0.25">
      <c r="C504" s="9"/>
      <c r="D504" s="11" t="str">
        <f>IFERROR(INDEX(Catalogo!$E$4:$E$1502,_xlfn.IFNA(MATCH(C504,Catalogo!$C$4:$C$1502,0),-1)),"")</f>
        <v/>
      </c>
      <c r="E504" s="12" t="str">
        <f>IFERROR(_xlfn.CONCAT(INDEX(Catalogo!$G$4:$G$1502,_xlfn.IFNA(MATCH(C504,Catalogo!$C$4:$C$1502,0),-1)),"-",INDEX(Catalogo!$H$4:$H$1502,_xlfn.IFNA(MATCH(C504,Catalogo!$C$4:$C$1502,0),-1))),"")</f>
        <v/>
      </c>
    </row>
    <row r="505" spans="3:5" x14ac:dyDescent="0.25">
      <c r="C505" s="9"/>
      <c r="D505" s="11" t="str">
        <f>IFERROR(INDEX(Catalogo!$E$4:$E$1502,_xlfn.IFNA(MATCH(C505,Catalogo!$C$4:$C$1502,0),-1)),"")</f>
        <v/>
      </c>
      <c r="E505" s="12" t="str">
        <f>IFERROR(_xlfn.CONCAT(INDEX(Catalogo!$G$4:$G$1502,_xlfn.IFNA(MATCH(C505,Catalogo!$C$4:$C$1502,0),-1)),"-",INDEX(Catalogo!$H$4:$H$1502,_xlfn.IFNA(MATCH(C505,Catalogo!$C$4:$C$1502,0),-1))),"")</f>
        <v/>
      </c>
    </row>
    <row r="506" spans="3:5" x14ac:dyDescent="0.25">
      <c r="C506" s="9"/>
      <c r="D506" s="11" t="str">
        <f>IFERROR(INDEX(Catalogo!$E$4:$E$1502,_xlfn.IFNA(MATCH(C506,Catalogo!$C$4:$C$1502,0),-1)),"")</f>
        <v/>
      </c>
      <c r="E506" s="12" t="str">
        <f>IFERROR(_xlfn.CONCAT(INDEX(Catalogo!$G$4:$G$1502,_xlfn.IFNA(MATCH(C506,Catalogo!$C$4:$C$1502,0),-1)),"-",INDEX(Catalogo!$H$4:$H$1502,_xlfn.IFNA(MATCH(C506,Catalogo!$C$4:$C$1502,0),-1))),"")</f>
        <v/>
      </c>
    </row>
    <row r="507" spans="3:5" x14ac:dyDescent="0.25">
      <c r="C507" s="9"/>
      <c r="D507" s="11" t="str">
        <f>IFERROR(INDEX(Catalogo!$E$4:$E$1502,_xlfn.IFNA(MATCH(C507,Catalogo!$C$4:$C$1502,0),-1)),"")</f>
        <v/>
      </c>
      <c r="E507" s="12" t="str">
        <f>IFERROR(_xlfn.CONCAT(INDEX(Catalogo!$G$4:$G$1502,_xlfn.IFNA(MATCH(C507,Catalogo!$C$4:$C$1502,0),-1)),"-",INDEX(Catalogo!$H$4:$H$1502,_xlfn.IFNA(MATCH(C507,Catalogo!$C$4:$C$1502,0),-1))),"")</f>
        <v/>
      </c>
    </row>
    <row r="508" spans="3:5" x14ac:dyDescent="0.25">
      <c r="C508" s="9"/>
      <c r="D508" s="11" t="str">
        <f>IFERROR(INDEX(Catalogo!$E$4:$E$1502,_xlfn.IFNA(MATCH(C508,Catalogo!$C$4:$C$1502,0),-1)),"")</f>
        <v/>
      </c>
      <c r="E508" s="12" t="str">
        <f>IFERROR(_xlfn.CONCAT(INDEX(Catalogo!$G$4:$G$1502,_xlfn.IFNA(MATCH(C508,Catalogo!$C$4:$C$1502,0),-1)),"-",INDEX(Catalogo!$H$4:$H$1502,_xlfn.IFNA(MATCH(C508,Catalogo!$C$4:$C$1502,0),-1))),"")</f>
        <v/>
      </c>
    </row>
    <row r="509" spans="3:5" x14ac:dyDescent="0.25">
      <c r="C509" s="9"/>
      <c r="D509" s="11" t="str">
        <f>IFERROR(INDEX(Catalogo!$E$4:$E$1502,_xlfn.IFNA(MATCH(C509,Catalogo!$C$4:$C$1502,0),-1)),"")</f>
        <v/>
      </c>
      <c r="E509" s="12" t="str">
        <f>IFERROR(_xlfn.CONCAT(INDEX(Catalogo!$G$4:$G$1502,_xlfn.IFNA(MATCH(C509,Catalogo!$C$4:$C$1502,0),-1)),"-",INDEX(Catalogo!$H$4:$H$1502,_xlfn.IFNA(MATCH(C509,Catalogo!$C$4:$C$1502,0),-1))),"")</f>
        <v/>
      </c>
    </row>
    <row r="510" spans="3:5" x14ac:dyDescent="0.25">
      <c r="C510" s="9"/>
      <c r="D510" s="11" t="str">
        <f>IFERROR(INDEX(Catalogo!$E$4:$E$1502,_xlfn.IFNA(MATCH(C510,Catalogo!$C$4:$C$1502,0),-1)),"")</f>
        <v/>
      </c>
      <c r="E510" s="12" t="str">
        <f>IFERROR(_xlfn.CONCAT(INDEX(Catalogo!$G$4:$G$1502,_xlfn.IFNA(MATCH(C510,Catalogo!$C$4:$C$1502,0),-1)),"-",INDEX(Catalogo!$H$4:$H$1502,_xlfn.IFNA(MATCH(C510,Catalogo!$C$4:$C$1502,0),-1))),"")</f>
        <v/>
      </c>
    </row>
    <row r="511" spans="3:5" x14ac:dyDescent="0.25">
      <c r="C511" s="9"/>
      <c r="D511" s="11" t="str">
        <f>IFERROR(INDEX(Catalogo!$E$4:$E$1502,_xlfn.IFNA(MATCH(C511,Catalogo!$C$4:$C$1502,0),-1)),"")</f>
        <v/>
      </c>
      <c r="E511" s="12" t="str">
        <f>IFERROR(_xlfn.CONCAT(INDEX(Catalogo!$G$4:$G$1502,_xlfn.IFNA(MATCH(C511,Catalogo!$C$4:$C$1502,0),-1)),"-",INDEX(Catalogo!$H$4:$H$1502,_xlfn.IFNA(MATCH(C511,Catalogo!$C$4:$C$1502,0),-1))),"")</f>
        <v/>
      </c>
    </row>
    <row r="512" spans="3:5" x14ac:dyDescent="0.25">
      <c r="C512" s="9"/>
      <c r="D512" s="11" t="str">
        <f>IFERROR(INDEX(Catalogo!$E$4:$E$1502,_xlfn.IFNA(MATCH(C512,Catalogo!$C$4:$C$1502,0),-1)),"")</f>
        <v/>
      </c>
      <c r="E512" s="12" t="str">
        <f>IFERROR(_xlfn.CONCAT(INDEX(Catalogo!$G$4:$G$1502,_xlfn.IFNA(MATCH(C512,Catalogo!$C$4:$C$1502,0),-1)),"-",INDEX(Catalogo!$H$4:$H$1502,_xlfn.IFNA(MATCH(C512,Catalogo!$C$4:$C$1502,0),-1))),"")</f>
        <v/>
      </c>
    </row>
    <row r="513" spans="3:5" x14ac:dyDescent="0.25">
      <c r="C513" s="9"/>
      <c r="D513" s="11" t="str">
        <f>IFERROR(INDEX(Catalogo!$E$4:$E$1502,_xlfn.IFNA(MATCH(C513,Catalogo!$C$4:$C$1502,0),-1)),"")</f>
        <v/>
      </c>
      <c r="E513" s="12" t="str">
        <f>IFERROR(_xlfn.CONCAT(INDEX(Catalogo!$G$4:$G$1502,_xlfn.IFNA(MATCH(C513,Catalogo!$C$4:$C$1502,0),-1)),"-",INDEX(Catalogo!$H$4:$H$1502,_xlfn.IFNA(MATCH(C513,Catalogo!$C$4:$C$1502,0),-1))),"")</f>
        <v/>
      </c>
    </row>
    <row r="514" spans="3:5" x14ac:dyDescent="0.25">
      <c r="C514" s="9"/>
      <c r="D514" s="11" t="str">
        <f>IFERROR(INDEX(Catalogo!$E$4:$E$1502,_xlfn.IFNA(MATCH(C514,Catalogo!$C$4:$C$1502,0),-1)),"")</f>
        <v/>
      </c>
      <c r="E514" s="12" t="str">
        <f>IFERROR(_xlfn.CONCAT(INDEX(Catalogo!$G$4:$G$1502,_xlfn.IFNA(MATCH(C514,Catalogo!$C$4:$C$1502,0),-1)),"-",INDEX(Catalogo!$H$4:$H$1502,_xlfn.IFNA(MATCH(C514,Catalogo!$C$4:$C$1502,0),-1))),"")</f>
        <v/>
      </c>
    </row>
    <row r="515" spans="3:5" x14ac:dyDescent="0.25">
      <c r="C515" s="9"/>
      <c r="D515" s="11" t="str">
        <f>IFERROR(INDEX(Catalogo!$E$4:$E$1502,_xlfn.IFNA(MATCH(C515,Catalogo!$C$4:$C$1502,0),-1)),"")</f>
        <v/>
      </c>
      <c r="E515" s="12" t="str">
        <f>IFERROR(_xlfn.CONCAT(INDEX(Catalogo!$G$4:$G$1502,_xlfn.IFNA(MATCH(C515,Catalogo!$C$4:$C$1502,0),-1)),"-",INDEX(Catalogo!$H$4:$H$1502,_xlfn.IFNA(MATCH(C515,Catalogo!$C$4:$C$1502,0),-1))),"")</f>
        <v/>
      </c>
    </row>
    <row r="516" spans="3:5" x14ac:dyDescent="0.25">
      <c r="C516" s="9"/>
      <c r="D516" s="11" t="str">
        <f>IFERROR(INDEX(Catalogo!$E$4:$E$1502,_xlfn.IFNA(MATCH(C516,Catalogo!$C$4:$C$1502,0),-1)),"")</f>
        <v/>
      </c>
      <c r="E516" s="12" t="str">
        <f>IFERROR(_xlfn.CONCAT(INDEX(Catalogo!$G$4:$G$1502,_xlfn.IFNA(MATCH(C516,Catalogo!$C$4:$C$1502,0),-1)),"-",INDEX(Catalogo!$H$4:$H$1502,_xlfn.IFNA(MATCH(C516,Catalogo!$C$4:$C$1502,0),-1))),"")</f>
        <v/>
      </c>
    </row>
    <row r="517" spans="3:5" x14ac:dyDescent="0.25">
      <c r="C517" s="9"/>
      <c r="D517" s="11" t="str">
        <f>IFERROR(INDEX(Catalogo!$E$4:$E$1502,_xlfn.IFNA(MATCH(C517,Catalogo!$C$4:$C$1502,0),-1)),"")</f>
        <v/>
      </c>
      <c r="E517" s="12" t="str">
        <f>IFERROR(_xlfn.CONCAT(INDEX(Catalogo!$G$4:$G$1502,_xlfn.IFNA(MATCH(C517,Catalogo!$C$4:$C$1502,0),-1)),"-",INDEX(Catalogo!$H$4:$H$1502,_xlfn.IFNA(MATCH(C517,Catalogo!$C$4:$C$1502,0),-1))),"")</f>
        <v/>
      </c>
    </row>
    <row r="518" spans="3:5" x14ac:dyDescent="0.25">
      <c r="C518" s="9"/>
      <c r="D518" s="11" t="str">
        <f>IFERROR(INDEX(Catalogo!$E$4:$E$1502,_xlfn.IFNA(MATCH(C518,Catalogo!$C$4:$C$1502,0),-1)),"")</f>
        <v/>
      </c>
      <c r="E518" s="12" t="str">
        <f>IFERROR(_xlfn.CONCAT(INDEX(Catalogo!$G$4:$G$1502,_xlfn.IFNA(MATCH(C518,Catalogo!$C$4:$C$1502,0),-1)),"-",INDEX(Catalogo!$H$4:$H$1502,_xlfn.IFNA(MATCH(C518,Catalogo!$C$4:$C$1502,0),-1))),"")</f>
        <v/>
      </c>
    </row>
    <row r="519" spans="3:5" x14ac:dyDescent="0.25">
      <c r="C519" s="21"/>
      <c r="D519" s="11" t="str">
        <f>IFERROR(INDEX(Catalogo!$E$4:$E$1502,_xlfn.IFNA(MATCH(C519,Catalogo!$C$4:$C$1502,0),-1)),"")</f>
        <v/>
      </c>
      <c r="E519" s="12" t="str">
        <f>IFERROR(_xlfn.CONCAT(INDEX(Catalogo!$G$4:$G$1502,_xlfn.IFNA(MATCH(C519,Catalogo!$C$4:$C$1502,0),-1)),"-",INDEX(Catalogo!$H$4:$H$1502,_xlfn.IFNA(MATCH(C519,Catalogo!$C$4:$C$1502,0),-1))),"")</f>
        <v/>
      </c>
    </row>
    <row r="520" spans="3:5" x14ac:dyDescent="0.25">
      <c r="C520" s="9"/>
      <c r="D520" s="11" t="str">
        <f>IFERROR(INDEX(Catalogo!$E$4:$E$1502,_xlfn.IFNA(MATCH(C520,Catalogo!$C$4:$C$1502,0),-1)),"")</f>
        <v/>
      </c>
      <c r="E520" s="12" t="str">
        <f>IFERROR(_xlfn.CONCAT(INDEX(Catalogo!$G$4:$G$1502,_xlfn.IFNA(MATCH(C520,Catalogo!$C$4:$C$1502,0),-1)),"-",INDEX(Catalogo!$H$4:$H$1502,_xlfn.IFNA(MATCH(C520,Catalogo!$C$4:$C$1502,0),-1))),"")</f>
        <v/>
      </c>
    </row>
    <row r="521" spans="3:5" x14ac:dyDescent="0.25">
      <c r="C521" s="8"/>
      <c r="D521" s="11" t="str">
        <f>IFERROR(INDEX(Catalogo!$E$4:$E$1502,_xlfn.IFNA(MATCH(C521,Catalogo!$C$4:$C$1502,0),-1)),"")</f>
        <v/>
      </c>
      <c r="E521" s="12" t="str">
        <f>IFERROR(_xlfn.CONCAT(INDEX(Catalogo!$G$4:$G$1502,_xlfn.IFNA(MATCH(C521,Catalogo!$C$4:$C$1502,0),-1)),"-",INDEX(Catalogo!$H$4:$H$1502,_xlfn.IFNA(MATCH(C521,Catalogo!$C$4:$C$1502,0),-1))),"")</f>
        <v/>
      </c>
    </row>
    <row r="522" spans="3:5" x14ac:dyDescent="0.25">
      <c r="C522" s="9"/>
      <c r="D522" s="11" t="str">
        <f>IFERROR(INDEX(Catalogo!$E$4:$E$1502,_xlfn.IFNA(MATCH(C522,Catalogo!$C$4:$C$1502,0),-1)),"")</f>
        <v/>
      </c>
      <c r="E522" s="12" t="str">
        <f>IFERROR(_xlfn.CONCAT(INDEX(Catalogo!$G$4:$G$1502,_xlfn.IFNA(MATCH(C522,Catalogo!$C$4:$C$1502,0),-1)),"-",INDEX(Catalogo!$H$4:$H$1502,_xlfn.IFNA(MATCH(C522,Catalogo!$C$4:$C$1502,0),-1))),"")</f>
        <v/>
      </c>
    </row>
    <row r="523" spans="3:5" x14ac:dyDescent="0.25">
      <c r="C523" s="9"/>
      <c r="D523" s="11" t="str">
        <f>IFERROR(INDEX(Catalogo!$E$4:$E$1502,_xlfn.IFNA(MATCH(C523,Catalogo!$C$4:$C$1502,0),-1)),"")</f>
        <v/>
      </c>
      <c r="E523" s="12" t="str">
        <f>IFERROR(_xlfn.CONCAT(INDEX(Catalogo!$G$4:$G$1502,_xlfn.IFNA(MATCH(C523,Catalogo!$C$4:$C$1502,0),-1)),"-",INDEX(Catalogo!$H$4:$H$1502,_xlfn.IFNA(MATCH(C523,Catalogo!$C$4:$C$1502,0),-1))),"")</f>
        <v/>
      </c>
    </row>
    <row r="524" spans="3:5" x14ac:dyDescent="0.25">
      <c r="C524" s="8"/>
      <c r="D524" s="11" t="str">
        <f>IFERROR(INDEX(Catalogo!$E$4:$E$1502,_xlfn.IFNA(MATCH(C524,Catalogo!$C$4:$C$1502,0),-1)),"")</f>
        <v/>
      </c>
      <c r="E524" s="12" t="str">
        <f>IFERROR(_xlfn.CONCAT(INDEX(Catalogo!$G$4:$G$1502,_xlfn.IFNA(MATCH(C524,Catalogo!$C$4:$C$1502,0),-1)),"-",INDEX(Catalogo!$H$4:$H$1502,_xlfn.IFNA(MATCH(C524,Catalogo!$C$4:$C$1502,0),-1))),"")</f>
        <v/>
      </c>
    </row>
    <row r="525" spans="3:5" x14ac:dyDescent="0.25">
      <c r="C525" s="8"/>
      <c r="D525" s="11" t="str">
        <f>IFERROR(INDEX(Catalogo!$E$4:$E$1502,_xlfn.IFNA(MATCH(C525,Catalogo!$C$4:$C$1502,0),-1)),"")</f>
        <v/>
      </c>
      <c r="E525" s="12" t="str">
        <f>IFERROR(_xlfn.CONCAT(INDEX(Catalogo!$G$4:$G$1502,_xlfn.IFNA(MATCH(C525,Catalogo!$C$4:$C$1502,0),-1)),"-",INDEX(Catalogo!$H$4:$H$1502,_xlfn.IFNA(MATCH(C525,Catalogo!$C$4:$C$1502,0),-1))),"")</f>
        <v/>
      </c>
    </row>
    <row r="526" spans="3:5" x14ac:dyDescent="0.25">
      <c r="C526" s="9"/>
      <c r="D526" s="11" t="str">
        <f>IFERROR(INDEX(Catalogo!$E$4:$E$1502,_xlfn.IFNA(MATCH(C526,Catalogo!$C$4:$C$1502,0),-1)),"")</f>
        <v/>
      </c>
      <c r="E526" s="12" t="str">
        <f>IFERROR(_xlfn.CONCAT(INDEX(Catalogo!$G$4:$G$1502,_xlfn.IFNA(MATCH(C526,Catalogo!$C$4:$C$1502,0),-1)),"-",INDEX(Catalogo!$H$4:$H$1502,_xlfn.IFNA(MATCH(C526,Catalogo!$C$4:$C$1502,0),-1))),"")</f>
        <v/>
      </c>
    </row>
    <row r="527" spans="3:5" x14ac:dyDescent="0.25">
      <c r="C527" s="9"/>
      <c r="D527" s="11" t="str">
        <f>IFERROR(INDEX(Catalogo!$E$4:$E$1502,_xlfn.IFNA(MATCH(C527,Catalogo!$C$4:$C$1502,0),-1)),"")</f>
        <v/>
      </c>
      <c r="E527" s="12" t="str">
        <f>IFERROR(_xlfn.CONCAT(INDEX(Catalogo!$G$4:$G$1502,_xlfn.IFNA(MATCH(C527,Catalogo!$C$4:$C$1502,0),-1)),"-",INDEX(Catalogo!$H$4:$H$1502,_xlfn.IFNA(MATCH(C527,Catalogo!$C$4:$C$1502,0),-1))),"")</f>
        <v/>
      </c>
    </row>
    <row r="528" spans="3:5" x14ac:dyDescent="0.25">
      <c r="C528" s="9"/>
      <c r="D528" s="11" t="str">
        <f>IFERROR(INDEX(Catalogo!$E$4:$E$1502,_xlfn.IFNA(MATCH(C528,Catalogo!$C$4:$C$1502,0),-1)),"")</f>
        <v/>
      </c>
      <c r="E528" s="12" t="str">
        <f>IFERROR(_xlfn.CONCAT(INDEX(Catalogo!$G$4:$G$1502,_xlfn.IFNA(MATCH(C528,Catalogo!$C$4:$C$1502,0),-1)),"-",INDEX(Catalogo!$H$4:$H$1502,_xlfn.IFNA(MATCH(C528,Catalogo!$C$4:$C$1502,0),-1))),"")</f>
        <v/>
      </c>
    </row>
    <row r="529" spans="3:5" x14ac:dyDescent="0.25">
      <c r="C529" s="17"/>
      <c r="D529" s="11" t="str">
        <f>IFERROR(INDEX(Catalogo!$E$4:$E$1502,_xlfn.IFNA(MATCH(C529,Catalogo!$C$4:$C$1502,0),-1)),"")</f>
        <v/>
      </c>
      <c r="E529" s="12" t="str">
        <f>IFERROR(_xlfn.CONCAT(INDEX(Catalogo!$G$4:$G$1502,_xlfn.IFNA(MATCH(C529,Catalogo!$C$4:$C$1502,0),-1)),"-",INDEX(Catalogo!$H$4:$H$1502,_xlfn.IFNA(MATCH(C529,Catalogo!$C$4:$C$1502,0),-1))),"")</f>
        <v/>
      </c>
    </row>
    <row r="530" spans="3:5" x14ac:dyDescent="0.25">
      <c r="C530" s="17"/>
      <c r="D530" s="11" t="str">
        <f>IFERROR(INDEX(Catalogo!$E$4:$E$1502,_xlfn.IFNA(MATCH(C530,Catalogo!$C$4:$C$1502,0),-1)),"")</f>
        <v/>
      </c>
      <c r="E530" s="12" t="str">
        <f>IFERROR(_xlfn.CONCAT(INDEX(Catalogo!$G$4:$G$1502,_xlfn.IFNA(MATCH(C530,Catalogo!$C$4:$C$1502,0),-1)),"-",INDEX(Catalogo!$H$4:$H$1502,_xlfn.IFNA(MATCH(C530,Catalogo!$C$4:$C$1502,0),-1))),"")</f>
        <v/>
      </c>
    </row>
    <row r="531" spans="3:5" x14ac:dyDescent="0.25">
      <c r="C531" s="9"/>
      <c r="D531" s="11" t="str">
        <f>IFERROR(INDEX(Catalogo!$E$4:$E$1502,_xlfn.IFNA(MATCH(C531,Catalogo!$C$4:$C$1502,0),-1)),"")</f>
        <v/>
      </c>
      <c r="E531" s="12" t="str">
        <f>IFERROR(_xlfn.CONCAT(INDEX(Catalogo!$G$4:$G$1502,_xlfn.IFNA(MATCH(C531,Catalogo!$C$4:$C$1502,0),-1)),"-",INDEX(Catalogo!$H$4:$H$1502,_xlfn.IFNA(MATCH(C531,Catalogo!$C$4:$C$1502,0),-1))),"")</f>
        <v/>
      </c>
    </row>
    <row r="532" spans="3:5" x14ac:dyDescent="0.25">
      <c r="C532" s="17"/>
      <c r="D532" s="11" t="str">
        <f>IFERROR(INDEX(Catalogo!$E$4:$E$1502,_xlfn.IFNA(MATCH(C532,Catalogo!$C$4:$C$1502,0),-1)),"")</f>
        <v/>
      </c>
      <c r="E532" s="12" t="str">
        <f>IFERROR(_xlfn.CONCAT(INDEX(Catalogo!$G$4:$G$1502,_xlfn.IFNA(MATCH(C532,Catalogo!$C$4:$C$1502,0),-1)),"-",INDEX(Catalogo!$H$4:$H$1502,_xlfn.IFNA(MATCH(C532,Catalogo!$C$4:$C$1502,0),-1))),"")</f>
        <v/>
      </c>
    </row>
    <row r="533" spans="3:5" x14ac:dyDescent="0.25">
      <c r="C533" s="9"/>
      <c r="D533" s="11" t="str">
        <f>IFERROR(INDEX(Catalogo!$E$4:$E$1502,_xlfn.IFNA(MATCH(C533,Catalogo!$C$4:$C$1502,0),-1)),"")</f>
        <v/>
      </c>
      <c r="E533" s="12" t="str">
        <f>IFERROR(_xlfn.CONCAT(INDEX(Catalogo!$G$4:$G$1502,_xlfn.IFNA(MATCH(C533,Catalogo!$C$4:$C$1502,0),-1)),"-",INDEX(Catalogo!$H$4:$H$1502,_xlfn.IFNA(MATCH(C533,Catalogo!$C$4:$C$1502,0),-1))),"")</f>
        <v/>
      </c>
    </row>
    <row r="534" spans="3:5" x14ac:dyDescent="0.25">
      <c r="C534" s="9"/>
      <c r="D534" s="11" t="str">
        <f>IFERROR(INDEX(Catalogo!$E$4:$E$1502,_xlfn.IFNA(MATCH(C534,Catalogo!$C$4:$C$1502,0),-1)),"")</f>
        <v/>
      </c>
      <c r="E534" s="12" t="str">
        <f>IFERROR(_xlfn.CONCAT(INDEX(Catalogo!$G$4:$G$1502,_xlfn.IFNA(MATCH(C534,Catalogo!$C$4:$C$1502,0),-1)),"-",INDEX(Catalogo!$H$4:$H$1502,_xlfn.IFNA(MATCH(C534,Catalogo!$C$4:$C$1502,0),-1))),"")</f>
        <v/>
      </c>
    </row>
    <row r="535" spans="3:5" x14ac:dyDescent="0.25">
      <c r="C535" s="9"/>
      <c r="D535" s="11" t="str">
        <f>IFERROR(INDEX(Catalogo!$E$4:$E$1502,_xlfn.IFNA(MATCH(C535,Catalogo!$C$4:$C$1502,0),-1)),"")</f>
        <v/>
      </c>
      <c r="E535" s="12" t="str">
        <f>IFERROR(_xlfn.CONCAT(INDEX(Catalogo!$G$4:$G$1502,_xlfn.IFNA(MATCH(C535,Catalogo!$C$4:$C$1502,0),-1)),"-",INDEX(Catalogo!$H$4:$H$1502,_xlfn.IFNA(MATCH(C535,Catalogo!$C$4:$C$1502,0),-1))),"")</f>
        <v/>
      </c>
    </row>
    <row r="536" spans="3:5" x14ac:dyDescent="0.25">
      <c r="C536" s="9"/>
      <c r="D536" s="11" t="str">
        <f>IFERROR(INDEX(Catalogo!$E$4:$E$1502,_xlfn.IFNA(MATCH(C536,Catalogo!$C$4:$C$1502,0),-1)),"")</f>
        <v/>
      </c>
      <c r="E536" s="12" t="str">
        <f>IFERROR(_xlfn.CONCAT(INDEX(Catalogo!$G$4:$G$1502,_xlfn.IFNA(MATCH(C536,Catalogo!$C$4:$C$1502,0),-1)),"-",INDEX(Catalogo!$H$4:$H$1502,_xlfn.IFNA(MATCH(C536,Catalogo!$C$4:$C$1502,0),-1))),"")</f>
        <v/>
      </c>
    </row>
    <row r="537" spans="3:5" x14ac:dyDescent="0.25">
      <c r="C537" s="9"/>
      <c r="D537" s="11" t="str">
        <f>IFERROR(INDEX(Catalogo!$E$4:$E$1502,_xlfn.IFNA(MATCH(C537,Catalogo!$C$4:$C$1502,0),-1)),"")</f>
        <v/>
      </c>
      <c r="E537" s="12" t="str">
        <f>IFERROR(_xlfn.CONCAT(INDEX(Catalogo!$G$4:$G$1502,_xlfn.IFNA(MATCH(C537,Catalogo!$C$4:$C$1502,0),-1)),"-",INDEX(Catalogo!$H$4:$H$1502,_xlfn.IFNA(MATCH(C537,Catalogo!$C$4:$C$1502,0),-1))),"")</f>
        <v/>
      </c>
    </row>
    <row r="538" spans="3:5" x14ac:dyDescent="0.25">
      <c r="C538" s="9"/>
      <c r="D538" s="11" t="str">
        <f>IFERROR(INDEX(Catalogo!$E$4:$E$1502,_xlfn.IFNA(MATCH(C538,Catalogo!$C$4:$C$1502,0),-1)),"")</f>
        <v/>
      </c>
      <c r="E538" s="12" t="str">
        <f>IFERROR(_xlfn.CONCAT(INDEX(Catalogo!$G$4:$G$1502,_xlfn.IFNA(MATCH(C538,Catalogo!$C$4:$C$1502,0),-1)),"-",INDEX(Catalogo!$H$4:$H$1502,_xlfn.IFNA(MATCH(C538,Catalogo!$C$4:$C$1502,0),-1))),"")</f>
        <v/>
      </c>
    </row>
    <row r="539" spans="3:5" x14ac:dyDescent="0.25">
      <c r="C539" s="17"/>
      <c r="D539" s="11" t="str">
        <f>IFERROR(INDEX(Catalogo!$E$4:$E$1502,_xlfn.IFNA(MATCH(C539,Catalogo!$C$4:$C$1502,0),-1)),"")</f>
        <v/>
      </c>
      <c r="E539" s="12" t="str">
        <f>IFERROR(_xlfn.CONCAT(INDEX(Catalogo!$G$4:$G$1502,_xlfn.IFNA(MATCH(C539,Catalogo!$C$4:$C$1502,0),-1)),"-",INDEX(Catalogo!$H$4:$H$1502,_xlfn.IFNA(MATCH(C539,Catalogo!$C$4:$C$1502,0),-1))),"")</f>
        <v/>
      </c>
    </row>
    <row r="540" spans="3:5" x14ac:dyDescent="0.25">
      <c r="C540" s="9"/>
      <c r="D540" s="11" t="str">
        <f>IFERROR(INDEX(Catalogo!$E$4:$E$1502,_xlfn.IFNA(MATCH(C540,Catalogo!$C$4:$C$1502,0),-1)),"")</f>
        <v/>
      </c>
      <c r="E540" s="12" t="str">
        <f>IFERROR(_xlfn.CONCAT(INDEX(Catalogo!$G$4:$G$1502,_xlfn.IFNA(MATCH(C540,Catalogo!$C$4:$C$1502,0),-1)),"-",INDEX(Catalogo!$H$4:$H$1502,_xlfn.IFNA(MATCH(C540,Catalogo!$C$4:$C$1502,0),-1))),"")</f>
        <v/>
      </c>
    </row>
    <row r="541" spans="3:5" x14ac:dyDescent="0.25">
      <c r="C541" s="9"/>
      <c r="D541" s="11" t="str">
        <f>IFERROR(INDEX(Catalogo!$E$4:$E$1502,_xlfn.IFNA(MATCH(C541,Catalogo!$C$4:$C$1502,0),-1)),"")</f>
        <v/>
      </c>
      <c r="E541" s="12" t="str">
        <f>IFERROR(_xlfn.CONCAT(INDEX(Catalogo!$G$4:$G$1502,_xlfn.IFNA(MATCH(C541,Catalogo!$C$4:$C$1502,0),-1)),"-",INDEX(Catalogo!$H$4:$H$1502,_xlfn.IFNA(MATCH(C541,Catalogo!$C$4:$C$1502,0),-1))),"")</f>
        <v/>
      </c>
    </row>
    <row r="542" spans="3:5" x14ac:dyDescent="0.25">
      <c r="C542" s="9"/>
      <c r="D542" s="11" t="str">
        <f>IFERROR(INDEX(Catalogo!$E$4:$E$1502,_xlfn.IFNA(MATCH(C542,Catalogo!$C$4:$C$1502,0),-1)),"")</f>
        <v/>
      </c>
      <c r="E542" s="12" t="str">
        <f>IFERROR(_xlfn.CONCAT(INDEX(Catalogo!$G$4:$G$1502,_xlfn.IFNA(MATCH(C542,Catalogo!$C$4:$C$1502,0),-1)),"-",INDEX(Catalogo!$H$4:$H$1502,_xlfn.IFNA(MATCH(C542,Catalogo!$C$4:$C$1502,0),-1))),"")</f>
        <v/>
      </c>
    </row>
    <row r="543" spans="3:5" x14ac:dyDescent="0.25">
      <c r="C543" s="17"/>
      <c r="D543" s="11" t="str">
        <f>IFERROR(INDEX(Catalogo!$E$4:$E$1502,_xlfn.IFNA(MATCH(C543,Catalogo!$C$4:$C$1502,0),-1)),"")</f>
        <v/>
      </c>
      <c r="E543" s="12" t="str">
        <f>IFERROR(_xlfn.CONCAT(INDEX(Catalogo!$G$4:$G$1502,_xlfn.IFNA(MATCH(C543,Catalogo!$C$4:$C$1502,0),-1)),"-",INDEX(Catalogo!$H$4:$H$1502,_xlfn.IFNA(MATCH(C543,Catalogo!$C$4:$C$1502,0),-1))),"")</f>
        <v/>
      </c>
    </row>
    <row r="544" spans="3:5" x14ac:dyDescent="0.25">
      <c r="C544" s="8"/>
      <c r="D544" s="11" t="str">
        <f>IFERROR(INDEX(Catalogo!$E$4:$E$1502,_xlfn.IFNA(MATCH(C544,Catalogo!$C$4:$C$1502,0),-1)),"")</f>
        <v/>
      </c>
      <c r="E544" s="12" t="str">
        <f>IFERROR(_xlfn.CONCAT(INDEX(Catalogo!$G$4:$G$1502,_xlfn.IFNA(MATCH(C544,Catalogo!$C$4:$C$1502,0),-1)),"-",INDEX(Catalogo!$H$4:$H$1502,_xlfn.IFNA(MATCH(C544,Catalogo!$C$4:$C$1502,0),-1))),"")</f>
        <v/>
      </c>
    </row>
    <row r="545" spans="3:5" x14ac:dyDescent="0.25">
      <c r="C545" s="18"/>
      <c r="D545" s="11" t="str">
        <f>IFERROR(INDEX(Catalogo!$E$4:$E$1502,_xlfn.IFNA(MATCH(C545,Catalogo!$C$4:$C$1502,0),-1)),"")</f>
        <v/>
      </c>
      <c r="E545" s="12" t="str">
        <f>IFERROR(_xlfn.CONCAT(INDEX(Catalogo!$G$4:$G$1502,_xlfn.IFNA(MATCH(C545,Catalogo!$C$4:$C$1502,0),-1)),"-",INDEX(Catalogo!$H$4:$H$1502,_xlfn.IFNA(MATCH(C545,Catalogo!$C$4:$C$1502,0),-1))),"")</f>
        <v/>
      </c>
    </row>
    <row r="546" spans="3:5" x14ac:dyDescent="0.25">
      <c r="C546" s="18"/>
      <c r="D546" s="11" t="str">
        <f>IFERROR(INDEX(Catalogo!$E$4:$E$1502,_xlfn.IFNA(MATCH(C546,Catalogo!$C$4:$C$1502,0),-1)),"")</f>
        <v/>
      </c>
      <c r="E546" s="12" t="str">
        <f>IFERROR(_xlfn.CONCAT(INDEX(Catalogo!$G$4:$G$1502,_xlfn.IFNA(MATCH(C546,Catalogo!$C$4:$C$1502,0),-1)),"-",INDEX(Catalogo!$H$4:$H$1502,_xlfn.IFNA(MATCH(C546,Catalogo!$C$4:$C$1502,0),-1))),"")</f>
        <v/>
      </c>
    </row>
    <row r="547" spans="3:5" x14ac:dyDescent="0.25">
      <c r="C547" s="9"/>
      <c r="D547" s="11" t="str">
        <f>IFERROR(INDEX(Catalogo!$E$4:$E$1502,_xlfn.IFNA(MATCH(C547,Catalogo!$C$4:$C$1502,0),-1)),"")</f>
        <v/>
      </c>
      <c r="E547" s="12" t="str">
        <f>IFERROR(_xlfn.CONCAT(INDEX(Catalogo!$G$4:$G$1502,_xlfn.IFNA(MATCH(C547,Catalogo!$C$4:$C$1502,0),-1)),"-",INDEX(Catalogo!$H$4:$H$1502,_xlfn.IFNA(MATCH(C547,Catalogo!$C$4:$C$1502,0),-1))),"")</f>
        <v/>
      </c>
    </row>
    <row r="548" spans="3:5" x14ac:dyDescent="0.25">
      <c r="C548" s="16"/>
      <c r="D548" s="11" t="str">
        <f>IFERROR(INDEX(Catalogo!$E$4:$E$1502,_xlfn.IFNA(MATCH(C548,Catalogo!$C$4:$C$1502,0),-1)),"")</f>
        <v/>
      </c>
      <c r="E548" s="12" t="str">
        <f>IFERROR(_xlfn.CONCAT(INDEX(Catalogo!$G$4:$G$1502,_xlfn.IFNA(MATCH(C548,Catalogo!$C$4:$C$1502,0),-1)),"-",INDEX(Catalogo!$H$4:$H$1502,_xlfn.IFNA(MATCH(C548,Catalogo!$C$4:$C$1502,0),-1))),"")</f>
        <v/>
      </c>
    </row>
    <row r="549" spans="3:5" x14ac:dyDescent="0.25">
      <c r="C549" s="9"/>
      <c r="D549" s="11" t="str">
        <f>IFERROR(INDEX(Catalogo!$E$4:$E$1502,_xlfn.IFNA(MATCH(C549,Catalogo!$C$4:$C$1502,0),-1)),"")</f>
        <v/>
      </c>
      <c r="E549" s="12" t="str">
        <f>IFERROR(_xlfn.CONCAT(INDEX(Catalogo!$G$4:$G$1502,_xlfn.IFNA(MATCH(C549,Catalogo!$C$4:$C$1502,0),-1)),"-",INDEX(Catalogo!$H$4:$H$1502,_xlfn.IFNA(MATCH(C549,Catalogo!$C$4:$C$1502,0),-1))),"")</f>
        <v/>
      </c>
    </row>
    <row r="550" spans="3:5" x14ac:dyDescent="0.25">
      <c r="C550" s="9"/>
      <c r="D550" s="11" t="str">
        <f>IFERROR(INDEX(Catalogo!$E$4:$E$1502,_xlfn.IFNA(MATCH(C550,Catalogo!$C$4:$C$1502,0),-1)),"")</f>
        <v/>
      </c>
      <c r="E550" s="12" t="str">
        <f>IFERROR(_xlfn.CONCAT(INDEX(Catalogo!$G$4:$G$1502,_xlfn.IFNA(MATCH(C550,Catalogo!$C$4:$C$1502,0),-1)),"-",INDEX(Catalogo!$H$4:$H$1502,_xlfn.IFNA(MATCH(C550,Catalogo!$C$4:$C$1502,0),-1))),"")</f>
        <v/>
      </c>
    </row>
    <row r="551" spans="3:5" x14ac:dyDescent="0.25">
      <c r="C551" s="9"/>
      <c r="D551" s="11" t="str">
        <f>IFERROR(INDEX(Catalogo!$E$4:$E$1502,_xlfn.IFNA(MATCH(C551,Catalogo!$C$4:$C$1502,0),-1)),"")</f>
        <v/>
      </c>
      <c r="E551" s="12" t="str">
        <f>IFERROR(_xlfn.CONCAT(INDEX(Catalogo!$G$4:$G$1502,_xlfn.IFNA(MATCH(C551,Catalogo!$C$4:$C$1502,0),-1)),"-",INDEX(Catalogo!$H$4:$H$1502,_xlfn.IFNA(MATCH(C551,Catalogo!$C$4:$C$1502,0),-1))),"")</f>
        <v/>
      </c>
    </row>
    <row r="552" spans="3:5" x14ac:dyDescent="0.25">
      <c r="C552" s="9"/>
      <c r="D552" s="11" t="str">
        <f>IFERROR(INDEX(Catalogo!$E$4:$E$1502,_xlfn.IFNA(MATCH(C552,Catalogo!$C$4:$C$1502,0),-1)),"")</f>
        <v/>
      </c>
      <c r="E552" s="12" t="str">
        <f>IFERROR(_xlfn.CONCAT(INDEX(Catalogo!$G$4:$G$1502,_xlfn.IFNA(MATCH(C552,Catalogo!$C$4:$C$1502,0),-1)),"-",INDEX(Catalogo!$H$4:$H$1502,_xlfn.IFNA(MATCH(C552,Catalogo!$C$4:$C$1502,0),-1))),"")</f>
        <v/>
      </c>
    </row>
    <row r="553" spans="3:5" x14ac:dyDescent="0.25">
      <c r="C553" s="9"/>
      <c r="D553" s="11" t="str">
        <f>IFERROR(INDEX(Catalogo!$E$4:$E$1502,_xlfn.IFNA(MATCH(C553,Catalogo!$C$4:$C$1502,0),-1)),"")</f>
        <v/>
      </c>
      <c r="E553" s="12" t="str">
        <f>IFERROR(_xlfn.CONCAT(INDEX(Catalogo!$G$4:$G$1502,_xlfn.IFNA(MATCH(C553,Catalogo!$C$4:$C$1502,0),-1)),"-",INDEX(Catalogo!$H$4:$H$1502,_xlfn.IFNA(MATCH(C553,Catalogo!$C$4:$C$1502,0),-1))),"")</f>
        <v/>
      </c>
    </row>
    <row r="554" spans="3:5" x14ac:dyDescent="0.25">
      <c r="C554" s="9"/>
      <c r="D554" s="11" t="str">
        <f>IFERROR(INDEX(Catalogo!$E$4:$E$1502,_xlfn.IFNA(MATCH(C554,Catalogo!$C$4:$C$1502,0),-1)),"")</f>
        <v/>
      </c>
      <c r="E554" s="12" t="str">
        <f>IFERROR(_xlfn.CONCAT(INDEX(Catalogo!$G$4:$G$1502,_xlfn.IFNA(MATCH(C554,Catalogo!$C$4:$C$1502,0),-1)),"-",INDEX(Catalogo!$H$4:$H$1502,_xlfn.IFNA(MATCH(C554,Catalogo!$C$4:$C$1502,0),-1))),"")</f>
        <v/>
      </c>
    </row>
    <row r="555" spans="3:5" x14ac:dyDescent="0.25">
      <c r="C555" s="9"/>
      <c r="D555" s="11" t="str">
        <f>IFERROR(INDEX(Catalogo!$E$4:$E$1502,_xlfn.IFNA(MATCH(C555,Catalogo!$C$4:$C$1502,0),-1)),"")</f>
        <v/>
      </c>
      <c r="E555" s="12" t="str">
        <f>IFERROR(_xlfn.CONCAT(INDEX(Catalogo!$G$4:$G$1502,_xlfn.IFNA(MATCH(C555,Catalogo!$C$4:$C$1502,0),-1)),"-",INDEX(Catalogo!$H$4:$H$1502,_xlfn.IFNA(MATCH(C555,Catalogo!$C$4:$C$1502,0),-1))),"")</f>
        <v/>
      </c>
    </row>
    <row r="556" spans="3:5" x14ac:dyDescent="0.25">
      <c r="C556" s="9"/>
      <c r="D556" s="11" t="str">
        <f>IFERROR(INDEX(Catalogo!$E$4:$E$1502,_xlfn.IFNA(MATCH(C556,Catalogo!$C$4:$C$1502,0),-1)),"")</f>
        <v/>
      </c>
      <c r="E556" s="12" t="str">
        <f>IFERROR(_xlfn.CONCAT(INDEX(Catalogo!$G$4:$G$1502,_xlfn.IFNA(MATCH(C556,Catalogo!$C$4:$C$1502,0),-1)),"-",INDEX(Catalogo!$H$4:$H$1502,_xlfn.IFNA(MATCH(C556,Catalogo!$C$4:$C$1502,0),-1))),"")</f>
        <v/>
      </c>
    </row>
    <row r="557" spans="3:5" x14ac:dyDescent="0.25">
      <c r="C557" s="9"/>
      <c r="D557" s="11" t="str">
        <f>IFERROR(INDEX(Catalogo!$E$4:$E$1502,_xlfn.IFNA(MATCH(C557,Catalogo!$C$4:$C$1502,0),-1)),"")</f>
        <v/>
      </c>
      <c r="E557" s="12" t="str">
        <f>IFERROR(_xlfn.CONCAT(INDEX(Catalogo!$G$4:$G$1502,_xlfn.IFNA(MATCH(C557,Catalogo!$C$4:$C$1502,0),-1)),"-",INDEX(Catalogo!$H$4:$H$1502,_xlfn.IFNA(MATCH(C557,Catalogo!$C$4:$C$1502,0),-1))),"")</f>
        <v/>
      </c>
    </row>
    <row r="558" spans="3:5" x14ac:dyDescent="0.25">
      <c r="C558" s="9"/>
      <c r="D558" s="11" t="str">
        <f>IFERROR(INDEX(Catalogo!$E$4:$E$1502,_xlfn.IFNA(MATCH(C558,Catalogo!$C$4:$C$1502,0),-1)),"")</f>
        <v/>
      </c>
      <c r="E558" s="12" t="str">
        <f>IFERROR(_xlfn.CONCAT(INDEX(Catalogo!$G$4:$G$1502,_xlfn.IFNA(MATCH(C558,Catalogo!$C$4:$C$1502,0),-1)),"-",INDEX(Catalogo!$H$4:$H$1502,_xlfn.IFNA(MATCH(C558,Catalogo!$C$4:$C$1502,0),-1))),"")</f>
        <v/>
      </c>
    </row>
    <row r="559" spans="3:5" x14ac:dyDescent="0.25">
      <c r="C559" s="9"/>
      <c r="D559" s="11" t="str">
        <f>IFERROR(INDEX(Catalogo!$E$4:$E$1502,_xlfn.IFNA(MATCH(C559,Catalogo!$C$4:$C$1502,0),-1)),"")</f>
        <v/>
      </c>
      <c r="E559" s="12" t="str">
        <f>IFERROR(_xlfn.CONCAT(INDEX(Catalogo!$G$4:$G$1502,_xlfn.IFNA(MATCH(C559,Catalogo!$C$4:$C$1502,0),-1)),"-",INDEX(Catalogo!$H$4:$H$1502,_xlfn.IFNA(MATCH(C559,Catalogo!$C$4:$C$1502,0),-1))),"")</f>
        <v/>
      </c>
    </row>
    <row r="560" spans="3:5" x14ac:dyDescent="0.25">
      <c r="C560" s="9"/>
      <c r="D560" s="11" t="str">
        <f>IFERROR(INDEX(Catalogo!$E$4:$E$1502,_xlfn.IFNA(MATCH(C560,Catalogo!$C$4:$C$1502,0),-1)),"")</f>
        <v/>
      </c>
      <c r="E560" s="12" t="str">
        <f>IFERROR(_xlfn.CONCAT(INDEX(Catalogo!$G$4:$G$1502,_xlfn.IFNA(MATCH(C560,Catalogo!$C$4:$C$1502,0),-1)),"-",INDEX(Catalogo!$H$4:$H$1502,_xlfn.IFNA(MATCH(C560,Catalogo!$C$4:$C$1502,0),-1))),"")</f>
        <v/>
      </c>
    </row>
    <row r="561" spans="3:5" x14ac:dyDescent="0.25">
      <c r="C561" s="9"/>
      <c r="D561" s="11" t="str">
        <f>IFERROR(INDEX(Catalogo!$E$4:$E$1502,_xlfn.IFNA(MATCH(C561,Catalogo!$C$4:$C$1502,0),-1)),"")</f>
        <v/>
      </c>
      <c r="E561" s="12" t="str">
        <f>IFERROR(_xlfn.CONCAT(INDEX(Catalogo!$G$4:$G$1502,_xlfn.IFNA(MATCH(C561,Catalogo!$C$4:$C$1502,0),-1)),"-",INDEX(Catalogo!$H$4:$H$1502,_xlfn.IFNA(MATCH(C561,Catalogo!$C$4:$C$1502,0),-1))),"")</f>
        <v/>
      </c>
    </row>
    <row r="562" spans="3:5" x14ac:dyDescent="0.25">
      <c r="C562" s="9"/>
      <c r="D562" s="11" t="str">
        <f>IFERROR(INDEX(Catalogo!$E$4:$E$1502,_xlfn.IFNA(MATCH(C562,Catalogo!$C$4:$C$1502,0),-1)),"")</f>
        <v/>
      </c>
      <c r="E562" s="12" t="str">
        <f>IFERROR(_xlfn.CONCAT(INDEX(Catalogo!$G$4:$G$1502,_xlfn.IFNA(MATCH(C562,Catalogo!$C$4:$C$1502,0),-1)),"-",INDEX(Catalogo!$H$4:$H$1502,_xlfn.IFNA(MATCH(C562,Catalogo!$C$4:$C$1502,0),-1))),"")</f>
        <v/>
      </c>
    </row>
    <row r="563" spans="3:5" x14ac:dyDescent="0.25">
      <c r="C563" s="9"/>
      <c r="D563" s="11" t="str">
        <f>IFERROR(INDEX(Catalogo!$E$4:$E$1502,_xlfn.IFNA(MATCH(C563,Catalogo!$C$4:$C$1502,0),-1)),"")</f>
        <v/>
      </c>
      <c r="E563" s="12" t="str">
        <f>IFERROR(_xlfn.CONCAT(INDEX(Catalogo!$G$4:$G$1502,_xlfn.IFNA(MATCH(C563,Catalogo!$C$4:$C$1502,0),-1)),"-",INDEX(Catalogo!$H$4:$H$1502,_xlfn.IFNA(MATCH(C563,Catalogo!$C$4:$C$1502,0),-1))),"")</f>
        <v/>
      </c>
    </row>
    <row r="564" spans="3:5" x14ac:dyDescent="0.25">
      <c r="C564" s="9"/>
      <c r="D564" s="11" t="str">
        <f>IFERROR(INDEX(Catalogo!$E$4:$E$1502,_xlfn.IFNA(MATCH(C564,Catalogo!$C$4:$C$1502,0),-1)),"")</f>
        <v/>
      </c>
      <c r="E564" s="12" t="str">
        <f>IFERROR(_xlfn.CONCAT(INDEX(Catalogo!$G$4:$G$1502,_xlfn.IFNA(MATCH(C564,Catalogo!$C$4:$C$1502,0),-1)),"-",INDEX(Catalogo!$H$4:$H$1502,_xlfn.IFNA(MATCH(C564,Catalogo!$C$4:$C$1502,0),-1))),"")</f>
        <v/>
      </c>
    </row>
    <row r="565" spans="3:5" x14ac:dyDescent="0.25">
      <c r="C565" s="9"/>
      <c r="D565" s="11" t="str">
        <f>IFERROR(INDEX(Catalogo!$E$4:$E$1502,_xlfn.IFNA(MATCH(C565,Catalogo!$C$4:$C$1502,0),-1)),"")</f>
        <v/>
      </c>
      <c r="E565" s="12" t="str">
        <f>IFERROR(_xlfn.CONCAT(INDEX(Catalogo!$G$4:$G$1502,_xlfn.IFNA(MATCH(C565,Catalogo!$C$4:$C$1502,0),-1)),"-",INDEX(Catalogo!$H$4:$H$1502,_xlfn.IFNA(MATCH(C565,Catalogo!$C$4:$C$1502,0),-1))),"")</f>
        <v/>
      </c>
    </row>
    <row r="566" spans="3:5" x14ac:dyDescent="0.25">
      <c r="C566" s="9"/>
      <c r="D566" s="11" t="str">
        <f>IFERROR(INDEX(Catalogo!$E$4:$E$1502,_xlfn.IFNA(MATCH(C566,Catalogo!$C$4:$C$1502,0),-1)),"")</f>
        <v/>
      </c>
      <c r="E566" s="12" t="str">
        <f>IFERROR(_xlfn.CONCAT(INDEX(Catalogo!$G$4:$G$1502,_xlfn.IFNA(MATCH(C566,Catalogo!$C$4:$C$1502,0),-1)),"-",INDEX(Catalogo!$H$4:$H$1502,_xlfn.IFNA(MATCH(C566,Catalogo!$C$4:$C$1502,0),-1))),"")</f>
        <v/>
      </c>
    </row>
    <row r="567" spans="3:5" x14ac:dyDescent="0.25">
      <c r="C567" s="9"/>
      <c r="D567" s="11" t="str">
        <f>IFERROR(INDEX(Catalogo!$E$4:$E$1502,_xlfn.IFNA(MATCH(C567,Catalogo!$C$4:$C$1502,0),-1)),"")</f>
        <v/>
      </c>
      <c r="E567" s="12" t="str">
        <f>IFERROR(_xlfn.CONCAT(INDEX(Catalogo!$G$4:$G$1502,_xlfn.IFNA(MATCH(C567,Catalogo!$C$4:$C$1502,0),-1)),"-",INDEX(Catalogo!$H$4:$H$1502,_xlfn.IFNA(MATCH(C567,Catalogo!$C$4:$C$1502,0),-1))),"")</f>
        <v/>
      </c>
    </row>
    <row r="568" spans="3:5" x14ac:dyDescent="0.25">
      <c r="C568" s="9"/>
      <c r="D568" s="11" t="str">
        <f>IFERROR(INDEX(Catalogo!$E$4:$E$1502,_xlfn.IFNA(MATCH(C568,Catalogo!$C$4:$C$1502,0),-1)),"")</f>
        <v/>
      </c>
      <c r="E568" s="12" t="str">
        <f>IFERROR(_xlfn.CONCAT(INDEX(Catalogo!$G$4:$G$1502,_xlfn.IFNA(MATCH(C568,Catalogo!$C$4:$C$1502,0),-1)),"-",INDEX(Catalogo!$H$4:$H$1502,_xlfn.IFNA(MATCH(C568,Catalogo!$C$4:$C$1502,0),-1))),"")</f>
        <v/>
      </c>
    </row>
    <row r="569" spans="3:5" x14ac:dyDescent="0.25">
      <c r="C569" s="16"/>
      <c r="D569" s="11" t="str">
        <f>IFERROR(INDEX(Catalogo!$E$4:$E$1502,_xlfn.IFNA(MATCH(C569,Catalogo!$C$4:$C$1502,0),-1)),"")</f>
        <v/>
      </c>
      <c r="E569" s="12" t="str">
        <f>IFERROR(_xlfn.CONCAT(INDEX(Catalogo!$G$4:$G$1502,_xlfn.IFNA(MATCH(C569,Catalogo!$C$4:$C$1502,0),-1)),"-",INDEX(Catalogo!$H$4:$H$1502,_xlfn.IFNA(MATCH(C569,Catalogo!$C$4:$C$1502,0),-1))),"")</f>
        <v/>
      </c>
    </row>
    <row r="570" spans="3:5" x14ac:dyDescent="0.25">
      <c r="C570" s="9"/>
      <c r="D570" s="11" t="str">
        <f>IFERROR(INDEX(Catalogo!$E$4:$E$1502,_xlfn.IFNA(MATCH(C570,Catalogo!$C$4:$C$1502,0),-1)),"")</f>
        <v/>
      </c>
      <c r="E570" s="12" t="str">
        <f>IFERROR(_xlfn.CONCAT(INDEX(Catalogo!$G$4:$G$1502,_xlfn.IFNA(MATCH(C570,Catalogo!$C$4:$C$1502,0),-1)),"-",INDEX(Catalogo!$H$4:$H$1502,_xlfn.IFNA(MATCH(C570,Catalogo!$C$4:$C$1502,0),-1))),"")</f>
        <v/>
      </c>
    </row>
    <row r="571" spans="3:5" x14ac:dyDescent="0.25">
      <c r="C571" s="9"/>
      <c r="D571" s="11" t="str">
        <f>IFERROR(INDEX(Catalogo!$E$4:$E$1502,_xlfn.IFNA(MATCH(C571,Catalogo!$C$4:$C$1502,0),-1)),"")</f>
        <v/>
      </c>
      <c r="E571" s="12" t="str">
        <f>IFERROR(_xlfn.CONCAT(INDEX(Catalogo!$G$4:$G$1502,_xlfn.IFNA(MATCH(C571,Catalogo!$C$4:$C$1502,0),-1)),"-",INDEX(Catalogo!$H$4:$H$1502,_xlfn.IFNA(MATCH(C571,Catalogo!$C$4:$C$1502,0),-1))),"")</f>
        <v/>
      </c>
    </row>
    <row r="572" spans="3:5" x14ac:dyDescent="0.25">
      <c r="C572" s="9"/>
      <c r="D572" s="11" t="str">
        <f>IFERROR(INDEX(Catalogo!$E$4:$E$1502,_xlfn.IFNA(MATCH(C572,Catalogo!$C$4:$C$1502,0),-1)),"")</f>
        <v/>
      </c>
      <c r="E572" s="12" t="str">
        <f>IFERROR(_xlfn.CONCAT(INDEX(Catalogo!$G$4:$G$1502,_xlfn.IFNA(MATCH(C572,Catalogo!$C$4:$C$1502,0),-1)),"-",INDEX(Catalogo!$H$4:$H$1502,_xlfn.IFNA(MATCH(C572,Catalogo!$C$4:$C$1502,0),-1))),"")</f>
        <v/>
      </c>
    </row>
    <row r="573" spans="3:5" x14ac:dyDescent="0.25">
      <c r="C573" s="9"/>
      <c r="D573" s="11" t="str">
        <f>IFERROR(INDEX(Catalogo!$E$4:$E$1502,_xlfn.IFNA(MATCH(C573,Catalogo!$C$4:$C$1502,0),-1)),"")</f>
        <v/>
      </c>
      <c r="E573" s="12" t="str">
        <f>IFERROR(_xlfn.CONCAT(INDEX(Catalogo!$G$4:$G$1502,_xlfn.IFNA(MATCH(C573,Catalogo!$C$4:$C$1502,0),-1)),"-",INDEX(Catalogo!$H$4:$H$1502,_xlfn.IFNA(MATCH(C573,Catalogo!$C$4:$C$1502,0),-1))),"")</f>
        <v/>
      </c>
    </row>
    <row r="574" spans="3:5" x14ac:dyDescent="0.25">
      <c r="C574" s="9"/>
      <c r="D574" s="11" t="str">
        <f>IFERROR(INDEX(Catalogo!$E$4:$E$1502,_xlfn.IFNA(MATCH(C574,Catalogo!$C$4:$C$1502,0),-1)),"")</f>
        <v/>
      </c>
      <c r="E574" s="12" t="str">
        <f>IFERROR(_xlfn.CONCAT(INDEX(Catalogo!$G$4:$G$1502,_xlfn.IFNA(MATCH(C574,Catalogo!$C$4:$C$1502,0),-1)),"-",INDEX(Catalogo!$H$4:$H$1502,_xlfn.IFNA(MATCH(C574,Catalogo!$C$4:$C$1502,0),-1))),"")</f>
        <v/>
      </c>
    </row>
    <row r="575" spans="3:5" x14ac:dyDescent="0.25">
      <c r="C575" s="9"/>
      <c r="D575" s="11" t="str">
        <f>IFERROR(INDEX(Catalogo!$E$4:$E$1502,_xlfn.IFNA(MATCH(C575,Catalogo!$C$4:$C$1502,0),-1)),"")</f>
        <v/>
      </c>
      <c r="E575" s="12" t="str">
        <f>IFERROR(_xlfn.CONCAT(INDEX(Catalogo!$G$4:$G$1502,_xlfn.IFNA(MATCH(C575,Catalogo!$C$4:$C$1502,0),-1)),"-",INDEX(Catalogo!$H$4:$H$1502,_xlfn.IFNA(MATCH(C575,Catalogo!$C$4:$C$1502,0),-1))),"")</f>
        <v/>
      </c>
    </row>
    <row r="576" spans="3:5" x14ac:dyDescent="0.25">
      <c r="C576" s="9"/>
      <c r="D576" s="11" t="str">
        <f>IFERROR(INDEX(Catalogo!$E$4:$E$1502,_xlfn.IFNA(MATCH(C576,Catalogo!$C$4:$C$1502,0),-1)),"")</f>
        <v/>
      </c>
      <c r="E576" s="12" t="str">
        <f>IFERROR(_xlfn.CONCAT(INDEX(Catalogo!$G$4:$G$1502,_xlfn.IFNA(MATCH(C576,Catalogo!$C$4:$C$1502,0),-1)),"-",INDEX(Catalogo!$H$4:$H$1502,_xlfn.IFNA(MATCH(C576,Catalogo!$C$4:$C$1502,0),-1))),"")</f>
        <v/>
      </c>
    </row>
    <row r="577" spans="3:5" x14ac:dyDescent="0.25">
      <c r="C577" s="9"/>
      <c r="D577" s="11" t="str">
        <f>IFERROR(INDEX(Catalogo!$E$4:$E$1502,_xlfn.IFNA(MATCH(C577,Catalogo!$C$4:$C$1502,0),-1)),"")</f>
        <v/>
      </c>
      <c r="E577" s="12" t="str">
        <f>IFERROR(_xlfn.CONCAT(INDEX(Catalogo!$G$4:$G$1502,_xlfn.IFNA(MATCH(C577,Catalogo!$C$4:$C$1502,0),-1)),"-",INDEX(Catalogo!$H$4:$H$1502,_xlfn.IFNA(MATCH(C577,Catalogo!$C$4:$C$1502,0),-1))),"")</f>
        <v/>
      </c>
    </row>
    <row r="578" spans="3:5" x14ac:dyDescent="0.25">
      <c r="C578" s="9"/>
      <c r="D578" s="11" t="str">
        <f>IFERROR(INDEX(Catalogo!$E$4:$E$1502,_xlfn.IFNA(MATCH(C578,Catalogo!$C$4:$C$1502,0),-1)),"")</f>
        <v/>
      </c>
      <c r="E578" s="12" t="str">
        <f>IFERROR(_xlfn.CONCAT(INDEX(Catalogo!$G$4:$G$1502,_xlfn.IFNA(MATCH(C578,Catalogo!$C$4:$C$1502,0),-1)),"-",INDEX(Catalogo!$H$4:$H$1502,_xlfn.IFNA(MATCH(C578,Catalogo!$C$4:$C$1502,0),-1))),"")</f>
        <v/>
      </c>
    </row>
    <row r="579" spans="3:5" x14ac:dyDescent="0.25">
      <c r="C579" s="9"/>
      <c r="D579" s="11" t="str">
        <f>IFERROR(INDEX(Catalogo!$E$4:$E$1502,_xlfn.IFNA(MATCH(C579,Catalogo!$C$4:$C$1502,0),-1)),"")</f>
        <v/>
      </c>
      <c r="E579" s="12" t="str">
        <f>IFERROR(_xlfn.CONCAT(INDEX(Catalogo!$G$4:$G$1502,_xlfn.IFNA(MATCH(C579,Catalogo!$C$4:$C$1502,0),-1)),"-",INDEX(Catalogo!$H$4:$H$1502,_xlfn.IFNA(MATCH(C579,Catalogo!$C$4:$C$1502,0),-1))),"")</f>
        <v/>
      </c>
    </row>
    <row r="580" spans="3:5" x14ac:dyDescent="0.25">
      <c r="C580" s="9"/>
      <c r="D580" s="11" t="str">
        <f>IFERROR(INDEX(Catalogo!$E$4:$E$1502,_xlfn.IFNA(MATCH(C580,Catalogo!$C$4:$C$1502,0),-1)),"")</f>
        <v/>
      </c>
      <c r="E580" s="12" t="str">
        <f>IFERROR(_xlfn.CONCAT(INDEX(Catalogo!$G$4:$G$1502,_xlfn.IFNA(MATCH(C580,Catalogo!$C$4:$C$1502,0),-1)),"-",INDEX(Catalogo!$H$4:$H$1502,_xlfn.IFNA(MATCH(C580,Catalogo!$C$4:$C$1502,0),-1))),"")</f>
        <v/>
      </c>
    </row>
    <row r="581" spans="3:5" x14ac:dyDescent="0.25">
      <c r="C581" s="9"/>
      <c r="D581" s="11" t="str">
        <f>IFERROR(INDEX(Catalogo!$E$4:$E$1502,_xlfn.IFNA(MATCH(C581,Catalogo!$C$4:$C$1502,0),-1)),"")</f>
        <v/>
      </c>
      <c r="E581" s="12" t="str">
        <f>IFERROR(_xlfn.CONCAT(INDEX(Catalogo!$G$4:$G$1502,_xlfn.IFNA(MATCH(C581,Catalogo!$C$4:$C$1502,0),-1)),"-",INDEX(Catalogo!$H$4:$H$1502,_xlfn.IFNA(MATCH(C581,Catalogo!$C$4:$C$1502,0),-1))),"")</f>
        <v/>
      </c>
    </row>
    <row r="582" spans="3:5" x14ac:dyDescent="0.25">
      <c r="C582" s="9"/>
      <c r="D582" s="11" t="str">
        <f>IFERROR(INDEX(Catalogo!$E$4:$E$1502,_xlfn.IFNA(MATCH(C582,Catalogo!$C$4:$C$1502,0),-1)),"")</f>
        <v/>
      </c>
      <c r="E582" s="12" t="str">
        <f>IFERROR(_xlfn.CONCAT(INDEX(Catalogo!$G$4:$G$1502,_xlfn.IFNA(MATCH(C582,Catalogo!$C$4:$C$1502,0),-1)),"-",INDEX(Catalogo!$H$4:$H$1502,_xlfn.IFNA(MATCH(C582,Catalogo!$C$4:$C$1502,0),-1))),"")</f>
        <v/>
      </c>
    </row>
    <row r="583" spans="3:5" x14ac:dyDescent="0.25">
      <c r="C583" s="9"/>
      <c r="D583" s="11" t="str">
        <f>IFERROR(INDEX(Catalogo!$E$4:$E$1502,_xlfn.IFNA(MATCH(C583,Catalogo!$C$4:$C$1502,0),-1)),"")</f>
        <v/>
      </c>
      <c r="E583" s="12" t="str">
        <f>IFERROR(_xlfn.CONCAT(INDEX(Catalogo!$G$4:$G$1502,_xlfn.IFNA(MATCH(C583,Catalogo!$C$4:$C$1502,0),-1)),"-",INDEX(Catalogo!$H$4:$H$1502,_xlfn.IFNA(MATCH(C583,Catalogo!$C$4:$C$1502,0),-1))),"")</f>
        <v/>
      </c>
    </row>
    <row r="584" spans="3:5" x14ac:dyDescent="0.25">
      <c r="C584" s="9"/>
      <c r="D584" s="11" t="str">
        <f>IFERROR(INDEX(Catalogo!$E$4:$E$1502,_xlfn.IFNA(MATCH(C584,Catalogo!$C$4:$C$1502,0),-1)),"")</f>
        <v/>
      </c>
      <c r="E584" s="12" t="str">
        <f>IFERROR(_xlfn.CONCAT(INDEX(Catalogo!$G$4:$G$1502,_xlfn.IFNA(MATCH(C584,Catalogo!$C$4:$C$1502,0),-1)),"-",INDEX(Catalogo!$H$4:$H$1502,_xlfn.IFNA(MATCH(C584,Catalogo!$C$4:$C$1502,0),-1))),"")</f>
        <v/>
      </c>
    </row>
    <row r="585" spans="3:5" x14ac:dyDescent="0.25">
      <c r="C585" s="9"/>
      <c r="D585" s="11" t="str">
        <f>IFERROR(INDEX(Catalogo!$E$4:$E$1502,_xlfn.IFNA(MATCH(C585,Catalogo!$C$4:$C$1502,0),-1)),"")</f>
        <v/>
      </c>
      <c r="E585" s="12" t="str">
        <f>IFERROR(_xlfn.CONCAT(INDEX(Catalogo!$G$4:$G$1502,_xlfn.IFNA(MATCH(C585,Catalogo!$C$4:$C$1502,0),-1)),"-",INDEX(Catalogo!$H$4:$H$1502,_xlfn.IFNA(MATCH(C585,Catalogo!$C$4:$C$1502,0),-1))),"")</f>
        <v/>
      </c>
    </row>
    <row r="586" spans="3:5" x14ac:dyDescent="0.25">
      <c r="C586" s="9"/>
      <c r="D586" s="11" t="str">
        <f>IFERROR(INDEX(Catalogo!$E$4:$E$1502,_xlfn.IFNA(MATCH(C586,Catalogo!$C$4:$C$1502,0),-1)),"")</f>
        <v/>
      </c>
      <c r="E586" s="12" t="str">
        <f>IFERROR(_xlfn.CONCAT(INDEX(Catalogo!$G$4:$G$1502,_xlfn.IFNA(MATCH(C586,Catalogo!$C$4:$C$1502,0),-1)),"-",INDEX(Catalogo!$H$4:$H$1502,_xlfn.IFNA(MATCH(C586,Catalogo!$C$4:$C$1502,0),-1))),"")</f>
        <v/>
      </c>
    </row>
    <row r="587" spans="3:5" x14ac:dyDescent="0.25">
      <c r="C587" s="8"/>
      <c r="D587" s="11" t="str">
        <f>IFERROR(INDEX(Catalogo!$E$4:$E$1502,_xlfn.IFNA(MATCH(C587,Catalogo!$C$4:$C$1502,0),-1)),"")</f>
        <v/>
      </c>
      <c r="E587" s="12" t="str">
        <f>IFERROR(_xlfn.CONCAT(INDEX(Catalogo!$G$4:$G$1502,_xlfn.IFNA(MATCH(C587,Catalogo!$C$4:$C$1502,0),-1)),"-",INDEX(Catalogo!$H$4:$H$1502,_xlfn.IFNA(MATCH(C587,Catalogo!$C$4:$C$1502,0),-1))),"")</f>
        <v/>
      </c>
    </row>
    <row r="588" spans="3:5" x14ac:dyDescent="0.25">
      <c r="C588" s="9"/>
      <c r="D588" s="11" t="str">
        <f>IFERROR(INDEX(Catalogo!$E$4:$E$1502,_xlfn.IFNA(MATCH(C588,Catalogo!$C$4:$C$1502,0),-1)),"")</f>
        <v/>
      </c>
      <c r="E588" s="12" t="str">
        <f>IFERROR(_xlfn.CONCAT(INDEX(Catalogo!$G$4:$G$1502,_xlfn.IFNA(MATCH(C588,Catalogo!$C$4:$C$1502,0),-1)),"-",INDEX(Catalogo!$H$4:$H$1502,_xlfn.IFNA(MATCH(C588,Catalogo!$C$4:$C$1502,0),-1))),"")</f>
        <v/>
      </c>
    </row>
    <row r="589" spans="3:5" x14ac:dyDescent="0.25">
      <c r="C589" s="9"/>
      <c r="D589" s="11" t="str">
        <f>IFERROR(INDEX(Catalogo!$E$4:$E$1502,_xlfn.IFNA(MATCH(C589,Catalogo!$C$4:$C$1502,0),-1)),"")</f>
        <v/>
      </c>
      <c r="E589" s="12" t="str">
        <f>IFERROR(_xlfn.CONCAT(INDEX(Catalogo!$G$4:$G$1502,_xlfn.IFNA(MATCH(C589,Catalogo!$C$4:$C$1502,0),-1)),"-",INDEX(Catalogo!$H$4:$H$1502,_xlfn.IFNA(MATCH(C589,Catalogo!$C$4:$C$1502,0),-1))),"")</f>
        <v/>
      </c>
    </row>
    <row r="590" spans="3:5" x14ac:dyDescent="0.25">
      <c r="C590" s="9"/>
      <c r="D590" s="11" t="str">
        <f>IFERROR(INDEX(Catalogo!$E$4:$E$1502,_xlfn.IFNA(MATCH(C590,Catalogo!$C$4:$C$1502,0),-1)),"")</f>
        <v/>
      </c>
      <c r="E590" s="12" t="str">
        <f>IFERROR(_xlfn.CONCAT(INDEX(Catalogo!$G$4:$G$1502,_xlfn.IFNA(MATCH(C590,Catalogo!$C$4:$C$1502,0),-1)),"-",INDEX(Catalogo!$H$4:$H$1502,_xlfn.IFNA(MATCH(C590,Catalogo!$C$4:$C$1502,0),-1))),"")</f>
        <v/>
      </c>
    </row>
    <row r="591" spans="3:5" x14ac:dyDescent="0.25">
      <c r="C591" s="18"/>
      <c r="D591" s="11" t="str">
        <f>IFERROR(INDEX(Catalogo!$E$4:$E$1502,_xlfn.IFNA(MATCH(C591,Catalogo!$C$4:$C$1502,0),-1)),"")</f>
        <v/>
      </c>
      <c r="E591" s="12" t="str">
        <f>IFERROR(_xlfn.CONCAT(INDEX(Catalogo!$G$4:$G$1502,_xlfn.IFNA(MATCH(C591,Catalogo!$C$4:$C$1502,0),-1)),"-",INDEX(Catalogo!$H$4:$H$1502,_xlfn.IFNA(MATCH(C591,Catalogo!$C$4:$C$1502,0),-1))),"")</f>
        <v/>
      </c>
    </row>
    <row r="592" spans="3:5" x14ac:dyDescent="0.25">
      <c r="C592" s="17"/>
      <c r="D592" s="11" t="str">
        <f>IFERROR(INDEX(Catalogo!$E$4:$E$1502,_xlfn.IFNA(MATCH(C592,Catalogo!$C$4:$C$1502,0),-1)),"")</f>
        <v/>
      </c>
      <c r="E592" s="12" t="str">
        <f>IFERROR(_xlfn.CONCAT(INDEX(Catalogo!$G$4:$G$1502,_xlfn.IFNA(MATCH(C592,Catalogo!$C$4:$C$1502,0),-1)),"-",INDEX(Catalogo!$H$4:$H$1502,_xlfn.IFNA(MATCH(C592,Catalogo!$C$4:$C$1502,0),-1))),"")</f>
        <v/>
      </c>
    </row>
    <row r="593" spans="3:5" x14ac:dyDescent="0.25">
      <c r="C593" s="9"/>
      <c r="D593" s="11" t="str">
        <f>IFERROR(INDEX(Catalogo!$E$4:$E$1502,_xlfn.IFNA(MATCH(C593,Catalogo!$C$4:$C$1502,0),-1)),"")</f>
        <v/>
      </c>
      <c r="E593" s="12" t="str">
        <f>IFERROR(_xlfn.CONCAT(INDEX(Catalogo!$G$4:$G$1502,_xlfn.IFNA(MATCH(C593,Catalogo!$C$4:$C$1502,0),-1)),"-",INDEX(Catalogo!$H$4:$H$1502,_xlfn.IFNA(MATCH(C593,Catalogo!$C$4:$C$1502,0),-1))),"")</f>
        <v/>
      </c>
    </row>
    <row r="594" spans="3:5" x14ac:dyDescent="0.25">
      <c r="C594" s="9"/>
      <c r="D594" s="11" t="str">
        <f>IFERROR(INDEX(Catalogo!$E$4:$E$1502,_xlfn.IFNA(MATCH(C594,Catalogo!$C$4:$C$1502,0),-1)),"")</f>
        <v/>
      </c>
      <c r="E594" s="12" t="str">
        <f>IFERROR(_xlfn.CONCAT(INDEX(Catalogo!$G$4:$G$1502,_xlfn.IFNA(MATCH(C594,Catalogo!$C$4:$C$1502,0),-1)),"-",INDEX(Catalogo!$H$4:$H$1502,_xlfn.IFNA(MATCH(C594,Catalogo!$C$4:$C$1502,0),-1))),"")</f>
        <v/>
      </c>
    </row>
    <row r="595" spans="3:5" x14ac:dyDescent="0.25">
      <c r="C595" s="9"/>
      <c r="D595" s="11" t="str">
        <f>IFERROR(INDEX(Catalogo!$E$4:$E$1502,_xlfn.IFNA(MATCH(C595,Catalogo!$C$4:$C$1502,0),-1)),"")</f>
        <v/>
      </c>
      <c r="E595" s="12" t="str">
        <f>IFERROR(_xlfn.CONCAT(INDEX(Catalogo!$G$4:$G$1502,_xlfn.IFNA(MATCH(C595,Catalogo!$C$4:$C$1502,0),-1)),"-",INDEX(Catalogo!$H$4:$H$1502,_xlfn.IFNA(MATCH(C595,Catalogo!$C$4:$C$1502,0),-1))),"")</f>
        <v/>
      </c>
    </row>
    <row r="596" spans="3:5" x14ac:dyDescent="0.25">
      <c r="C596" s="8"/>
      <c r="D596" s="11" t="str">
        <f>IFERROR(INDEX(Catalogo!$E$4:$E$1502,_xlfn.IFNA(MATCH(C596,Catalogo!$C$4:$C$1502,0),-1)),"")</f>
        <v/>
      </c>
      <c r="E596" s="12" t="str">
        <f>IFERROR(_xlfn.CONCAT(INDEX(Catalogo!$G$4:$G$1502,_xlfn.IFNA(MATCH(C596,Catalogo!$C$4:$C$1502,0),-1)),"-",INDEX(Catalogo!$H$4:$H$1502,_xlfn.IFNA(MATCH(C596,Catalogo!$C$4:$C$1502,0),-1))),"")</f>
        <v/>
      </c>
    </row>
    <row r="597" spans="3:5" x14ac:dyDescent="0.25">
      <c r="C597" s="17"/>
      <c r="D597" s="11" t="str">
        <f>IFERROR(INDEX(Catalogo!$E$4:$E$1502,_xlfn.IFNA(MATCH(C597,Catalogo!$C$4:$C$1502,0),-1)),"")</f>
        <v/>
      </c>
      <c r="E597" s="12" t="str">
        <f>IFERROR(_xlfn.CONCAT(INDEX(Catalogo!$G$4:$G$1502,_xlfn.IFNA(MATCH(C597,Catalogo!$C$4:$C$1502,0),-1)),"-",INDEX(Catalogo!$H$4:$H$1502,_xlfn.IFNA(MATCH(C597,Catalogo!$C$4:$C$1502,0),-1))),"")</f>
        <v/>
      </c>
    </row>
    <row r="598" spans="3:5" x14ac:dyDescent="0.25">
      <c r="C598" s="17"/>
      <c r="D598" s="11" t="str">
        <f>IFERROR(INDEX(Catalogo!$E$4:$E$1502,_xlfn.IFNA(MATCH(C598,Catalogo!$C$4:$C$1502,0),-1)),"")</f>
        <v/>
      </c>
      <c r="E598" s="12" t="str">
        <f>IFERROR(_xlfn.CONCAT(INDEX(Catalogo!$G$4:$G$1502,_xlfn.IFNA(MATCH(C598,Catalogo!$C$4:$C$1502,0),-1)),"-",INDEX(Catalogo!$H$4:$H$1502,_xlfn.IFNA(MATCH(C598,Catalogo!$C$4:$C$1502,0),-1))),"")</f>
        <v/>
      </c>
    </row>
    <row r="599" spans="3:5" x14ac:dyDescent="0.25">
      <c r="C599" s="9"/>
      <c r="D599" s="11" t="str">
        <f>IFERROR(INDEX(Catalogo!$E$4:$E$1502,_xlfn.IFNA(MATCH(C599,Catalogo!$C$4:$C$1502,0),-1)),"")</f>
        <v/>
      </c>
      <c r="E599" s="12" t="str">
        <f>IFERROR(_xlfn.CONCAT(INDEX(Catalogo!$G$4:$G$1502,_xlfn.IFNA(MATCH(C599,Catalogo!$C$4:$C$1502,0),-1)),"-",INDEX(Catalogo!$H$4:$H$1502,_xlfn.IFNA(MATCH(C599,Catalogo!$C$4:$C$1502,0),-1))),"")</f>
        <v/>
      </c>
    </row>
    <row r="600" spans="3:5" x14ac:dyDescent="0.25">
      <c r="C600" s="17"/>
      <c r="D600" s="11" t="str">
        <f>IFERROR(INDEX(Catalogo!$E$4:$E$1502,_xlfn.IFNA(MATCH(C600,Catalogo!$C$4:$C$1502,0),-1)),"")</f>
        <v/>
      </c>
      <c r="E600" s="12" t="str">
        <f>IFERROR(_xlfn.CONCAT(INDEX(Catalogo!$G$4:$G$1502,_xlfn.IFNA(MATCH(C600,Catalogo!$C$4:$C$1502,0),-1)),"-",INDEX(Catalogo!$H$4:$H$1502,_xlfn.IFNA(MATCH(C600,Catalogo!$C$4:$C$1502,0),-1))),"")</f>
        <v/>
      </c>
    </row>
    <row r="601" spans="3:5" x14ac:dyDescent="0.25">
      <c r="C601" s="9"/>
      <c r="D601" s="11" t="str">
        <f>IFERROR(INDEX(Catalogo!$E$4:$E$1502,_xlfn.IFNA(MATCH(C601,Catalogo!$C$4:$C$1502,0),-1)),"")</f>
        <v/>
      </c>
      <c r="E601" s="12" t="str">
        <f>IFERROR(_xlfn.CONCAT(INDEX(Catalogo!$G$4:$G$1502,_xlfn.IFNA(MATCH(C601,Catalogo!$C$4:$C$1502,0),-1)),"-",INDEX(Catalogo!$H$4:$H$1502,_xlfn.IFNA(MATCH(C601,Catalogo!$C$4:$C$1502,0),-1))),"")</f>
        <v/>
      </c>
    </row>
    <row r="602" spans="3:5" x14ac:dyDescent="0.25">
      <c r="C602" s="18"/>
      <c r="D602" s="11" t="str">
        <f>IFERROR(INDEX(Catalogo!$E$4:$E$1502,_xlfn.IFNA(MATCH(C602,Catalogo!$C$4:$C$1502,0),-1)),"")</f>
        <v/>
      </c>
      <c r="E602" s="12" t="str">
        <f>IFERROR(_xlfn.CONCAT(INDEX(Catalogo!$G$4:$G$1502,_xlfn.IFNA(MATCH(C602,Catalogo!$C$4:$C$1502,0),-1)),"-",INDEX(Catalogo!$H$4:$H$1502,_xlfn.IFNA(MATCH(C602,Catalogo!$C$4:$C$1502,0),-1))),"")</f>
        <v/>
      </c>
    </row>
    <row r="603" spans="3:5" x14ac:dyDescent="0.25">
      <c r="C603" s="9"/>
      <c r="D603" s="11" t="str">
        <f>IFERROR(INDEX(Catalogo!$E$4:$E$1502,_xlfn.IFNA(MATCH(C603,Catalogo!$C$4:$C$1502,0),-1)),"")</f>
        <v/>
      </c>
      <c r="E603" s="12" t="str">
        <f>IFERROR(_xlfn.CONCAT(INDEX(Catalogo!$G$4:$G$1502,_xlfn.IFNA(MATCH(C603,Catalogo!$C$4:$C$1502,0),-1)),"-",INDEX(Catalogo!$H$4:$H$1502,_xlfn.IFNA(MATCH(C603,Catalogo!$C$4:$C$1502,0),-1))),"")</f>
        <v/>
      </c>
    </row>
    <row r="604" spans="3:5" x14ac:dyDescent="0.25">
      <c r="C604" s="8"/>
      <c r="D604" s="11" t="str">
        <f>IFERROR(INDEX(Catalogo!$E$4:$E$1502,_xlfn.IFNA(MATCH(C604,Catalogo!$C$4:$C$1502,0),-1)),"")</f>
        <v/>
      </c>
      <c r="E604" s="12" t="str">
        <f>IFERROR(_xlfn.CONCAT(INDEX(Catalogo!$G$4:$G$1502,_xlfn.IFNA(MATCH(C604,Catalogo!$C$4:$C$1502,0),-1)),"-",INDEX(Catalogo!$H$4:$H$1502,_xlfn.IFNA(MATCH(C604,Catalogo!$C$4:$C$1502,0),-1))),"")</f>
        <v/>
      </c>
    </row>
    <row r="605" spans="3:5" x14ac:dyDescent="0.25">
      <c r="C605" s="8"/>
      <c r="D605" s="11" t="str">
        <f>IFERROR(INDEX(Catalogo!$E$4:$E$1502,_xlfn.IFNA(MATCH(C605,Catalogo!$C$4:$C$1502,0),-1)),"")</f>
        <v/>
      </c>
      <c r="E605" s="12" t="str">
        <f>IFERROR(_xlfn.CONCAT(INDEX(Catalogo!$G$4:$G$1502,_xlfn.IFNA(MATCH(C605,Catalogo!$C$4:$C$1502,0),-1)),"-",INDEX(Catalogo!$H$4:$H$1502,_xlfn.IFNA(MATCH(C605,Catalogo!$C$4:$C$1502,0),-1))),"")</f>
        <v/>
      </c>
    </row>
    <row r="606" spans="3:5" x14ac:dyDescent="0.25">
      <c r="C606" s="9"/>
      <c r="D606" s="11" t="str">
        <f>IFERROR(INDEX(Catalogo!$E$4:$E$1502,_xlfn.IFNA(MATCH(C606,Catalogo!$C$4:$C$1502,0),-1)),"")</f>
        <v/>
      </c>
      <c r="E606" s="12" t="str">
        <f>IFERROR(_xlfn.CONCAT(INDEX(Catalogo!$G$4:$G$1502,_xlfn.IFNA(MATCH(C606,Catalogo!$C$4:$C$1502,0),-1)),"-",INDEX(Catalogo!$H$4:$H$1502,_xlfn.IFNA(MATCH(C606,Catalogo!$C$4:$C$1502,0),-1))),"")</f>
        <v/>
      </c>
    </row>
    <row r="607" spans="3:5" x14ac:dyDescent="0.25">
      <c r="C607" s="18"/>
      <c r="D607" s="11" t="str">
        <f>IFERROR(INDEX(Catalogo!$E$4:$E$1502,_xlfn.IFNA(MATCH(C607,Catalogo!$C$4:$C$1502,0),-1)),"")</f>
        <v/>
      </c>
      <c r="E607" s="12" t="str">
        <f>IFERROR(_xlfn.CONCAT(INDEX(Catalogo!$G$4:$G$1502,_xlfn.IFNA(MATCH(C607,Catalogo!$C$4:$C$1502,0),-1)),"-",INDEX(Catalogo!$H$4:$H$1502,_xlfn.IFNA(MATCH(C607,Catalogo!$C$4:$C$1502,0),-1))),"")</f>
        <v/>
      </c>
    </row>
    <row r="608" spans="3:5" x14ac:dyDescent="0.25">
      <c r="C608" s="20"/>
      <c r="D608" s="11" t="str">
        <f>IFERROR(INDEX(Catalogo!$E$4:$E$1502,_xlfn.IFNA(MATCH(C608,Catalogo!$C$4:$C$1502,0),-1)),"")</f>
        <v/>
      </c>
      <c r="E608" s="12" t="str">
        <f>IFERROR(_xlfn.CONCAT(INDEX(Catalogo!$G$4:$G$1502,_xlfn.IFNA(MATCH(C608,Catalogo!$C$4:$C$1502,0),-1)),"-",INDEX(Catalogo!$H$4:$H$1502,_xlfn.IFNA(MATCH(C608,Catalogo!$C$4:$C$1502,0),-1))),"")</f>
        <v/>
      </c>
    </row>
    <row r="609" spans="3:5" x14ac:dyDescent="0.25">
      <c r="C609" s="18"/>
      <c r="D609" s="11" t="str">
        <f>IFERROR(INDEX(Catalogo!$E$4:$E$1502,_xlfn.IFNA(MATCH(C609,Catalogo!$C$4:$C$1502,0),-1)),"")</f>
        <v/>
      </c>
      <c r="E609" s="12" t="str">
        <f>IFERROR(_xlfn.CONCAT(INDEX(Catalogo!$G$4:$G$1502,_xlfn.IFNA(MATCH(C609,Catalogo!$C$4:$C$1502,0),-1)),"-",INDEX(Catalogo!$H$4:$H$1502,_xlfn.IFNA(MATCH(C609,Catalogo!$C$4:$C$1502,0),-1))),"")</f>
        <v/>
      </c>
    </row>
    <row r="610" spans="3:5" x14ac:dyDescent="0.25">
      <c r="C610" s="9"/>
      <c r="D610" s="11" t="str">
        <f>IFERROR(INDEX(Catalogo!$E$4:$E$1502,_xlfn.IFNA(MATCH(C610,Catalogo!$C$4:$C$1502,0),-1)),"")</f>
        <v/>
      </c>
      <c r="E610" s="12" t="str">
        <f>IFERROR(_xlfn.CONCAT(INDEX(Catalogo!$G$4:$G$1502,_xlfn.IFNA(MATCH(C610,Catalogo!$C$4:$C$1502,0),-1)),"-",INDEX(Catalogo!$H$4:$H$1502,_xlfn.IFNA(MATCH(C610,Catalogo!$C$4:$C$1502,0),-1))),"")</f>
        <v/>
      </c>
    </row>
    <row r="611" spans="3:5" x14ac:dyDescent="0.25">
      <c r="C611" s="8"/>
      <c r="D611" s="11" t="str">
        <f>IFERROR(INDEX(Catalogo!$E$4:$E$1502,_xlfn.IFNA(MATCH(C611,Catalogo!$C$4:$C$1502,0),-1)),"")</f>
        <v/>
      </c>
      <c r="E611" s="12" t="str">
        <f>IFERROR(_xlfn.CONCAT(INDEX(Catalogo!$G$4:$G$1502,_xlfn.IFNA(MATCH(C611,Catalogo!$C$4:$C$1502,0),-1)),"-",INDEX(Catalogo!$H$4:$H$1502,_xlfn.IFNA(MATCH(C611,Catalogo!$C$4:$C$1502,0),-1))),"")</f>
        <v/>
      </c>
    </row>
    <row r="612" spans="3:5" x14ac:dyDescent="0.25">
      <c r="C612" s="9"/>
      <c r="D612" s="11" t="str">
        <f>IFERROR(INDEX(Catalogo!$E$4:$E$1502,_xlfn.IFNA(MATCH(C612,Catalogo!$C$4:$C$1502,0),-1)),"")</f>
        <v/>
      </c>
      <c r="E612" s="12" t="str">
        <f>IFERROR(_xlfn.CONCAT(INDEX(Catalogo!$G$4:$G$1502,_xlfn.IFNA(MATCH(C612,Catalogo!$C$4:$C$1502,0),-1)),"-",INDEX(Catalogo!$H$4:$H$1502,_xlfn.IFNA(MATCH(C612,Catalogo!$C$4:$C$1502,0),-1))),"")</f>
        <v/>
      </c>
    </row>
    <row r="613" spans="3:5" x14ac:dyDescent="0.25">
      <c r="C613" s="9"/>
      <c r="D613" s="11" t="str">
        <f>IFERROR(INDEX(Catalogo!$E$4:$E$1502,_xlfn.IFNA(MATCH(C613,Catalogo!$C$4:$C$1502,0),-1)),"")</f>
        <v/>
      </c>
      <c r="E613" s="12" t="str">
        <f>IFERROR(_xlfn.CONCAT(INDEX(Catalogo!$G$4:$G$1502,_xlfn.IFNA(MATCH(C613,Catalogo!$C$4:$C$1502,0),-1)),"-",INDEX(Catalogo!$H$4:$H$1502,_xlfn.IFNA(MATCH(C613,Catalogo!$C$4:$C$1502,0),-1))),"")</f>
        <v/>
      </c>
    </row>
    <row r="614" spans="3:5" x14ac:dyDescent="0.25">
      <c r="C614" s="9"/>
      <c r="D614" s="11" t="str">
        <f>IFERROR(INDEX(Catalogo!$E$4:$E$1502,_xlfn.IFNA(MATCH(C614,Catalogo!$C$4:$C$1502,0),-1)),"")</f>
        <v/>
      </c>
      <c r="E614" s="12" t="str">
        <f>IFERROR(_xlfn.CONCAT(INDEX(Catalogo!$G$4:$G$1502,_xlfn.IFNA(MATCH(C614,Catalogo!$C$4:$C$1502,0),-1)),"-",INDEX(Catalogo!$H$4:$H$1502,_xlfn.IFNA(MATCH(C614,Catalogo!$C$4:$C$1502,0),-1))),"")</f>
        <v/>
      </c>
    </row>
    <row r="615" spans="3:5" x14ac:dyDescent="0.25">
      <c r="C615" s="8"/>
      <c r="D615" s="11" t="str">
        <f>IFERROR(INDEX(Catalogo!$E$4:$E$1502,_xlfn.IFNA(MATCH(C615,Catalogo!$C$4:$C$1502,0),-1)),"")</f>
        <v/>
      </c>
      <c r="E615" s="12" t="str">
        <f>IFERROR(_xlfn.CONCAT(INDEX(Catalogo!$G$4:$G$1502,_xlfn.IFNA(MATCH(C615,Catalogo!$C$4:$C$1502,0),-1)),"-",INDEX(Catalogo!$H$4:$H$1502,_xlfn.IFNA(MATCH(C615,Catalogo!$C$4:$C$1502,0),-1))),"")</f>
        <v/>
      </c>
    </row>
    <row r="616" spans="3:5" x14ac:dyDescent="0.25">
      <c r="C616" s="8"/>
      <c r="D616" s="11" t="str">
        <f>IFERROR(INDEX(Catalogo!$E$4:$E$1502,_xlfn.IFNA(MATCH(C616,Catalogo!$C$4:$C$1502,0),-1)),"")</f>
        <v/>
      </c>
      <c r="E616" s="12" t="str">
        <f>IFERROR(_xlfn.CONCAT(INDEX(Catalogo!$G$4:$G$1502,_xlfn.IFNA(MATCH(C616,Catalogo!$C$4:$C$1502,0),-1)),"-",INDEX(Catalogo!$H$4:$H$1502,_xlfn.IFNA(MATCH(C616,Catalogo!$C$4:$C$1502,0),-1))),"")</f>
        <v/>
      </c>
    </row>
    <row r="617" spans="3:5" x14ac:dyDescent="0.25">
      <c r="C617" s="9"/>
      <c r="D617" s="11" t="str">
        <f>IFERROR(INDEX(Catalogo!$E$4:$E$1502,_xlfn.IFNA(MATCH(C617,Catalogo!$C$4:$C$1502,0),-1)),"")</f>
        <v/>
      </c>
      <c r="E617" s="12" t="str">
        <f>IFERROR(_xlfn.CONCAT(INDEX(Catalogo!$G$4:$G$1502,_xlfn.IFNA(MATCH(C617,Catalogo!$C$4:$C$1502,0),-1)),"-",INDEX(Catalogo!$H$4:$H$1502,_xlfn.IFNA(MATCH(C617,Catalogo!$C$4:$C$1502,0),-1))),"")</f>
        <v/>
      </c>
    </row>
    <row r="618" spans="3:5" x14ac:dyDescent="0.25">
      <c r="C618" s="9"/>
      <c r="D618" s="11" t="str">
        <f>IFERROR(INDEX(Catalogo!$E$4:$E$1502,_xlfn.IFNA(MATCH(C618,Catalogo!$C$4:$C$1502,0),-1)),"")</f>
        <v/>
      </c>
      <c r="E618" s="12" t="str">
        <f>IFERROR(_xlfn.CONCAT(INDEX(Catalogo!$G$4:$G$1502,_xlfn.IFNA(MATCH(C618,Catalogo!$C$4:$C$1502,0),-1)),"-",INDEX(Catalogo!$H$4:$H$1502,_xlfn.IFNA(MATCH(C618,Catalogo!$C$4:$C$1502,0),-1))),"")</f>
        <v/>
      </c>
    </row>
    <row r="619" spans="3:5" x14ac:dyDescent="0.25">
      <c r="C619" s="8"/>
      <c r="D619" s="11" t="str">
        <f>IFERROR(INDEX(Catalogo!$E$4:$E$1502,_xlfn.IFNA(MATCH(C619,Catalogo!$C$4:$C$1502,0),-1)),"")</f>
        <v/>
      </c>
      <c r="E619" s="12" t="str">
        <f>IFERROR(_xlfn.CONCAT(INDEX(Catalogo!$G$4:$G$1502,_xlfn.IFNA(MATCH(C619,Catalogo!$C$4:$C$1502,0),-1)),"-",INDEX(Catalogo!$H$4:$H$1502,_xlfn.IFNA(MATCH(C619,Catalogo!$C$4:$C$1502,0),-1))),"")</f>
        <v/>
      </c>
    </row>
    <row r="620" spans="3:5" x14ac:dyDescent="0.25">
      <c r="C620" s="9"/>
      <c r="D620" s="11" t="str">
        <f>IFERROR(INDEX(Catalogo!$E$4:$E$1502,_xlfn.IFNA(MATCH(C620,Catalogo!$C$4:$C$1502,0),-1)),"")</f>
        <v/>
      </c>
      <c r="E620" s="12" t="str">
        <f>IFERROR(_xlfn.CONCAT(INDEX(Catalogo!$G$4:$G$1502,_xlfn.IFNA(MATCH(C620,Catalogo!$C$4:$C$1502,0),-1)),"-",INDEX(Catalogo!$H$4:$H$1502,_xlfn.IFNA(MATCH(C620,Catalogo!$C$4:$C$1502,0),-1))),"")</f>
        <v/>
      </c>
    </row>
    <row r="621" spans="3:5" x14ac:dyDescent="0.25">
      <c r="C621" s="9"/>
      <c r="D621" s="11" t="str">
        <f>IFERROR(INDEX(Catalogo!$E$4:$E$1502,_xlfn.IFNA(MATCH(C621,Catalogo!$C$4:$C$1502,0),-1)),"")</f>
        <v/>
      </c>
      <c r="E621" s="12" t="str">
        <f>IFERROR(_xlfn.CONCAT(INDEX(Catalogo!$G$4:$G$1502,_xlfn.IFNA(MATCH(C621,Catalogo!$C$4:$C$1502,0),-1)),"-",INDEX(Catalogo!$H$4:$H$1502,_xlfn.IFNA(MATCH(C621,Catalogo!$C$4:$C$1502,0),-1))),"")</f>
        <v/>
      </c>
    </row>
    <row r="622" spans="3:5" x14ac:dyDescent="0.25">
      <c r="C622" s="8"/>
      <c r="D622" s="11" t="str">
        <f>IFERROR(INDEX(Catalogo!$E$4:$E$1502,_xlfn.IFNA(MATCH(C622,Catalogo!$C$4:$C$1502,0),-1)),"")</f>
        <v/>
      </c>
      <c r="E622" s="12" t="str">
        <f>IFERROR(_xlfn.CONCAT(INDEX(Catalogo!$G$4:$G$1502,_xlfn.IFNA(MATCH(C622,Catalogo!$C$4:$C$1502,0),-1)),"-",INDEX(Catalogo!$H$4:$H$1502,_xlfn.IFNA(MATCH(C622,Catalogo!$C$4:$C$1502,0),-1))),"")</f>
        <v/>
      </c>
    </row>
    <row r="623" spans="3:5" x14ac:dyDescent="0.25">
      <c r="C623" s="8"/>
      <c r="D623" s="11" t="str">
        <f>IFERROR(INDEX(Catalogo!$E$4:$E$1502,_xlfn.IFNA(MATCH(C623,Catalogo!$C$4:$C$1502,0),-1)),"")</f>
        <v/>
      </c>
      <c r="E623" s="12" t="str">
        <f>IFERROR(_xlfn.CONCAT(INDEX(Catalogo!$G$4:$G$1502,_xlfn.IFNA(MATCH(C623,Catalogo!$C$4:$C$1502,0),-1)),"-",INDEX(Catalogo!$H$4:$H$1502,_xlfn.IFNA(MATCH(C623,Catalogo!$C$4:$C$1502,0),-1))),"")</f>
        <v/>
      </c>
    </row>
    <row r="624" spans="3:5" x14ac:dyDescent="0.25">
      <c r="C624" s="8"/>
      <c r="D624" s="11" t="str">
        <f>IFERROR(INDEX(Catalogo!$E$4:$E$1502,_xlfn.IFNA(MATCH(C624,Catalogo!$C$4:$C$1502,0),-1)),"")</f>
        <v/>
      </c>
      <c r="E624" s="12" t="str">
        <f>IFERROR(_xlfn.CONCAT(INDEX(Catalogo!$G$4:$G$1502,_xlfn.IFNA(MATCH(C624,Catalogo!$C$4:$C$1502,0),-1)),"-",INDEX(Catalogo!$H$4:$H$1502,_xlfn.IFNA(MATCH(C624,Catalogo!$C$4:$C$1502,0),-1))),"")</f>
        <v/>
      </c>
    </row>
    <row r="625" spans="3:5" x14ac:dyDescent="0.25">
      <c r="C625" s="9"/>
      <c r="D625" s="11" t="str">
        <f>IFERROR(INDEX(Catalogo!$E$4:$E$1502,_xlfn.IFNA(MATCH(C625,Catalogo!$C$4:$C$1502,0),-1)),"")</f>
        <v/>
      </c>
      <c r="E625" s="12" t="str">
        <f>IFERROR(_xlfn.CONCAT(INDEX(Catalogo!$G$4:$G$1502,_xlfn.IFNA(MATCH(C625,Catalogo!$C$4:$C$1502,0),-1)),"-",INDEX(Catalogo!$H$4:$H$1502,_xlfn.IFNA(MATCH(C625,Catalogo!$C$4:$C$1502,0),-1))),"")</f>
        <v/>
      </c>
    </row>
    <row r="626" spans="3:5" x14ac:dyDescent="0.25">
      <c r="C626" s="9"/>
      <c r="D626" s="11" t="str">
        <f>IFERROR(INDEX(Catalogo!$E$4:$E$1502,_xlfn.IFNA(MATCH(C626,Catalogo!$C$4:$C$1502,0),-1)),"")</f>
        <v/>
      </c>
      <c r="E626" s="12" t="str">
        <f>IFERROR(_xlfn.CONCAT(INDEX(Catalogo!$G$4:$G$1502,_xlfn.IFNA(MATCH(C626,Catalogo!$C$4:$C$1502,0),-1)),"-",INDEX(Catalogo!$H$4:$H$1502,_xlfn.IFNA(MATCH(C626,Catalogo!$C$4:$C$1502,0),-1))),"")</f>
        <v/>
      </c>
    </row>
    <row r="627" spans="3:5" x14ac:dyDescent="0.25">
      <c r="C627" s="8"/>
      <c r="D627" s="11" t="str">
        <f>IFERROR(INDEX(Catalogo!$E$4:$E$1502,_xlfn.IFNA(MATCH(C627,Catalogo!$C$4:$C$1502,0),-1)),"")</f>
        <v/>
      </c>
      <c r="E627" s="12" t="str">
        <f>IFERROR(_xlfn.CONCAT(INDEX(Catalogo!$G$4:$G$1502,_xlfn.IFNA(MATCH(C627,Catalogo!$C$4:$C$1502,0),-1)),"-",INDEX(Catalogo!$H$4:$H$1502,_xlfn.IFNA(MATCH(C627,Catalogo!$C$4:$C$1502,0),-1))),"")</f>
        <v/>
      </c>
    </row>
    <row r="628" spans="3:5" x14ac:dyDescent="0.25">
      <c r="C628" s="9"/>
      <c r="D628" s="11" t="str">
        <f>IFERROR(INDEX(Catalogo!$E$4:$E$1502,_xlfn.IFNA(MATCH(C628,Catalogo!$C$4:$C$1502,0),-1)),"")</f>
        <v/>
      </c>
      <c r="E628" s="12" t="str">
        <f>IFERROR(_xlfn.CONCAT(INDEX(Catalogo!$G$4:$G$1502,_xlfn.IFNA(MATCH(C628,Catalogo!$C$4:$C$1502,0),-1)),"-",INDEX(Catalogo!$H$4:$H$1502,_xlfn.IFNA(MATCH(C628,Catalogo!$C$4:$C$1502,0),-1))),"")</f>
        <v/>
      </c>
    </row>
    <row r="629" spans="3:5" x14ac:dyDescent="0.25">
      <c r="C629" s="9"/>
      <c r="D629" s="11" t="str">
        <f>IFERROR(INDEX(Catalogo!$E$4:$E$1502,_xlfn.IFNA(MATCH(C629,Catalogo!$C$4:$C$1502,0),-1)),"")</f>
        <v/>
      </c>
      <c r="E629" s="12" t="str">
        <f>IFERROR(_xlfn.CONCAT(INDEX(Catalogo!$G$4:$G$1502,_xlfn.IFNA(MATCH(C629,Catalogo!$C$4:$C$1502,0),-1)),"-",INDEX(Catalogo!$H$4:$H$1502,_xlfn.IFNA(MATCH(C629,Catalogo!$C$4:$C$1502,0),-1))),"")</f>
        <v/>
      </c>
    </row>
    <row r="630" spans="3:5" x14ac:dyDescent="0.25">
      <c r="C630" s="8"/>
      <c r="D630" s="11" t="str">
        <f>IFERROR(INDEX(Catalogo!$E$4:$E$1502,_xlfn.IFNA(MATCH(C630,Catalogo!$C$4:$C$1502,0),-1)),"")</f>
        <v/>
      </c>
      <c r="E630" s="12" t="str">
        <f>IFERROR(_xlfn.CONCAT(INDEX(Catalogo!$G$4:$G$1502,_xlfn.IFNA(MATCH(C630,Catalogo!$C$4:$C$1502,0),-1)),"-",INDEX(Catalogo!$H$4:$H$1502,_xlfn.IFNA(MATCH(C630,Catalogo!$C$4:$C$1502,0),-1))),"")</f>
        <v/>
      </c>
    </row>
    <row r="631" spans="3:5" x14ac:dyDescent="0.25">
      <c r="C631" s="9"/>
      <c r="D631" s="11" t="str">
        <f>IFERROR(INDEX(Catalogo!$E$4:$E$1502,_xlfn.IFNA(MATCH(C631,Catalogo!$C$4:$C$1502,0),-1)),"")</f>
        <v/>
      </c>
      <c r="E631" s="12" t="str">
        <f>IFERROR(_xlfn.CONCAT(INDEX(Catalogo!$G$4:$G$1502,_xlfn.IFNA(MATCH(C631,Catalogo!$C$4:$C$1502,0),-1)),"-",INDEX(Catalogo!$H$4:$H$1502,_xlfn.IFNA(MATCH(C631,Catalogo!$C$4:$C$1502,0),-1))),"")</f>
        <v/>
      </c>
    </row>
    <row r="632" spans="3:5" x14ac:dyDescent="0.25">
      <c r="C632" s="9"/>
      <c r="D632" s="11" t="str">
        <f>IFERROR(INDEX(Catalogo!$E$4:$E$1502,_xlfn.IFNA(MATCH(C632,Catalogo!$C$4:$C$1502,0),-1)),"")</f>
        <v/>
      </c>
      <c r="E632" s="12" t="str">
        <f>IFERROR(_xlfn.CONCAT(INDEX(Catalogo!$G$4:$G$1502,_xlfn.IFNA(MATCH(C632,Catalogo!$C$4:$C$1502,0),-1)),"-",INDEX(Catalogo!$H$4:$H$1502,_xlfn.IFNA(MATCH(C632,Catalogo!$C$4:$C$1502,0),-1))),"")</f>
        <v/>
      </c>
    </row>
    <row r="633" spans="3:5" x14ac:dyDescent="0.25">
      <c r="C633" s="9"/>
      <c r="D633" s="11" t="str">
        <f>IFERROR(INDEX(Catalogo!$E$4:$E$1502,_xlfn.IFNA(MATCH(C633,Catalogo!$C$4:$C$1502,0),-1)),"")</f>
        <v/>
      </c>
      <c r="E633" s="12" t="str">
        <f>IFERROR(_xlfn.CONCAT(INDEX(Catalogo!$G$4:$G$1502,_xlfn.IFNA(MATCH(C633,Catalogo!$C$4:$C$1502,0),-1)),"-",INDEX(Catalogo!$H$4:$H$1502,_xlfn.IFNA(MATCH(C633,Catalogo!$C$4:$C$1502,0),-1))),"")</f>
        <v/>
      </c>
    </row>
    <row r="634" spans="3:5" x14ac:dyDescent="0.25">
      <c r="C634" s="9"/>
      <c r="D634" s="11" t="str">
        <f>IFERROR(INDEX(Catalogo!$E$4:$E$1502,_xlfn.IFNA(MATCH(C634,Catalogo!$C$4:$C$1502,0),-1)),"")</f>
        <v/>
      </c>
      <c r="E634" s="12" t="str">
        <f>IFERROR(_xlfn.CONCAT(INDEX(Catalogo!$G$4:$G$1502,_xlfn.IFNA(MATCH(C634,Catalogo!$C$4:$C$1502,0),-1)),"-",INDEX(Catalogo!$H$4:$H$1502,_xlfn.IFNA(MATCH(C634,Catalogo!$C$4:$C$1502,0),-1))),"")</f>
        <v/>
      </c>
    </row>
    <row r="635" spans="3:5" x14ac:dyDescent="0.25">
      <c r="C635" s="8"/>
      <c r="D635" s="11" t="str">
        <f>IFERROR(INDEX(Catalogo!$E$4:$E$1502,_xlfn.IFNA(MATCH(C635,Catalogo!$C$4:$C$1502,0),-1)),"")</f>
        <v/>
      </c>
      <c r="E635" s="12" t="str">
        <f>IFERROR(_xlfn.CONCAT(INDEX(Catalogo!$G$4:$G$1502,_xlfn.IFNA(MATCH(C635,Catalogo!$C$4:$C$1502,0),-1)),"-",INDEX(Catalogo!$H$4:$H$1502,_xlfn.IFNA(MATCH(C635,Catalogo!$C$4:$C$1502,0),-1))),"")</f>
        <v/>
      </c>
    </row>
    <row r="636" spans="3:5" x14ac:dyDescent="0.25">
      <c r="C636" s="8"/>
      <c r="D636" s="11" t="str">
        <f>IFERROR(INDEX(Catalogo!$E$4:$E$1502,_xlfn.IFNA(MATCH(C636,Catalogo!$C$4:$C$1502,0),-1)),"")</f>
        <v/>
      </c>
      <c r="E636" s="12" t="str">
        <f>IFERROR(_xlfn.CONCAT(INDEX(Catalogo!$G$4:$G$1502,_xlfn.IFNA(MATCH(C636,Catalogo!$C$4:$C$1502,0),-1)),"-",INDEX(Catalogo!$H$4:$H$1502,_xlfn.IFNA(MATCH(C636,Catalogo!$C$4:$C$1502,0),-1))),"")</f>
        <v/>
      </c>
    </row>
    <row r="637" spans="3:5" x14ac:dyDescent="0.25">
      <c r="C637" s="9"/>
      <c r="D637" s="11" t="str">
        <f>IFERROR(INDEX(Catalogo!$E$4:$E$1502,_xlfn.IFNA(MATCH(C637,Catalogo!$C$4:$C$1502,0),-1)),"")</f>
        <v/>
      </c>
      <c r="E637" s="12" t="str">
        <f>IFERROR(_xlfn.CONCAT(INDEX(Catalogo!$G$4:$G$1502,_xlfn.IFNA(MATCH(C637,Catalogo!$C$4:$C$1502,0),-1)),"-",INDEX(Catalogo!$H$4:$H$1502,_xlfn.IFNA(MATCH(C637,Catalogo!$C$4:$C$1502,0),-1))),"")</f>
        <v/>
      </c>
    </row>
    <row r="638" spans="3:5" x14ac:dyDescent="0.25">
      <c r="C638" s="9"/>
      <c r="D638" s="11" t="str">
        <f>IFERROR(INDEX(Catalogo!$E$4:$E$1502,_xlfn.IFNA(MATCH(C638,Catalogo!$C$4:$C$1502,0),-1)),"")</f>
        <v/>
      </c>
      <c r="E638" s="12" t="str">
        <f>IFERROR(_xlfn.CONCAT(INDEX(Catalogo!$G$4:$G$1502,_xlfn.IFNA(MATCH(C638,Catalogo!$C$4:$C$1502,0),-1)),"-",INDEX(Catalogo!$H$4:$H$1502,_xlfn.IFNA(MATCH(C638,Catalogo!$C$4:$C$1502,0),-1))),"")</f>
        <v/>
      </c>
    </row>
    <row r="639" spans="3:5" x14ac:dyDescent="0.25">
      <c r="C639" s="9"/>
      <c r="D639" s="11" t="str">
        <f>IFERROR(INDEX(Catalogo!$E$4:$E$1502,_xlfn.IFNA(MATCH(C639,Catalogo!$C$4:$C$1502,0),-1)),"")</f>
        <v/>
      </c>
      <c r="E639" s="12" t="str">
        <f>IFERROR(_xlfn.CONCAT(INDEX(Catalogo!$G$4:$G$1502,_xlfn.IFNA(MATCH(C639,Catalogo!$C$4:$C$1502,0),-1)),"-",INDEX(Catalogo!$H$4:$H$1502,_xlfn.IFNA(MATCH(C639,Catalogo!$C$4:$C$1502,0),-1))),"")</f>
        <v/>
      </c>
    </row>
    <row r="640" spans="3:5" x14ac:dyDescent="0.25">
      <c r="C640" s="9"/>
      <c r="D640" s="11" t="str">
        <f>IFERROR(INDEX(Catalogo!$E$4:$E$1502,_xlfn.IFNA(MATCH(C640,Catalogo!$C$4:$C$1502,0),-1)),"")</f>
        <v/>
      </c>
      <c r="E640" s="12" t="str">
        <f>IFERROR(_xlfn.CONCAT(INDEX(Catalogo!$G$4:$G$1502,_xlfn.IFNA(MATCH(C640,Catalogo!$C$4:$C$1502,0),-1)),"-",INDEX(Catalogo!$H$4:$H$1502,_xlfn.IFNA(MATCH(C640,Catalogo!$C$4:$C$1502,0),-1))),"")</f>
        <v/>
      </c>
    </row>
    <row r="641" spans="3:5" x14ac:dyDescent="0.25">
      <c r="C641" s="9"/>
      <c r="D641" s="11" t="str">
        <f>IFERROR(INDEX(Catalogo!$E$4:$E$1502,_xlfn.IFNA(MATCH(C641,Catalogo!$C$4:$C$1502,0),-1)),"")</f>
        <v/>
      </c>
      <c r="E641" s="12" t="str">
        <f>IFERROR(_xlfn.CONCAT(INDEX(Catalogo!$G$4:$G$1502,_xlfn.IFNA(MATCH(C641,Catalogo!$C$4:$C$1502,0),-1)),"-",INDEX(Catalogo!$H$4:$H$1502,_xlfn.IFNA(MATCH(C641,Catalogo!$C$4:$C$1502,0),-1))),"")</f>
        <v/>
      </c>
    </row>
    <row r="642" spans="3:5" x14ac:dyDescent="0.25">
      <c r="C642" s="8"/>
      <c r="D642" s="11" t="str">
        <f>IFERROR(INDEX(Catalogo!$E$4:$E$1502,_xlfn.IFNA(MATCH(C642,Catalogo!$C$4:$C$1502,0),-1)),"")</f>
        <v/>
      </c>
      <c r="E642" s="12" t="str">
        <f>IFERROR(_xlfn.CONCAT(INDEX(Catalogo!$G$4:$G$1502,_xlfn.IFNA(MATCH(C642,Catalogo!$C$4:$C$1502,0),-1)),"-",INDEX(Catalogo!$H$4:$H$1502,_xlfn.IFNA(MATCH(C642,Catalogo!$C$4:$C$1502,0),-1))),"")</f>
        <v/>
      </c>
    </row>
    <row r="643" spans="3:5" x14ac:dyDescent="0.25">
      <c r="C643" s="9"/>
      <c r="D643" s="11" t="str">
        <f>IFERROR(INDEX(Catalogo!$E$4:$E$1502,_xlfn.IFNA(MATCH(C643,Catalogo!$C$4:$C$1502,0),-1)),"")</f>
        <v/>
      </c>
      <c r="E643" s="12" t="str">
        <f>IFERROR(_xlfn.CONCAT(INDEX(Catalogo!$G$4:$G$1502,_xlfn.IFNA(MATCH(C643,Catalogo!$C$4:$C$1502,0),-1)),"-",INDEX(Catalogo!$H$4:$H$1502,_xlfn.IFNA(MATCH(C643,Catalogo!$C$4:$C$1502,0),-1))),"")</f>
        <v/>
      </c>
    </row>
    <row r="644" spans="3:5" x14ac:dyDescent="0.25">
      <c r="C644" s="9"/>
      <c r="D644" s="11" t="str">
        <f>IFERROR(INDEX(Catalogo!$E$4:$E$1502,_xlfn.IFNA(MATCH(C644,Catalogo!$C$4:$C$1502,0),-1)),"")</f>
        <v/>
      </c>
      <c r="E644" s="12" t="str">
        <f>IFERROR(_xlfn.CONCAT(INDEX(Catalogo!$G$4:$G$1502,_xlfn.IFNA(MATCH(C644,Catalogo!$C$4:$C$1502,0),-1)),"-",INDEX(Catalogo!$H$4:$H$1502,_xlfn.IFNA(MATCH(C644,Catalogo!$C$4:$C$1502,0),-1))),"")</f>
        <v/>
      </c>
    </row>
    <row r="645" spans="3:5" x14ac:dyDescent="0.25">
      <c r="C645" s="9"/>
      <c r="D645" s="11" t="str">
        <f>IFERROR(INDEX(Catalogo!$E$4:$E$1502,_xlfn.IFNA(MATCH(C645,Catalogo!$C$4:$C$1502,0),-1)),"")</f>
        <v/>
      </c>
      <c r="E645" s="12" t="str">
        <f>IFERROR(_xlfn.CONCAT(INDEX(Catalogo!$G$4:$G$1502,_xlfn.IFNA(MATCH(C645,Catalogo!$C$4:$C$1502,0),-1)),"-",INDEX(Catalogo!$H$4:$H$1502,_xlfn.IFNA(MATCH(C645,Catalogo!$C$4:$C$1502,0),-1))),"")</f>
        <v/>
      </c>
    </row>
    <row r="646" spans="3:5" x14ac:dyDescent="0.25">
      <c r="C646" s="9"/>
      <c r="D646" s="11" t="str">
        <f>IFERROR(INDEX(Catalogo!$E$4:$E$1502,_xlfn.IFNA(MATCH(C646,Catalogo!$C$4:$C$1502,0),-1)),"")</f>
        <v/>
      </c>
      <c r="E646" s="12" t="str">
        <f>IFERROR(_xlfn.CONCAT(INDEX(Catalogo!$G$4:$G$1502,_xlfn.IFNA(MATCH(C646,Catalogo!$C$4:$C$1502,0),-1)),"-",INDEX(Catalogo!$H$4:$H$1502,_xlfn.IFNA(MATCH(C646,Catalogo!$C$4:$C$1502,0),-1))),"")</f>
        <v/>
      </c>
    </row>
    <row r="647" spans="3:5" x14ac:dyDescent="0.25">
      <c r="C647" s="9"/>
      <c r="D647" s="11" t="str">
        <f>IFERROR(INDEX(Catalogo!$E$4:$E$1502,_xlfn.IFNA(MATCH(C647,Catalogo!$C$4:$C$1502,0),-1)),"")</f>
        <v/>
      </c>
      <c r="E647" s="12" t="str">
        <f>IFERROR(_xlfn.CONCAT(INDEX(Catalogo!$G$4:$G$1502,_xlfn.IFNA(MATCH(C647,Catalogo!$C$4:$C$1502,0),-1)),"-",INDEX(Catalogo!$H$4:$H$1502,_xlfn.IFNA(MATCH(C647,Catalogo!$C$4:$C$1502,0),-1))),"")</f>
        <v/>
      </c>
    </row>
    <row r="648" spans="3:5" x14ac:dyDescent="0.25">
      <c r="C648" s="9"/>
      <c r="D648" s="11" t="str">
        <f>IFERROR(INDEX(Catalogo!$E$4:$E$1502,_xlfn.IFNA(MATCH(C648,Catalogo!$C$4:$C$1502,0),-1)),"")</f>
        <v/>
      </c>
      <c r="E648" s="12" t="str">
        <f>IFERROR(_xlfn.CONCAT(INDEX(Catalogo!$G$4:$G$1502,_xlfn.IFNA(MATCH(C648,Catalogo!$C$4:$C$1502,0),-1)),"-",INDEX(Catalogo!$H$4:$H$1502,_xlfn.IFNA(MATCH(C648,Catalogo!$C$4:$C$1502,0),-1))),"")</f>
        <v/>
      </c>
    </row>
    <row r="649" spans="3:5" x14ac:dyDescent="0.25">
      <c r="C649" s="9"/>
      <c r="D649" s="11" t="str">
        <f>IFERROR(INDEX(Catalogo!$E$4:$E$1502,_xlfn.IFNA(MATCH(C649,Catalogo!$C$4:$C$1502,0),-1)),"")</f>
        <v/>
      </c>
      <c r="E649" s="12" t="str">
        <f>IFERROR(_xlfn.CONCAT(INDEX(Catalogo!$G$4:$G$1502,_xlfn.IFNA(MATCH(C649,Catalogo!$C$4:$C$1502,0),-1)),"-",INDEX(Catalogo!$H$4:$H$1502,_xlfn.IFNA(MATCH(C649,Catalogo!$C$4:$C$1502,0),-1))),"")</f>
        <v/>
      </c>
    </row>
    <row r="650" spans="3:5" x14ac:dyDescent="0.25">
      <c r="C650" s="9"/>
      <c r="D650" s="11" t="str">
        <f>IFERROR(INDEX(Catalogo!$E$4:$E$1502,_xlfn.IFNA(MATCH(C650,Catalogo!$C$4:$C$1502,0),-1)),"")</f>
        <v/>
      </c>
      <c r="E650" s="12" t="str">
        <f>IFERROR(_xlfn.CONCAT(INDEX(Catalogo!$G$4:$G$1502,_xlfn.IFNA(MATCH(C650,Catalogo!$C$4:$C$1502,0),-1)),"-",INDEX(Catalogo!$H$4:$H$1502,_xlfn.IFNA(MATCH(C650,Catalogo!$C$4:$C$1502,0),-1))),"")</f>
        <v/>
      </c>
    </row>
    <row r="651" spans="3:5" x14ac:dyDescent="0.25">
      <c r="C651" s="9"/>
      <c r="D651" s="11" t="str">
        <f>IFERROR(INDEX(Catalogo!$E$4:$E$1502,_xlfn.IFNA(MATCH(C651,Catalogo!$C$4:$C$1502,0),-1)),"")</f>
        <v/>
      </c>
      <c r="E651" s="12" t="str">
        <f>IFERROR(_xlfn.CONCAT(INDEX(Catalogo!$G$4:$G$1502,_xlfn.IFNA(MATCH(C651,Catalogo!$C$4:$C$1502,0),-1)),"-",INDEX(Catalogo!$H$4:$H$1502,_xlfn.IFNA(MATCH(C651,Catalogo!$C$4:$C$1502,0),-1))),"")</f>
        <v/>
      </c>
    </row>
    <row r="652" spans="3:5" x14ac:dyDescent="0.25">
      <c r="C652" s="9"/>
      <c r="D652" s="11" t="str">
        <f>IFERROR(INDEX(Catalogo!$E$4:$E$1502,_xlfn.IFNA(MATCH(C652,Catalogo!$C$4:$C$1502,0),-1)),"")</f>
        <v/>
      </c>
      <c r="E652" s="12" t="str">
        <f>IFERROR(_xlfn.CONCAT(INDEX(Catalogo!$G$4:$G$1502,_xlfn.IFNA(MATCH(C652,Catalogo!$C$4:$C$1502,0),-1)),"-",INDEX(Catalogo!$H$4:$H$1502,_xlfn.IFNA(MATCH(C652,Catalogo!$C$4:$C$1502,0),-1))),"")</f>
        <v/>
      </c>
    </row>
    <row r="653" spans="3:5" x14ac:dyDescent="0.25">
      <c r="C653" s="9"/>
      <c r="D653" s="11" t="str">
        <f>IFERROR(INDEX(Catalogo!$E$4:$E$1502,_xlfn.IFNA(MATCH(C653,Catalogo!$C$4:$C$1502,0),-1)),"")</f>
        <v/>
      </c>
      <c r="E653" s="12" t="str">
        <f>IFERROR(_xlfn.CONCAT(INDEX(Catalogo!$G$4:$G$1502,_xlfn.IFNA(MATCH(C653,Catalogo!$C$4:$C$1502,0),-1)),"-",INDEX(Catalogo!$H$4:$H$1502,_xlfn.IFNA(MATCH(C653,Catalogo!$C$4:$C$1502,0),-1))),"")</f>
        <v/>
      </c>
    </row>
    <row r="654" spans="3:5" x14ac:dyDescent="0.25">
      <c r="C654" s="9"/>
      <c r="D654" s="11" t="str">
        <f>IFERROR(INDEX(Catalogo!$E$4:$E$1502,_xlfn.IFNA(MATCH(C654,Catalogo!$C$4:$C$1502,0),-1)),"")</f>
        <v/>
      </c>
      <c r="E654" s="12" t="str">
        <f>IFERROR(_xlfn.CONCAT(INDEX(Catalogo!$G$4:$G$1502,_xlfn.IFNA(MATCH(C654,Catalogo!$C$4:$C$1502,0),-1)),"-",INDEX(Catalogo!$H$4:$H$1502,_xlfn.IFNA(MATCH(C654,Catalogo!$C$4:$C$1502,0),-1))),"")</f>
        <v/>
      </c>
    </row>
    <row r="655" spans="3:5" x14ac:dyDescent="0.25">
      <c r="C655" s="9"/>
      <c r="D655" s="11" t="str">
        <f>IFERROR(INDEX(Catalogo!$E$4:$E$1502,_xlfn.IFNA(MATCH(C655,Catalogo!$C$4:$C$1502,0),-1)),"")</f>
        <v/>
      </c>
      <c r="E655" s="12" t="str">
        <f>IFERROR(_xlfn.CONCAT(INDEX(Catalogo!$G$4:$G$1502,_xlfn.IFNA(MATCH(C655,Catalogo!$C$4:$C$1502,0),-1)),"-",INDEX(Catalogo!$H$4:$H$1502,_xlfn.IFNA(MATCH(C655,Catalogo!$C$4:$C$1502,0),-1))),"")</f>
        <v/>
      </c>
    </row>
    <row r="656" spans="3:5" x14ac:dyDescent="0.25">
      <c r="C656" s="9"/>
      <c r="D656" s="11" t="str">
        <f>IFERROR(INDEX(Catalogo!$E$4:$E$1502,_xlfn.IFNA(MATCH(C656,Catalogo!$C$4:$C$1502,0),-1)),"")</f>
        <v/>
      </c>
      <c r="E656" s="12" t="str">
        <f>IFERROR(_xlfn.CONCAT(INDEX(Catalogo!$G$4:$G$1502,_xlfn.IFNA(MATCH(C656,Catalogo!$C$4:$C$1502,0),-1)),"-",INDEX(Catalogo!$H$4:$H$1502,_xlfn.IFNA(MATCH(C656,Catalogo!$C$4:$C$1502,0),-1))),"")</f>
        <v/>
      </c>
    </row>
    <row r="657" spans="3:5" x14ac:dyDescent="0.25">
      <c r="C657" s="9"/>
      <c r="D657" s="11" t="str">
        <f>IFERROR(INDEX(Catalogo!$E$4:$E$1502,_xlfn.IFNA(MATCH(C657,Catalogo!$C$4:$C$1502,0),-1)),"")</f>
        <v/>
      </c>
      <c r="E657" s="12" t="str">
        <f>IFERROR(_xlfn.CONCAT(INDEX(Catalogo!$G$4:$G$1502,_xlfn.IFNA(MATCH(C657,Catalogo!$C$4:$C$1502,0),-1)),"-",INDEX(Catalogo!$H$4:$H$1502,_xlfn.IFNA(MATCH(C657,Catalogo!$C$4:$C$1502,0),-1))),"")</f>
        <v/>
      </c>
    </row>
    <row r="658" spans="3:5" x14ac:dyDescent="0.25">
      <c r="C658" s="9"/>
      <c r="D658" s="11" t="str">
        <f>IFERROR(INDEX(Catalogo!$E$4:$E$1502,_xlfn.IFNA(MATCH(C658,Catalogo!$C$4:$C$1502,0),-1)),"")</f>
        <v/>
      </c>
      <c r="E658" s="12" t="str">
        <f>IFERROR(_xlfn.CONCAT(INDEX(Catalogo!$G$4:$G$1502,_xlfn.IFNA(MATCH(C658,Catalogo!$C$4:$C$1502,0),-1)),"-",INDEX(Catalogo!$H$4:$H$1502,_xlfn.IFNA(MATCH(C658,Catalogo!$C$4:$C$1502,0),-1))),"")</f>
        <v/>
      </c>
    </row>
    <row r="659" spans="3:5" x14ac:dyDescent="0.25">
      <c r="C659" s="9"/>
      <c r="D659" s="11" t="str">
        <f>IFERROR(INDEX(Catalogo!$E$4:$E$1502,_xlfn.IFNA(MATCH(C659,Catalogo!$C$4:$C$1502,0),-1)),"")</f>
        <v/>
      </c>
      <c r="E659" s="12" t="str">
        <f>IFERROR(_xlfn.CONCAT(INDEX(Catalogo!$G$4:$G$1502,_xlfn.IFNA(MATCH(C659,Catalogo!$C$4:$C$1502,0),-1)),"-",INDEX(Catalogo!$H$4:$H$1502,_xlfn.IFNA(MATCH(C659,Catalogo!$C$4:$C$1502,0),-1))),"")</f>
        <v/>
      </c>
    </row>
    <row r="660" spans="3:5" x14ac:dyDescent="0.25">
      <c r="C660" s="9"/>
      <c r="D660" s="11" t="str">
        <f>IFERROR(INDEX(Catalogo!$E$4:$E$1502,_xlfn.IFNA(MATCH(C660,Catalogo!$C$4:$C$1502,0),-1)),"")</f>
        <v/>
      </c>
      <c r="E660" s="12" t="str">
        <f>IFERROR(_xlfn.CONCAT(INDEX(Catalogo!$G$4:$G$1502,_xlfn.IFNA(MATCH(C660,Catalogo!$C$4:$C$1502,0),-1)),"-",INDEX(Catalogo!$H$4:$H$1502,_xlfn.IFNA(MATCH(C660,Catalogo!$C$4:$C$1502,0),-1))),"")</f>
        <v/>
      </c>
    </row>
    <row r="661" spans="3:5" x14ac:dyDescent="0.25">
      <c r="C661" s="9"/>
      <c r="D661" s="11" t="str">
        <f>IFERROR(INDEX(Catalogo!$E$4:$E$1502,_xlfn.IFNA(MATCH(C661,Catalogo!$C$4:$C$1502,0),-1)),"")</f>
        <v/>
      </c>
      <c r="E661" s="12" t="str">
        <f>IFERROR(_xlfn.CONCAT(INDEX(Catalogo!$G$4:$G$1502,_xlfn.IFNA(MATCH(C661,Catalogo!$C$4:$C$1502,0),-1)),"-",INDEX(Catalogo!$H$4:$H$1502,_xlfn.IFNA(MATCH(C661,Catalogo!$C$4:$C$1502,0),-1))),"")</f>
        <v/>
      </c>
    </row>
    <row r="662" spans="3:5" x14ac:dyDescent="0.25">
      <c r="C662" s="9"/>
      <c r="D662" s="11" t="str">
        <f>IFERROR(INDEX(Catalogo!$E$4:$E$1502,_xlfn.IFNA(MATCH(C662,Catalogo!$C$4:$C$1502,0),-1)),"")</f>
        <v/>
      </c>
      <c r="E662" s="12" t="str">
        <f>IFERROR(_xlfn.CONCAT(INDEX(Catalogo!$G$4:$G$1502,_xlfn.IFNA(MATCH(C662,Catalogo!$C$4:$C$1502,0),-1)),"-",INDEX(Catalogo!$H$4:$H$1502,_xlfn.IFNA(MATCH(C662,Catalogo!$C$4:$C$1502,0),-1))),"")</f>
        <v/>
      </c>
    </row>
    <row r="663" spans="3:5" x14ac:dyDescent="0.25">
      <c r="C663" s="9"/>
      <c r="D663" s="11" t="str">
        <f>IFERROR(INDEX(Catalogo!$E$4:$E$1502,_xlfn.IFNA(MATCH(C663,Catalogo!$C$4:$C$1502,0),-1)),"")</f>
        <v/>
      </c>
      <c r="E663" s="12" t="str">
        <f>IFERROR(_xlfn.CONCAT(INDEX(Catalogo!$G$4:$G$1502,_xlfn.IFNA(MATCH(C663,Catalogo!$C$4:$C$1502,0),-1)),"-",INDEX(Catalogo!$H$4:$H$1502,_xlfn.IFNA(MATCH(C663,Catalogo!$C$4:$C$1502,0),-1))),"")</f>
        <v/>
      </c>
    </row>
    <row r="664" spans="3:5" x14ac:dyDescent="0.25">
      <c r="C664" s="9"/>
      <c r="D664" s="11" t="str">
        <f>IFERROR(INDEX(Catalogo!$E$4:$E$1502,_xlfn.IFNA(MATCH(C664,Catalogo!$C$4:$C$1502,0),-1)),"")</f>
        <v/>
      </c>
      <c r="E664" s="12" t="str">
        <f>IFERROR(_xlfn.CONCAT(INDEX(Catalogo!$G$4:$G$1502,_xlfn.IFNA(MATCH(C664,Catalogo!$C$4:$C$1502,0),-1)),"-",INDEX(Catalogo!$H$4:$H$1502,_xlfn.IFNA(MATCH(C664,Catalogo!$C$4:$C$1502,0),-1))),"")</f>
        <v/>
      </c>
    </row>
    <row r="665" spans="3:5" x14ac:dyDescent="0.25">
      <c r="C665" s="9"/>
      <c r="D665" s="11" t="str">
        <f>IFERROR(INDEX(Catalogo!$E$4:$E$1502,_xlfn.IFNA(MATCH(C665,Catalogo!$C$4:$C$1502,0),-1)),"")</f>
        <v/>
      </c>
      <c r="E665" s="12" t="str">
        <f>IFERROR(_xlfn.CONCAT(INDEX(Catalogo!$G$4:$G$1502,_xlfn.IFNA(MATCH(C665,Catalogo!$C$4:$C$1502,0),-1)),"-",INDEX(Catalogo!$H$4:$H$1502,_xlfn.IFNA(MATCH(C665,Catalogo!$C$4:$C$1502,0),-1))),"")</f>
        <v/>
      </c>
    </row>
    <row r="666" spans="3:5" x14ac:dyDescent="0.25">
      <c r="C666" s="9"/>
      <c r="D666" s="11" t="str">
        <f>IFERROR(INDEX(Catalogo!$E$4:$E$1502,_xlfn.IFNA(MATCH(C666,Catalogo!$C$4:$C$1502,0),-1)),"")</f>
        <v/>
      </c>
      <c r="E666" s="12" t="str">
        <f>IFERROR(_xlfn.CONCAT(INDEX(Catalogo!$G$4:$G$1502,_xlfn.IFNA(MATCH(C666,Catalogo!$C$4:$C$1502,0),-1)),"-",INDEX(Catalogo!$H$4:$H$1502,_xlfn.IFNA(MATCH(C666,Catalogo!$C$4:$C$1502,0),-1))),"")</f>
        <v/>
      </c>
    </row>
    <row r="667" spans="3:5" x14ac:dyDescent="0.25">
      <c r="C667" s="9"/>
      <c r="D667" s="11" t="str">
        <f>IFERROR(INDEX(Catalogo!$E$4:$E$1502,_xlfn.IFNA(MATCH(C667,Catalogo!$C$4:$C$1502,0),-1)),"")</f>
        <v/>
      </c>
      <c r="E667" s="12" t="str">
        <f>IFERROR(_xlfn.CONCAT(INDEX(Catalogo!$G$4:$G$1502,_xlfn.IFNA(MATCH(C667,Catalogo!$C$4:$C$1502,0),-1)),"-",INDEX(Catalogo!$H$4:$H$1502,_xlfn.IFNA(MATCH(C667,Catalogo!$C$4:$C$1502,0),-1))),"")</f>
        <v/>
      </c>
    </row>
    <row r="668" spans="3:5" x14ac:dyDescent="0.25">
      <c r="C668" s="18"/>
      <c r="D668" s="11" t="str">
        <f>IFERROR(INDEX(Catalogo!$E$4:$E$1502,_xlfn.IFNA(MATCH(C668,Catalogo!$C$4:$C$1502,0),-1)),"")</f>
        <v/>
      </c>
      <c r="E668" s="12" t="str">
        <f>IFERROR(_xlfn.CONCAT(INDEX(Catalogo!$G$4:$G$1502,_xlfn.IFNA(MATCH(C668,Catalogo!$C$4:$C$1502,0),-1)),"-",INDEX(Catalogo!$H$4:$H$1502,_xlfn.IFNA(MATCH(C668,Catalogo!$C$4:$C$1502,0),-1))),"")</f>
        <v/>
      </c>
    </row>
    <row r="669" spans="3:5" x14ac:dyDescent="0.25">
      <c r="C669" s="9"/>
      <c r="D669" s="11" t="str">
        <f>IFERROR(INDEX(Catalogo!$E$4:$E$1502,_xlfn.IFNA(MATCH(C669,Catalogo!$C$4:$C$1502,0),-1)),"")</f>
        <v/>
      </c>
      <c r="E669" s="12" t="str">
        <f>IFERROR(_xlfn.CONCAT(INDEX(Catalogo!$G$4:$G$1502,_xlfn.IFNA(MATCH(C669,Catalogo!$C$4:$C$1502,0),-1)),"-",INDEX(Catalogo!$H$4:$H$1502,_xlfn.IFNA(MATCH(C669,Catalogo!$C$4:$C$1502,0),-1))),"")</f>
        <v/>
      </c>
    </row>
    <row r="670" spans="3:5" x14ac:dyDescent="0.25">
      <c r="C670" s="9"/>
      <c r="D670" s="11" t="str">
        <f>IFERROR(INDEX(Catalogo!$E$4:$E$1502,_xlfn.IFNA(MATCH(C670,Catalogo!$C$4:$C$1502,0),-1)),"")</f>
        <v/>
      </c>
      <c r="E670" s="12" t="str">
        <f>IFERROR(_xlfn.CONCAT(INDEX(Catalogo!$G$4:$G$1502,_xlfn.IFNA(MATCH(C670,Catalogo!$C$4:$C$1502,0),-1)),"-",INDEX(Catalogo!$H$4:$H$1502,_xlfn.IFNA(MATCH(C670,Catalogo!$C$4:$C$1502,0),-1))),"")</f>
        <v/>
      </c>
    </row>
    <row r="671" spans="3:5" x14ac:dyDescent="0.25">
      <c r="C671" s="17"/>
      <c r="D671" s="11" t="str">
        <f>IFERROR(INDEX(Catalogo!$E$4:$E$1502,_xlfn.IFNA(MATCH(C671,Catalogo!$C$4:$C$1502,0),-1)),"")</f>
        <v/>
      </c>
      <c r="E671" s="12" t="str">
        <f>IFERROR(_xlfn.CONCAT(INDEX(Catalogo!$G$4:$G$1502,_xlfn.IFNA(MATCH(C671,Catalogo!$C$4:$C$1502,0),-1)),"-",INDEX(Catalogo!$H$4:$H$1502,_xlfn.IFNA(MATCH(C671,Catalogo!$C$4:$C$1502,0),-1))),"")</f>
        <v/>
      </c>
    </row>
    <row r="672" spans="3:5" x14ac:dyDescent="0.25">
      <c r="C672" s="9"/>
      <c r="D672" s="11" t="str">
        <f>IFERROR(INDEX(Catalogo!$E$4:$E$1502,_xlfn.IFNA(MATCH(C672,Catalogo!$C$4:$C$1502,0),-1)),"")</f>
        <v/>
      </c>
      <c r="E672" s="12" t="str">
        <f>IFERROR(_xlfn.CONCAT(INDEX(Catalogo!$G$4:$G$1502,_xlfn.IFNA(MATCH(C672,Catalogo!$C$4:$C$1502,0),-1)),"-",INDEX(Catalogo!$H$4:$H$1502,_xlfn.IFNA(MATCH(C672,Catalogo!$C$4:$C$1502,0),-1))),"")</f>
        <v/>
      </c>
    </row>
    <row r="673" spans="3:5" x14ac:dyDescent="0.25">
      <c r="C673" s="8"/>
      <c r="D673" s="11" t="str">
        <f>IFERROR(INDEX(Catalogo!$E$4:$E$1502,_xlfn.IFNA(MATCH(C673,Catalogo!$C$4:$C$1502,0),-1)),"")</f>
        <v/>
      </c>
      <c r="E673" s="12" t="str">
        <f>IFERROR(_xlfn.CONCAT(INDEX(Catalogo!$G$4:$G$1502,_xlfn.IFNA(MATCH(C673,Catalogo!$C$4:$C$1502,0),-1)),"-",INDEX(Catalogo!$H$4:$H$1502,_xlfn.IFNA(MATCH(C673,Catalogo!$C$4:$C$1502,0),-1))),"")</f>
        <v/>
      </c>
    </row>
    <row r="674" spans="3:5" x14ac:dyDescent="0.25">
      <c r="C674" s="9"/>
      <c r="D674" s="11" t="str">
        <f>IFERROR(INDEX(Catalogo!$E$4:$E$1502,_xlfn.IFNA(MATCH(C674,Catalogo!$C$4:$C$1502,0),-1)),"")</f>
        <v/>
      </c>
      <c r="E674" s="12" t="str">
        <f>IFERROR(_xlfn.CONCAT(INDEX(Catalogo!$G$4:$G$1502,_xlfn.IFNA(MATCH(C674,Catalogo!$C$4:$C$1502,0),-1)),"-",INDEX(Catalogo!$H$4:$H$1502,_xlfn.IFNA(MATCH(C674,Catalogo!$C$4:$C$1502,0),-1))),"")</f>
        <v/>
      </c>
    </row>
    <row r="675" spans="3:5" x14ac:dyDescent="0.25">
      <c r="C675" s="16"/>
      <c r="D675" s="11" t="str">
        <f>IFERROR(INDEX(Catalogo!$E$4:$E$1502,_xlfn.IFNA(MATCH(C675,Catalogo!$C$4:$C$1502,0),-1)),"")</f>
        <v/>
      </c>
      <c r="E675" s="12" t="str">
        <f>IFERROR(_xlfn.CONCAT(INDEX(Catalogo!$G$4:$G$1502,_xlfn.IFNA(MATCH(C675,Catalogo!$C$4:$C$1502,0),-1)),"-",INDEX(Catalogo!$H$4:$H$1502,_xlfn.IFNA(MATCH(C675,Catalogo!$C$4:$C$1502,0),-1))),"")</f>
        <v/>
      </c>
    </row>
    <row r="676" spans="3:5" x14ac:dyDescent="0.25">
      <c r="C676" s="9"/>
      <c r="D676" s="11" t="str">
        <f>IFERROR(INDEX(Catalogo!$E$4:$E$1502,_xlfn.IFNA(MATCH(C676,Catalogo!$C$4:$C$1502,0),-1)),"")</f>
        <v/>
      </c>
      <c r="E676" s="12" t="str">
        <f>IFERROR(_xlfn.CONCAT(INDEX(Catalogo!$G$4:$G$1502,_xlfn.IFNA(MATCH(C676,Catalogo!$C$4:$C$1502,0),-1)),"-",INDEX(Catalogo!$H$4:$H$1502,_xlfn.IFNA(MATCH(C676,Catalogo!$C$4:$C$1502,0),-1))),"")</f>
        <v/>
      </c>
    </row>
    <row r="677" spans="3:5" x14ac:dyDescent="0.25">
      <c r="C677" s="8"/>
      <c r="D677" s="11" t="str">
        <f>IFERROR(INDEX(Catalogo!$E$4:$E$1502,_xlfn.IFNA(MATCH(C677,Catalogo!$C$4:$C$1502,0),-1)),"")</f>
        <v/>
      </c>
      <c r="E677" s="12" t="str">
        <f>IFERROR(_xlfn.CONCAT(INDEX(Catalogo!$G$4:$G$1502,_xlfn.IFNA(MATCH(C677,Catalogo!$C$4:$C$1502,0),-1)),"-",INDEX(Catalogo!$H$4:$H$1502,_xlfn.IFNA(MATCH(C677,Catalogo!$C$4:$C$1502,0),-1))),"")</f>
        <v/>
      </c>
    </row>
    <row r="678" spans="3:5" x14ac:dyDescent="0.25">
      <c r="C678" s="20"/>
      <c r="D678" s="11" t="str">
        <f>IFERROR(INDEX(Catalogo!$E$4:$E$1502,_xlfn.IFNA(MATCH(C678,Catalogo!$C$4:$C$1502,0),-1)),"")</f>
        <v/>
      </c>
      <c r="E678" s="12" t="str">
        <f>IFERROR(_xlfn.CONCAT(INDEX(Catalogo!$G$4:$G$1502,_xlfn.IFNA(MATCH(C678,Catalogo!$C$4:$C$1502,0),-1)),"-",INDEX(Catalogo!$H$4:$H$1502,_xlfn.IFNA(MATCH(C678,Catalogo!$C$4:$C$1502,0),-1))),"")</f>
        <v/>
      </c>
    </row>
    <row r="679" spans="3:5" x14ac:dyDescent="0.25">
      <c r="C679" s="8"/>
      <c r="D679" s="11" t="str">
        <f>IFERROR(INDEX(Catalogo!$E$4:$E$1502,_xlfn.IFNA(MATCH(C679,Catalogo!$C$4:$C$1502,0),-1)),"")</f>
        <v/>
      </c>
      <c r="E679" s="12" t="str">
        <f>IFERROR(_xlfn.CONCAT(INDEX(Catalogo!$G$4:$G$1502,_xlfn.IFNA(MATCH(C679,Catalogo!$C$4:$C$1502,0),-1)),"-",INDEX(Catalogo!$H$4:$H$1502,_xlfn.IFNA(MATCH(C679,Catalogo!$C$4:$C$1502,0),-1))),"")</f>
        <v/>
      </c>
    </row>
    <row r="680" spans="3:5" x14ac:dyDescent="0.25">
      <c r="C680" s="9"/>
      <c r="D680" s="11" t="str">
        <f>IFERROR(INDEX(Catalogo!$E$4:$E$1502,_xlfn.IFNA(MATCH(C680,Catalogo!$C$4:$C$1502,0),-1)),"")</f>
        <v/>
      </c>
      <c r="E680" s="12" t="str">
        <f>IFERROR(_xlfn.CONCAT(INDEX(Catalogo!$G$4:$G$1502,_xlfn.IFNA(MATCH(C680,Catalogo!$C$4:$C$1502,0),-1)),"-",INDEX(Catalogo!$H$4:$H$1502,_xlfn.IFNA(MATCH(C680,Catalogo!$C$4:$C$1502,0),-1))),"")</f>
        <v/>
      </c>
    </row>
    <row r="681" spans="3:5" x14ac:dyDescent="0.25">
      <c r="C681" s="9"/>
      <c r="D681" s="11" t="str">
        <f>IFERROR(INDEX(Catalogo!$E$4:$E$1502,_xlfn.IFNA(MATCH(C681,Catalogo!$C$4:$C$1502,0),-1)),"")</f>
        <v/>
      </c>
      <c r="E681" s="12" t="str">
        <f>IFERROR(_xlfn.CONCAT(INDEX(Catalogo!$G$4:$G$1502,_xlfn.IFNA(MATCH(C681,Catalogo!$C$4:$C$1502,0),-1)),"-",INDEX(Catalogo!$H$4:$H$1502,_xlfn.IFNA(MATCH(C681,Catalogo!$C$4:$C$1502,0),-1))),"")</f>
        <v/>
      </c>
    </row>
    <row r="682" spans="3:5" x14ac:dyDescent="0.25">
      <c r="C682" s="9"/>
      <c r="D682" s="11" t="str">
        <f>IFERROR(INDEX(Catalogo!$E$4:$E$1502,_xlfn.IFNA(MATCH(C682,Catalogo!$C$4:$C$1502,0),-1)),"")</f>
        <v/>
      </c>
      <c r="E682" s="12" t="str">
        <f>IFERROR(_xlfn.CONCAT(INDEX(Catalogo!$G$4:$G$1502,_xlfn.IFNA(MATCH(C682,Catalogo!$C$4:$C$1502,0),-1)),"-",INDEX(Catalogo!$H$4:$H$1502,_xlfn.IFNA(MATCH(C682,Catalogo!$C$4:$C$1502,0),-1))),"")</f>
        <v/>
      </c>
    </row>
    <row r="683" spans="3:5" x14ac:dyDescent="0.25">
      <c r="C683" s="9"/>
      <c r="D683" s="11" t="str">
        <f>IFERROR(INDEX(Catalogo!$E$4:$E$1502,_xlfn.IFNA(MATCH(C683,Catalogo!$C$4:$C$1502,0),-1)),"")</f>
        <v/>
      </c>
      <c r="E683" s="12" t="str">
        <f>IFERROR(_xlfn.CONCAT(INDEX(Catalogo!$G$4:$G$1502,_xlfn.IFNA(MATCH(C683,Catalogo!$C$4:$C$1502,0),-1)),"-",INDEX(Catalogo!$H$4:$H$1502,_xlfn.IFNA(MATCH(C683,Catalogo!$C$4:$C$1502,0),-1))),"")</f>
        <v/>
      </c>
    </row>
    <row r="684" spans="3:5" x14ac:dyDescent="0.25">
      <c r="C684" s="9"/>
      <c r="D684" s="11" t="str">
        <f>IFERROR(INDEX(Catalogo!$E$4:$E$1502,_xlfn.IFNA(MATCH(C684,Catalogo!$C$4:$C$1502,0),-1)),"")</f>
        <v/>
      </c>
      <c r="E684" s="12" t="str">
        <f>IFERROR(_xlfn.CONCAT(INDEX(Catalogo!$G$4:$G$1502,_xlfn.IFNA(MATCH(C684,Catalogo!$C$4:$C$1502,0),-1)),"-",INDEX(Catalogo!$H$4:$H$1502,_xlfn.IFNA(MATCH(C684,Catalogo!$C$4:$C$1502,0),-1))),"")</f>
        <v/>
      </c>
    </row>
    <row r="685" spans="3:5" x14ac:dyDescent="0.25">
      <c r="C685" s="9"/>
      <c r="D685" s="11" t="str">
        <f>IFERROR(INDEX(Catalogo!$E$4:$E$1502,_xlfn.IFNA(MATCH(C685,Catalogo!$C$4:$C$1502,0),-1)),"")</f>
        <v/>
      </c>
      <c r="E685" s="12" t="str">
        <f>IFERROR(_xlfn.CONCAT(INDEX(Catalogo!$G$4:$G$1502,_xlfn.IFNA(MATCH(C685,Catalogo!$C$4:$C$1502,0),-1)),"-",INDEX(Catalogo!$H$4:$H$1502,_xlfn.IFNA(MATCH(C685,Catalogo!$C$4:$C$1502,0),-1))),"")</f>
        <v/>
      </c>
    </row>
    <row r="686" spans="3:5" x14ac:dyDescent="0.25">
      <c r="C686" s="9"/>
      <c r="D686" s="11" t="str">
        <f>IFERROR(INDEX(Catalogo!$E$4:$E$1502,_xlfn.IFNA(MATCH(C686,Catalogo!$C$4:$C$1502,0),-1)),"")</f>
        <v/>
      </c>
      <c r="E686" s="12" t="str">
        <f>IFERROR(_xlfn.CONCAT(INDEX(Catalogo!$G$4:$G$1502,_xlfn.IFNA(MATCH(C686,Catalogo!$C$4:$C$1502,0),-1)),"-",INDEX(Catalogo!$H$4:$H$1502,_xlfn.IFNA(MATCH(C686,Catalogo!$C$4:$C$1502,0),-1))),"")</f>
        <v/>
      </c>
    </row>
    <row r="687" spans="3:5" x14ac:dyDescent="0.25">
      <c r="C687" s="9"/>
      <c r="D687" s="11" t="str">
        <f>IFERROR(INDEX(Catalogo!$E$4:$E$1502,_xlfn.IFNA(MATCH(C687,Catalogo!$C$4:$C$1502,0),-1)),"")</f>
        <v/>
      </c>
      <c r="E687" s="12" t="str">
        <f>IFERROR(_xlfn.CONCAT(INDEX(Catalogo!$G$4:$G$1502,_xlfn.IFNA(MATCH(C687,Catalogo!$C$4:$C$1502,0),-1)),"-",INDEX(Catalogo!$H$4:$H$1502,_xlfn.IFNA(MATCH(C687,Catalogo!$C$4:$C$1502,0),-1))),"")</f>
        <v/>
      </c>
    </row>
    <row r="688" spans="3:5" x14ac:dyDescent="0.25">
      <c r="C688" s="8"/>
      <c r="D688" s="11" t="str">
        <f>IFERROR(INDEX(Catalogo!$E$4:$E$1502,_xlfn.IFNA(MATCH(C688,Catalogo!$C$4:$C$1502,0),-1)),"")</f>
        <v/>
      </c>
      <c r="E688" s="12" t="str">
        <f>IFERROR(_xlfn.CONCAT(INDEX(Catalogo!$G$4:$G$1502,_xlfn.IFNA(MATCH(C688,Catalogo!$C$4:$C$1502,0),-1)),"-",INDEX(Catalogo!$H$4:$H$1502,_xlfn.IFNA(MATCH(C688,Catalogo!$C$4:$C$1502,0),-1))),"")</f>
        <v/>
      </c>
    </row>
    <row r="689" spans="3:5" x14ac:dyDescent="0.25">
      <c r="C689" s="8"/>
      <c r="D689" s="11" t="str">
        <f>IFERROR(INDEX(Catalogo!$E$4:$E$1502,_xlfn.IFNA(MATCH(C689,Catalogo!$C$4:$C$1502,0),-1)),"")</f>
        <v/>
      </c>
      <c r="E689" s="12" t="str">
        <f>IFERROR(_xlfn.CONCAT(INDEX(Catalogo!$G$4:$G$1502,_xlfn.IFNA(MATCH(C689,Catalogo!$C$4:$C$1502,0),-1)),"-",INDEX(Catalogo!$H$4:$H$1502,_xlfn.IFNA(MATCH(C689,Catalogo!$C$4:$C$1502,0),-1))),"")</f>
        <v/>
      </c>
    </row>
    <row r="690" spans="3:5" x14ac:dyDescent="0.25">
      <c r="C690" s="9"/>
      <c r="D690" s="11" t="str">
        <f>IFERROR(INDEX(Catalogo!$E$4:$E$1502,_xlfn.IFNA(MATCH(C690,Catalogo!$C$4:$C$1502,0),-1)),"")</f>
        <v/>
      </c>
      <c r="E690" s="12" t="str">
        <f>IFERROR(_xlfn.CONCAT(INDEX(Catalogo!$G$4:$G$1502,_xlfn.IFNA(MATCH(C690,Catalogo!$C$4:$C$1502,0),-1)),"-",INDEX(Catalogo!$H$4:$H$1502,_xlfn.IFNA(MATCH(C690,Catalogo!$C$4:$C$1502,0),-1))),"")</f>
        <v/>
      </c>
    </row>
    <row r="691" spans="3:5" x14ac:dyDescent="0.25">
      <c r="C691" s="9"/>
      <c r="D691" s="11" t="str">
        <f>IFERROR(INDEX(Catalogo!$E$4:$E$1502,_xlfn.IFNA(MATCH(C691,Catalogo!$C$4:$C$1502,0),-1)),"")</f>
        <v/>
      </c>
      <c r="E691" s="12" t="str">
        <f>IFERROR(_xlfn.CONCAT(INDEX(Catalogo!$G$4:$G$1502,_xlfn.IFNA(MATCH(C691,Catalogo!$C$4:$C$1502,0),-1)),"-",INDEX(Catalogo!$H$4:$H$1502,_xlfn.IFNA(MATCH(C691,Catalogo!$C$4:$C$1502,0),-1))),"")</f>
        <v/>
      </c>
    </row>
    <row r="692" spans="3:5" x14ac:dyDescent="0.25">
      <c r="C692" s="9"/>
      <c r="D692" s="11" t="str">
        <f>IFERROR(INDEX(Catalogo!$E$4:$E$1502,_xlfn.IFNA(MATCH(C692,Catalogo!$C$4:$C$1502,0),-1)),"")</f>
        <v/>
      </c>
      <c r="E692" s="12" t="str">
        <f>IFERROR(_xlfn.CONCAT(INDEX(Catalogo!$G$4:$G$1502,_xlfn.IFNA(MATCH(C692,Catalogo!$C$4:$C$1502,0),-1)),"-",INDEX(Catalogo!$H$4:$H$1502,_xlfn.IFNA(MATCH(C692,Catalogo!$C$4:$C$1502,0),-1))),"")</f>
        <v/>
      </c>
    </row>
    <row r="693" spans="3:5" x14ac:dyDescent="0.25">
      <c r="C693" s="9"/>
      <c r="D693" s="11" t="str">
        <f>IFERROR(INDEX(Catalogo!$E$4:$E$1502,_xlfn.IFNA(MATCH(C693,Catalogo!$C$4:$C$1502,0),-1)),"")</f>
        <v/>
      </c>
      <c r="E693" s="12" t="str">
        <f>IFERROR(_xlfn.CONCAT(INDEX(Catalogo!$G$4:$G$1502,_xlfn.IFNA(MATCH(C693,Catalogo!$C$4:$C$1502,0),-1)),"-",INDEX(Catalogo!$H$4:$H$1502,_xlfn.IFNA(MATCH(C693,Catalogo!$C$4:$C$1502,0),-1))),"")</f>
        <v/>
      </c>
    </row>
    <row r="694" spans="3:5" x14ac:dyDescent="0.25">
      <c r="C694" s="9"/>
      <c r="D694" s="11" t="str">
        <f>IFERROR(INDEX(Catalogo!$E$4:$E$1502,_xlfn.IFNA(MATCH(C694,Catalogo!$C$4:$C$1502,0),-1)),"")</f>
        <v/>
      </c>
      <c r="E694" s="12" t="str">
        <f>IFERROR(_xlfn.CONCAT(INDEX(Catalogo!$G$4:$G$1502,_xlfn.IFNA(MATCH(C694,Catalogo!$C$4:$C$1502,0),-1)),"-",INDEX(Catalogo!$H$4:$H$1502,_xlfn.IFNA(MATCH(C694,Catalogo!$C$4:$C$1502,0),-1))),"")</f>
        <v/>
      </c>
    </row>
    <row r="695" spans="3:5" x14ac:dyDescent="0.25">
      <c r="C695" s="8"/>
      <c r="D695" s="11" t="str">
        <f>IFERROR(INDEX(Catalogo!$E$4:$E$1502,_xlfn.IFNA(MATCH(C695,Catalogo!$C$4:$C$1502,0),-1)),"")</f>
        <v/>
      </c>
      <c r="E695" s="12" t="str">
        <f>IFERROR(_xlfn.CONCAT(INDEX(Catalogo!$G$4:$G$1502,_xlfn.IFNA(MATCH(C695,Catalogo!$C$4:$C$1502,0),-1)),"-",INDEX(Catalogo!$H$4:$H$1502,_xlfn.IFNA(MATCH(C695,Catalogo!$C$4:$C$1502,0),-1))),"")</f>
        <v/>
      </c>
    </row>
    <row r="696" spans="3:5" x14ac:dyDescent="0.25">
      <c r="C696" s="9"/>
      <c r="D696" s="11" t="str">
        <f>IFERROR(INDEX(Catalogo!$E$4:$E$1502,_xlfn.IFNA(MATCH(C696,Catalogo!$C$4:$C$1502,0),-1)),"")</f>
        <v/>
      </c>
      <c r="E696" s="12" t="str">
        <f>IFERROR(_xlfn.CONCAT(INDEX(Catalogo!$G$4:$G$1502,_xlfn.IFNA(MATCH(C696,Catalogo!$C$4:$C$1502,0),-1)),"-",INDEX(Catalogo!$H$4:$H$1502,_xlfn.IFNA(MATCH(C696,Catalogo!$C$4:$C$1502,0),-1))),"")</f>
        <v/>
      </c>
    </row>
    <row r="697" spans="3:5" x14ac:dyDescent="0.25">
      <c r="C697" s="9"/>
      <c r="D697" s="11" t="str">
        <f>IFERROR(INDEX(Catalogo!$E$4:$E$1502,_xlfn.IFNA(MATCH(C697,Catalogo!$C$4:$C$1502,0),-1)),"")</f>
        <v/>
      </c>
      <c r="E697" s="12" t="str">
        <f>IFERROR(_xlfn.CONCAT(INDEX(Catalogo!$G$4:$G$1502,_xlfn.IFNA(MATCH(C697,Catalogo!$C$4:$C$1502,0),-1)),"-",INDEX(Catalogo!$H$4:$H$1502,_xlfn.IFNA(MATCH(C697,Catalogo!$C$4:$C$1502,0),-1))),"")</f>
        <v/>
      </c>
    </row>
    <row r="698" spans="3:5" x14ac:dyDescent="0.25">
      <c r="C698" s="9"/>
      <c r="D698" s="11" t="str">
        <f>IFERROR(INDEX(Catalogo!$E$4:$E$1502,_xlfn.IFNA(MATCH(C698,Catalogo!$C$4:$C$1502,0),-1)),"")</f>
        <v/>
      </c>
      <c r="E698" s="12" t="str">
        <f>IFERROR(_xlfn.CONCAT(INDEX(Catalogo!$G$4:$G$1502,_xlfn.IFNA(MATCH(C698,Catalogo!$C$4:$C$1502,0),-1)),"-",INDEX(Catalogo!$H$4:$H$1502,_xlfn.IFNA(MATCH(C698,Catalogo!$C$4:$C$1502,0),-1))),"")</f>
        <v/>
      </c>
    </row>
    <row r="699" spans="3:5" x14ac:dyDescent="0.25">
      <c r="C699" s="8"/>
      <c r="D699" s="11" t="str">
        <f>IFERROR(INDEX(Catalogo!$E$4:$E$1502,_xlfn.IFNA(MATCH(C699,Catalogo!$C$4:$C$1502,0),-1)),"")</f>
        <v/>
      </c>
      <c r="E699" s="12" t="str">
        <f>IFERROR(_xlfn.CONCAT(INDEX(Catalogo!$G$4:$G$1502,_xlfn.IFNA(MATCH(C699,Catalogo!$C$4:$C$1502,0),-1)),"-",INDEX(Catalogo!$H$4:$H$1502,_xlfn.IFNA(MATCH(C699,Catalogo!$C$4:$C$1502,0),-1))),"")</f>
        <v/>
      </c>
    </row>
    <row r="700" spans="3:5" x14ac:dyDescent="0.25">
      <c r="C700" s="8"/>
      <c r="D700" s="11" t="str">
        <f>IFERROR(INDEX(Catalogo!$E$4:$E$1502,_xlfn.IFNA(MATCH(C700,Catalogo!$C$4:$C$1502,0),-1)),"")</f>
        <v/>
      </c>
      <c r="E700" s="12" t="str">
        <f>IFERROR(_xlfn.CONCAT(INDEX(Catalogo!$G$4:$G$1502,_xlfn.IFNA(MATCH(C700,Catalogo!$C$4:$C$1502,0),-1)),"-",INDEX(Catalogo!$H$4:$H$1502,_xlfn.IFNA(MATCH(C700,Catalogo!$C$4:$C$1502,0),-1))),"")</f>
        <v/>
      </c>
    </row>
    <row r="701" spans="3:5" x14ac:dyDescent="0.25">
      <c r="C701" s="8"/>
      <c r="D701" s="11" t="str">
        <f>IFERROR(INDEX(Catalogo!$E$4:$E$1502,_xlfn.IFNA(MATCH(C701,Catalogo!$C$4:$C$1502,0),-1)),"")</f>
        <v/>
      </c>
      <c r="E701" s="12" t="str">
        <f>IFERROR(_xlfn.CONCAT(INDEX(Catalogo!$G$4:$G$1502,_xlfn.IFNA(MATCH(C701,Catalogo!$C$4:$C$1502,0),-1)),"-",INDEX(Catalogo!$H$4:$H$1502,_xlfn.IFNA(MATCH(C701,Catalogo!$C$4:$C$1502,0),-1))),"")</f>
        <v/>
      </c>
    </row>
    <row r="702" spans="3:5" x14ac:dyDescent="0.25">
      <c r="C702" s="22"/>
      <c r="D702" s="11" t="str">
        <f>IFERROR(INDEX(Catalogo!$E$4:$E$1502,_xlfn.IFNA(MATCH(C702,Catalogo!$C$4:$C$1502,0),-1)),"")</f>
        <v/>
      </c>
      <c r="E702" s="12" t="str">
        <f>IFERROR(_xlfn.CONCAT(INDEX(Catalogo!$G$4:$G$1502,_xlfn.IFNA(MATCH(C702,Catalogo!$C$4:$C$1502,0),-1)),"-",INDEX(Catalogo!$H$4:$H$1502,_xlfn.IFNA(MATCH(C702,Catalogo!$C$4:$C$1502,0),-1))),"")</f>
        <v/>
      </c>
    </row>
    <row r="703" spans="3:5" x14ac:dyDescent="0.25">
      <c r="C703" s="22"/>
      <c r="D703" s="11" t="str">
        <f>IFERROR(INDEX(Catalogo!$E$4:$E$1502,_xlfn.IFNA(MATCH(C703,Catalogo!$C$4:$C$1502,0),-1)),"")</f>
        <v/>
      </c>
      <c r="E703" s="12" t="str">
        <f>IFERROR(_xlfn.CONCAT(INDEX(Catalogo!$G$4:$G$1502,_xlfn.IFNA(MATCH(C703,Catalogo!$C$4:$C$1502,0),-1)),"-",INDEX(Catalogo!$H$4:$H$1502,_xlfn.IFNA(MATCH(C703,Catalogo!$C$4:$C$1502,0),-1))),"")</f>
        <v/>
      </c>
    </row>
    <row r="704" spans="3:5" x14ac:dyDescent="0.25">
      <c r="C704" s="8"/>
      <c r="D704" s="11" t="str">
        <f>IFERROR(INDEX(Catalogo!$E$4:$E$1502,_xlfn.IFNA(MATCH(C704,Catalogo!$C$4:$C$1502,0),-1)),"")</f>
        <v/>
      </c>
      <c r="E704" s="12" t="str">
        <f>IFERROR(_xlfn.CONCAT(INDEX(Catalogo!$G$4:$G$1502,_xlfn.IFNA(MATCH(C704,Catalogo!$C$4:$C$1502,0),-1)),"-",INDEX(Catalogo!$H$4:$H$1502,_xlfn.IFNA(MATCH(C704,Catalogo!$C$4:$C$1502,0),-1))),"")</f>
        <v/>
      </c>
    </row>
    <row r="705" spans="3:5" x14ac:dyDescent="0.25">
      <c r="C705" s="8"/>
      <c r="D705" s="11" t="str">
        <f>IFERROR(INDEX(Catalogo!$E$4:$E$1502,_xlfn.IFNA(MATCH(C705,Catalogo!$C$4:$C$1502,0),-1)),"")</f>
        <v/>
      </c>
      <c r="E705" s="12" t="str">
        <f>IFERROR(_xlfn.CONCAT(INDEX(Catalogo!$G$4:$G$1502,_xlfn.IFNA(MATCH(C705,Catalogo!$C$4:$C$1502,0),-1)),"-",INDEX(Catalogo!$H$4:$H$1502,_xlfn.IFNA(MATCH(C705,Catalogo!$C$4:$C$1502,0),-1))),"")</f>
        <v/>
      </c>
    </row>
    <row r="706" spans="3:5" x14ac:dyDescent="0.25">
      <c r="C706" s="9"/>
      <c r="D706" s="11" t="str">
        <f>IFERROR(INDEX(Catalogo!$E$4:$E$1502,_xlfn.IFNA(MATCH(C706,Catalogo!$C$4:$C$1502,0),-1)),"")</f>
        <v/>
      </c>
      <c r="E706" s="12" t="str">
        <f>IFERROR(_xlfn.CONCAT(INDEX(Catalogo!$G$4:$G$1502,_xlfn.IFNA(MATCH(C706,Catalogo!$C$4:$C$1502,0),-1)),"-",INDEX(Catalogo!$H$4:$H$1502,_xlfn.IFNA(MATCH(C706,Catalogo!$C$4:$C$1502,0),-1))),"")</f>
        <v/>
      </c>
    </row>
    <row r="707" spans="3:5" x14ac:dyDescent="0.25">
      <c r="C707" s="8"/>
      <c r="D707" s="11" t="str">
        <f>IFERROR(INDEX(Catalogo!$E$4:$E$1502,_xlfn.IFNA(MATCH(C707,Catalogo!$C$4:$C$1502,0),-1)),"")</f>
        <v/>
      </c>
      <c r="E707" s="12" t="str">
        <f>IFERROR(_xlfn.CONCAT(INDEX(Catalogo!$G$4:$G$1502,_xlfn.IFNA(MATCH(C707,Catalogo!$C$4:$C$1502,0),-1)),"-",INDEX(Catalogo!$H$4:$H$1502,_xlfn.IFNA(MATCH(C707,Catalogo!$C$4:$C$1502,0),-1))),"")</f>
        <v/>
      </c>
    </row>
    <row r="708" spans="3:5" x14ac:dyDescent="0.25">
      <c r="C708" s="8"/>
      <c r="D708" s="11" t="str">
        <f>IFERROR(INDEX(Catalogo!$E$4:$E$1502,_xlfn.IFNA(MATCH(C708,Catalogo!$C$4:$C$1502,0),-1)),"")</f>
        <v/>
      </c>
      <c r="E708" s="12" t="str">
        <f>IFERROR(_xlfn.CONCAT(INDEX(Catalogo!$G$4:$G$1502,_xlfn.IFNA(MATCH(C708,Catalogo!$C$4:$C$1502,0),-1)),"-",INDEX(Catalogo!$H$4:$H$1502,_xlfn.IFNA(MATCH(C708,Catalogo!$C$4:$C$1502,0),-1))),"")</f>
        <v/>
      </c>
    </row>
    <row r="709" spans="3:5" x14ac:dyDescent="0.25">
      <c r="C709" s="9"/>
      <c r="D709" s="11" t="str">
        <f>IFERROR(INDEX(Catalogo!$E$4:$E$1502,_xlfn.IFNA(MATCH(C709,Catalogo!$C$4:$C$1502,0),-1)),"")</f>
        <v/>
      </c>
      <c r="E709" s="12" t="str">
        <f>IFERROR(_xlfn.CONCAT(INDEX(Catalogo!$G$4:$G$1502,_xlfn.IFNA(MATCH(C709,Catalogo!$C$4:$C$1502,0),-1)),"-",INDEX(Catalogo!$H$4:$H$1502,_xlfn.IFNA(MATCH(C709,Catalogo!$C$4:$C$1502,0),-1))),"")</f>
        <v/>
      </c>
    </row>
    <row r="710" spans="3:5" x14ac:dyDescent="0.25">
      <c r="C710" s="9"/>
      <c r="D710" s="11" t="str">
        <f>IFERROR(INDEX(Catalogo!$E$4:$E$1502,_xlfn.IFNA(MATCH(C710,Catalogo!$C$4:$C$1502,0),-1)),"")</f>
        <v/>
      </c>
      <c r="E710" s="12" t="str">
        <f>IFERROR(_xlfn.CONCAT(INDEX(Catalogo!$G$4:$G$1502,_xlfn.IFNA(MATCH(C710,Catalogo!$C$4:$C$1502,0),-1)),"-",INDEX(Catalogo!$H$4:$H$1502,_xlfn.IFNA(MATCH(C710,Catalogo!$C$4:$C$1502,0),-1))),"")</f>
        <v/>
      </c>
    </row>
    <row r="711" spans="3:5" x14ac:dyDescent="0.25">
      <c r="C711" s="9"/>
      <c r="D711" s="11" t="str">
        <f>IFERROR(INDEX(Catalogo!$E$4:$E$1502,_xlfn.IFNA(MATCH(C711,Catalogo!$C$4:$C$1502,0),-1)),"")</f>
        <v/>
      </c>
      <c r="E711" s="12" t="str">
        <f>IFERROR(_xlfn.CONCAT(INDEX(Catalogo!$G$4:$G$1502,_xlfn.IFNA(MATCH(C711,Catalogo!$C$4:$C$1502,0),-1)),"-",INDEX(Catalogo!$H$4:$H$1502,_xlfn.IFNA(MATCH(C711,Catalogo!$C$4:$C$1502,0),-1))),"")</f>
        <v/>
      </c>
    </row>
    <row r="712" spans="3:5" x14ac:dyDescent="0.25">
      <c r="C712" s="9"/>
      <c r="D712" s="11" t="str">
        <f>IFERROR(INDEX(Catalogo!$E$4:$E$1502,_xlfn.IFNA(MATCH(C712,Catalogo!$C$4:$C$1502,0),-1)),"")</f>
        <v/>
      </c>
      <c r="E712" s="12" t="str">
        <f>IFERROR(_xlfn.CONCAT(INDEX(Catalogo!$G$4:$G$1502,_xlfn.IFNA(MATCH(C712,Catalogo!$C$4:$C$1502,0),-1)),"-",INDEX(Catalogo!$H$4:$H$1502,_xlfn.IFNA(MATCH(C712,Catalogo!$C$4:$C$1502,0),-1))),"")</f>
        <v/>
      </c>
    </row>
    <row r="713" spans="3:5" x14ac:dyDescent="0.25">
      <c r="C713" s="9"/>
      <c r="D713" s="11" t="str">
        <f>IFERROR(INDEX(Catalogo!$E$4:$E$1502,_xlfn.IFNA(MATCH(C713,Catalogo!$C$4:$C$1502,0),-1)),"")</f>
        <v/>
      </c>
      <c r="E713" s="12" t="str">
        <f>IFERROR(_xlfn.CONCAT(INDEX(Catalogo!$G$4:$G$1502,_xlfn.IFNA(MATCH(C713,Catalogo!$C$4:$C$1502,0),-1)),"-",INDEX(Catalogo!$H$4:$H$1502,_xlfn.IFNA(MATCH(C713,Catalogo!$C$4:$C$1502,0),-1))),"")</f>
        <v/>
      </c>
    </row>
    <row r="714" spans="3:5" x14ac:dyDescent="0.25">
      <c r="C714" s="9"/>
      <c r="D714" s="11" t="str">
        <f>IFERROR(INDEX(Catalogo!$E$4:$E$1502,_xlfn.IFNA(MATCH(C714,Catalogo!$C$4:$C$1502,0),-1)),"")</f>
        <v/>
      </c>
      <c r="E714" s="12" t="str">
        <f>IFERROR(_xlfn.CONCAT(INDEX(Catalogo!$G$4:$G$1502,_xlfn.IFNA(MATCH(C714,Catalogo!$C$4:$C$1502,0),-1)),"-",INDEX(Catalogo!$H$4:$H$1502,_xlfn.IFNA(MATCH(C714,Catalogo!$C$4:$C$1502,0),-1))),"")</f>
        <v/>
      </c>
    </row>
    <row r="715" spans="3:5" x14ac:dyDescent="0.25">
      <c r="C715" s="8"/>
      <c r="D715" s="11" t="str">
        <f>IFERROR(INDEX(Catalogo!$E$4:$E$1502,_xlfn.IFNA(MATCH(C715,Catalogo!$C$4:$C$1502,0),-1)),"")</f>
        <v/>
      </c>
      <c r="E715" s="12" t="str">
        <f>IFERROR(_xlfn.CONCAT(INDEX(Catalogo!$G$4:$G$1502,_xlfn.IFNA(MATCH(C715,Catalogo!$C$4:$C$1502,0),-1)),"-",INDEX(Catalogo!$H$4:$H$1502,_xlfn.IFNA(MATCH(C715,Catalogo!$C$4:$C$1502,0),-1))),"")</f>
        <v/>
      </c>
    </row>
    <row r="716" spans="3:5" x14ac:dyDescent="0.25">
      <c r="C716" s="9"/>
      <c r="D716" s="11" t="str">
        <f>IFERROR(INDEX(Catalogo!$E$4:$E$1502,_xlfn.IFNA(MATCH(C716,Catalogo!$C$4:$C$1502,0),-1)),"")</f>
        <v/>
      </c>
      <c r="E716" s="12" t="str">
        <f>IFERROR(_xlfn.CONCAT(INDEX(Catalogo!$G$4:$G$1502,_xlfn.IFNA(MATCH(C716,Catalogo!$C$4:$C$1502,0),-1)),"-",INDEX(Catalogo!$H$4:$H$1502,_xlfn.IFNA(MATCH(C716,Catalogo!$C$4:$C$1502,0),-1))),"")</f>
        <v/>
      </c>
    </row>
    <row r="717" spans="3:5" x14ac:dyDescent="0.25">
      <c r="C717" s="7"/>
      <c r="D717" s="11" t="str">
        <f>IFERROR(INDEX(Catalogo!$E$4:$E$1502,_xlfn.IFNA(MATCH(C717,Catalogo!$C$4:$C$1502,0),-1)),"")</f>
        <v/>
      </c>
      <c r="E717" s="12" t="str">
        <f>IFERROR(_xlfn.CONCAT(INDEX(Catalogo!$G$4:$G$1502,_xlfn.IFNA(MATCH(C717,Catalogo!$C$4:$C$1502,0),-1)),"-",INDEX(Catalogo!$H$4:$H$1502,_xlfn.IFNA(MATCH(C717,Catalogo!$C$4:$C$1502,0),-1))),"")</f>
        <v/>
      </c>
    </row>
    <row r="718" spans="3:5" x14ac:dyDescent="0.25">
      <c r="C718" s="8"/>
      <c r="D718" s="11" t="str">
        <f>IFERROR(INDEX(Catalogo!$E$4:$E$1502,_xlfn.IFNA(MATCH(C718,Catalogo!$C$4:$C$1502,0),-1)),"")</f>
        <v/>
      </c>
      <c r="E718" s="12" t="str">
        <f>IFERROR(_xlfn.CONCAT(INDEX(Catalogo!$G$4:$G$1502,_xlfn.IFNA(MATCH(C718,Catalogo!$C$4:$C$1502,0),-1)),"-",INDEX(Catalogo!$H$4:$H$1502,_xlfn.IFNA(MATCH(C718,Catalogo!$C$4:$C$1502,0),-1))),"")</f>
        <v/>
      </c>
    </row>
    <row r="719" spans="3:5" x14ac:dyDescent="0.25">
      <c r="C719" s="8"/>
      <c r="D719" s="11" t="str">
        <f>IFERROR(INDEX(Catalogo!$E$4:$E$1502,_xlfn.IFNA(MATCH(C719,Catalogo!$C$4:$C$1502,0),-1)),"")</f>
        <v/>
      </c>
      <c r="E719" s="12" t="str">
        <f>IFERROR(_xlfn.CONCAT(INDEX(Catalogo!$G$4:$G$1502,_xlfn.IFNA(MATCH(C719,Catalogo!$C$4:$C$1502,0),-1)),"-",INDEX(Catalogo!$H$4:$H$1502,_xlfn.IFNA(MATCH(C719,Catalogo!$C$4:$C$1502,0),-1))),"")</f>
        <v/>
      </c>
    </row>
    <row r="720" spans="3:5" x14ac:dyDescent="0.25">
      <c r="C720" s="8"/>
      <c r="D720" s="11" t="str">
        <f>IFERROR(INDEX(Catalogo!$E$4:$E$1502,_xlfn.IFNA(MATCH(C720,Catalogo!$C$4:$C$1502,0),-1)),"")</f>
        <v/>
      </c>
      <c r="E720" s="12" t="str">
        <f>IFERROR(_xlfn.CONCAT(INDEX(Catalogo!$G$4:$G$1502,_xlfn.IFNA(MATCH(C720,Catalogo!$C$4:$C$1502,0),-1)),"-",INDEX(Catalogo!$H$4:$H$1502,_xlfn.IFNA(MATCH(C720,Catalogo!$C$4:$C$1502,0),-1))),"")</f>
        <v/>
      </c>
    </row>
    <row r="721" spans="3:5" x14ac:dyDescent="0.25">
      <c r="C721" s="8"/>
      <c r="D721" s="11" t="str">
        <f>IFERROR(INDEX(Catalogo!$E$4:$E$1502,_xlfn.IFNA(MATCH(C721,Catalogo!$C$4:$C$1502,0),-1)),"")</f>
        <v/>
      </c>
      <c r="E721" s="12" t="str">
        <f>IFERROR(_xlfn.CONCAT(INDEX(Catalogo!$G$4:$G$1502,_xlfn.IFNA(MATCH(C721,Catalogo!$C$4:$C$1502,0),-1)),"-",INDEX(Catalogo!$H$4:$H$1502,_xlfn.IFNA(MATCH(C721,Catalogo!$C$4:$C$1502,0),-1))),"")</f>
        <v/>
      </c>
    </row>
    <row r="722" spans="3:5" x14ac:dyDescent="0.25">
      <c r="C722" s="8"/>
      <c r="D722" s="11" t="str">
        <f>IFERROR(INDEX(Catalogo!$E$4:$E$1502,_xlfn.IFNA(MATCH(C722,Catalogo!$C$4:$C$1502,0),-1)),"")</f>
        <v/>
      </c>
      <c r="E722" s="12" t="str">
        <f>IFERROR(_xlfn.CONCAT(INDEX(Catalogo!$G$4:$G$1502,_xlfn.IFNA(MATCH(C722,Catalogo!$C$4:$C$1502,0),-1)),"-",INDEX(Catalogo!$H$4:$H$1502,_xlfn.IFNA(MATCH(C722,Catalogo!$C$4:$C$1502,0),-1))),"")</f>
        <v/>
      </c>
    </row>
    <row r="723" spans="3:5" x14ac:dyDescent="0.25">
      <c r="C723" s="8"/>
      <c r="D723" s="11" t="str">
        <f>IFERROR(INDEX(Catalogo!$E$4:$E$1502,_xlfn.IFNA(MATCH(C723,Catalogo!$C$4:$C$1502,0),-1)),"")</f>
        <v/>
      </c>
      <c r="E723" s="12" t="str">
        <f>IFERROR(_xlfn.CONCAT(INDEX(Catalogo!$G$4:$G$1502,_xlfn.IFNA(MATCH(C723,Catalogo!$C$4:$C$1502,0),-1)),"-",INDEX(Catalogo!$H$4:$H$1502,_xlfn.IFNA(MATCH(C723,Catalogo!$C$4:$C$1502,0),-1))),"")</f>
        <v/>
      </c>
    </row>
    <row r="724" spans="3:5" x14ac:dyDescent="0.25">
      <c r="C724" s="8"/>
      <c r="D724" s="11" t="str">
        <f>IFERROR(INDEX(Catalogo!$E$4:$E$1502,_xlfn.IFNA(MATCH(C724,Catalogo!$C$4:$C$1502,0),-1)),"")</f>
        <v/>
      </c>
      <c r="E724" s="12" t="str">
        <f>IFERROR(_xlfn.CONCAT(INDEX(Catalogo!$G$4:$G$1502,_xlfn.IFNA(MATCH(C724,Catalogo!$C$4:$C$1502,0),-1)),"-",INDEX(Catalogo!$H$4:$H$1502,_xlfn.IFNA(MATCH(C724,Catalogo!$C$4:$C$1502,0),-1))),"")</f>
        <v/>
      </c>
    </row>
    <row r="725" spans="3:5" x14ac:dyDescent="0.25">
      <c r="C725" s="8"/>
      <c r="D725" s="11" t="str">
        <f>IFERROR(INDEX(Catalogo!$E$4:$E$1502,_xlfn.IFNA(MATCH(C725,Catalogo!$C$4:$C$1502,0),-1)),"")</f>
        <v/>
      </c>
      <c r="E725" s="12" t="str">
        <f>IFERROR(_xlfn.CONCAT(INDEX(Catalogo!$G$4:$G$1502,_xlfn.IFNA(MATCH(C725,Catalogo!$C$4:$C$1502,0),-1)),"-",INDEX(Catalogo!$H$4:$H$1502,_xlfn.IFNA(MATCH(C725,Catalogo!$C$4:$C$1502,0),-1))),"")</f>
        <v/>
      </c>
    </row>
    <row r="726" spans="3:5" x14ac:dyDescent="0.25">
      <c r="C726" s="8"/>
      <c r="D726" s="11" t="str">
        <f>IFERROR(INDEX(Catalogo!$E$4:$E$1502,_xlfn.IFNA(MATCH(C726,Catalogo!$C$4:$C$1502,0),-1)),"")</f>
        <v/>
      </c>
      <c r="E726" s="12" t="str">
        <f>IFERROR(_xlfn.CONCAT(INDEX(Catalogo!$G$4:$G$1502,_xlfn.IFNA(MATCH(C726,Catalogo!$C$4:$C$1502,0),-1)),"-",INDEX(Catalogo!$H$4:$H$1502,_xlfn.IFNA(MATCH(C726,Catalogo!$C$4:$C$1502,0),-1))),"")</f>
        <v/>
      </c>
    </row>
    <row r="727" spans="3:5" x14ac:dyDescent="0.25">
      <c r="C727" s="8"/>
      <c r="D727" s="11" t="str">
        <f>IFERROR(INDEX(Catalogo!$E$4:$E$1502,_xlfn.IFNA(MATCH(C727,Catalogo!$C$4:$C$1502,0),-1)),"")</f>
        <v/>
      </c>
      <c r="E727" s="12" t="str">
        <f>IFERROR(_xlfn.CONCAT(INDEX(Catalogo!$G$4:$G$1502,_xlfn.IFNA(MATCH(C727,Catalogo!$C$4:$C$1502,0),-1)),"-",INDEX(Catalogo!$H$4:$H$1502,_xlfn.IFNA(MATCH(C727,Catalogo!$C$4:$C$1502,0),-1))),"")</f>
        <v/>
      </c>
    </row>
    <row r="728" spans="3:5" x14ac:dyDescent="0.25">
      <c r="C728" s="8"/>
      <c r="D728" s="11" t="str">
        <f>IFERROR(INDEX(Catalogo!$E$4:$E$1502,_xlfn.IFNA(MATCH(C728,Catalogo!$C$4:$C$1502,0),-1)),"")</f>
        <v/>
      </c>
      <c r="E728" s="12" t="str">
        <f>IFERROR(_xlfn.CONCAT(INDEX(Catalogo!$G$4:$G$1502,_xlfn.IFNA(MATCH(C728,Catalogo!$C$4:$C$1502,0),-1)),"-",INDEX(Catalogo!$H$4:$H$1502,_xlfn.IFNA(MATCH(C728,Catalogo!$C$4:$C$1502,0),-1))),"")</f>
        <v/>
      </c>
    </row>
    <row r="729" spans="3:5" x14ac:dyDescent="0.25">
      <c r="C729" s="8"/>
      <c r="D729" s="11" t="str">
        <f>IFERROR(INDEX(Catalogo!$E$4:$E$1502,_xlfn.IFNA(MATCH(C729,Catalogo!$C$4:$C$1502,0),-1)),"")</f>
        <v/>
      </c>
      <c r="E729" s="12" t="str">
        <f>IFERROR(_xlfn.CONCAT(INDEX(Catalogo!$G$4:$G$1502,_xlfn.IFNA(MATCH(C729,Catalogo!$C$4:$C$1502,0),-1)),"-",INDEX(Catalogo!$H$4:$H$1502,_xlfn.IFNA(MATCH(C729,Catalogo!$C$4:$C$1502,0),-1))),"")</f>
        <v/>
      </c>
    </row>
    <row r="730" spans="3:5" x14ac:dyDescent="0.25">
      <c r="C730" s="8"/>
      <c r="D730" s="11" t="str">
        <f>IFERROR(INDEX(Catalogo!$E$4:$E$1502,_xlfn.IFNA(MATCH(C730,Catalogo!$C$4:$C$1502,0),-1)),"")</f>
        <v/>
      </c>
      <c r="E730" s="12" t="str">
        <f>IFERROR(_xlfn.CONCAT(INDEX(Catalogo!$G$4:$G$1502,_xlfn.IFNA(MATCH(C730,Catalogo!$C$4:$C$1502,0),-1)),"-",INDEX(Catalogo!$H$4:$H$1502,_xlfn.IFNA(MATCH(C730,Catalogo!$C$4:$C$1502,0),-1))),"")</f>
        <v/>
      </c>
    </row>
    <row r="731" spans="3:5" x14ac:dyDescent="0.25">
      <c r="C731" s="8"/>
      <c r="D731" s="11" t="str">
        <f>IFERROR(INDEX(Catalogo!$E$4:$E$1502,_xlfn.IFNA(MATCH(C731,Catalogo!$C$4:$C$1502,0),-1)),"")</f>
        <v/>
      </c>
      <c r="E731" s="12" t="str">
        <f>IFERROR(_xlfn.CONCAT(INDEX(Catalogo!$G$4:$G$1502,_xlfn.IFNA(MATCH(C731,Catalogo!$C$4:$C$1502,0),-1)),"-",INDEX(Catalogo!$H$4:$H$1502,_xlfn.IFNA(MATCH(C731,Catalogo!$C$4:$C$1502,0),-1))),"")</f>
        <v/>
      </c>
    </row>
    <row r="732" spans="3:5" x14ac:dyDescent="0.25">
      <c r="C732" s="8"/>
      <c r="D732" s="11" t="str">
        <f>IFERROR(INDEX(Catalogo!$E$4:$E$1502,_xlfn.IFNA(MATCH(C732,Catalogo!$C$4:$C$1502,0),-1)),"")</f>
        <v/>
      </c>
      <c r="E732" s="12" t="str">
        <f>IFERROR(_xlfn.CONCAT(INDEX(Catalogo!$G$4:$G$1502,_xlfn.IFNA(MATCH(C732,Catalogo!$C$4:$C$1502,0),-1)),"-",INDEX(Catalogo!$H$4:$H$1502,_xlfn.IFNA(MATCH(C732,Catalogo!$C$4:$C$1502,0),-1))),"")</f>
        <v/>
      </c>
    </row>
    <row r="733" spans="3:5" x14ac:dyDescent="0.25">
      <c r="C733" s="8"/>
      <c r="D733" s="11" t="str">
        <f>IFERROR(INDEX(Catalogo!$E$4:$E$1502,_xlfn.IFNA(MATCH(C733,Catalogo!$C$4:$C$1502,0),-1)),"")</f>
        <v/>
      </c>
      <c r="E733" s="12" t="str">
        <f>IFERROR(_xlfn.CONCAT(INDEX(Catalogo!$G$4:$G$1502,_xlfn.IFNA(MATCH(C733,Catalogo!$C$4:$C$1502,0),-1)),"-",INDEX(Catalogo!$H$4:$H$1502,_xlfn.IFNA(MATCH(C733,Catalogo!$C$4:$C$1502,0),-1))),"")</f>
        <v/>
      </c>
    </row>
    <row r="734" spans="3:5" x14ac:dyDescent="0.25">
      <c r="C734" s="8"/>
      <c r="D734" s="11" t="str">
        <f>IFERROR(INDEX(Catalogo!$E$4:$E$1502,_xlfn.IFNA(MATCH(C734,Catalogo!$C$4:$C$1502,0),-1)),"")</f>
        <v/>
      </c>
      <c r="E734" s="12" t="str">
        <f>IFERROR(_xlfn.CONCAT(INDEX(Catalogo!$G$4:$G$1502,_xlfn.IFNA(MATCH(C734,Catalogo!$C$4:$C$1502,0),-1)),"-",INDEX(Catalogo!$H$4:$H$1502,_xlfn.IFNA(MATCH(C734,Catalogo!$C$4:$C$1502,0),-1))),"")</f>
        <v/>
      </c>
    </row>
    <row r="735" spans="3:5" x14ac:dyDescent="0.25">
      <c r="C735" s="8"/>
      <c r="D735" s="11" t="str">
        <f>IFERROR(INDEX(Catalogo!$E$4:$E$1502,_xlfn.IFNA(MATCH(C735,Catalogo!$C$4:$C$1502,0),-1)),"")</f>
        <v/>
      </c>
      <c r="E735" s="12" t="str">
        <f>IFERROR(_xlfn.CONCAT(INDEX(Catalogo!$G$4:$G$1502,_xlfn.IFNA(MATCH(C735,Catalogo!$C$4:$C$1502,0),-1)),"-",INDEX(Catalogo!$H$4:$H$1502,_xlfn.IFNA(MATCH(C735,Catalogo!$C$4:$C$1502,0),-1))),"")</f>
        <v/>
      </c>
    </row>
    <row r="736" spans="3:5" x14ac:dyDescent="0.25">
      <c r="C736" s="8"/>
      <c r="D736" s="11" t="str">
        <f>IFERROR(INDEX(Catalogo!$E$4:$E$1502,_xlfn.IFNA(MATCH(C736,Catalogo!$C$4:$C$1502,0),-1)),"")</f>
        <v/>
      </c>
      <c r="E736" s="12" t="str">
        <f>IFERROR(_xlfn.CONCAT(INDEX(Catalogo!$G$4:$G$1502,_xlfn.IFNA(MATCH(C736,Catalogo!$C$4:$C$1502,0),-1)),"-",INDEX(Catalogo!$H$4:$H$1502,_xlfn.IFNA(MATCH(C736,Catalogo!$C$4:$C$1502,0),-1))),"")</f>
        <v/>
      </c>
    </row>
    <row r="737" spans="3:5" x14ac:dyDescent="0.25">
      <c r="C737" s="8"/>
      <c r="D737" s="11" t="str">
        <f>IFERROR(INDEX(Catalogo!$E$4:$E$1502,_xlfn.IFNA(MATCH(C737,Catalogo!$C$4:$C$1502,0),-1)),"")</f>
        <v/>
      </c>
      <c r="E737" s="12" t="str">
        <f>IFERROR(_xlfn.CONCAT(INDEX(Catalogo!$G$4:$G$1502,_xlfn.IFNA(MATCH(C737,Catalogo!$C$4:$C$1502,0),-1)),"-",INDEX(Catalogo!$H$4:$H$1502,_xlfn.IFNA(MATCH(C737,Catalogo!$C$4:$C$1502,0),-1))),"")</f>
        <v/>
      </c>
    </row>
    <row r="738" spans="3:5" x14ac:dyDescent="0.25">
      <c r="C738" s="8"/>
      <c r="D738" s="11" t="str">
        <f>IFERROR(INDEX(Catalogo!$E$4:$E$1502,_xlfn.IFNA(MATCH(C738,Catalogo!$C$4:$C$1502,0),-1)),"")</f>
        <v/>
      </c>
      <c r="E738" s="12" t="str">
        <f>IFERROR(_xlfn.CONCAT(INDEX(Catalogo!$G$4:$G$1502,_xlfn.IFNA(MATCH(C738,Catalogo!$C$4:$C$1502,0),-1)),"-",INDEX(Catalogo!$H$4:$H$1502,_xlfn.IFNA(MATCH(C738,Catalogo!$C$4:$C$1502,0),-1))),"")</f>
        <v/>
      </c>
    </row>
    <row r="739" spans="3:5" x14ac:dyDescent="0.25">
      <c r="C739" s="8"/>
      <c r="D739" s="11" t="str">
        <f>IFERROR(INDEX(Catalogo!$E$4:$E$1502,_xlfn.IFNA(MATCH(C739,Catalogo!$C$4:$C$1502,0),-1)),"")</f>
        <v/>
      </c>
      <c r="E739" s="12" t="str">
        <f>IFERROR(_xlfn.CONCAT(INDEX(Catalogo!$G$4:$G$1502,_xlfn.IFNA(MATCH(C739,Catalogo!$C$4:$C$1502,0),-1)),"-",INDEX(Catalogo!$H$4:$H$1502,_xlfn.IFNA(MATCH(C739,Catalogo!$C$4:$C$1502,0),-1))),"")</f>
        <v/>
      </c>
    </row>
    <row r="740" spans="3:5" x14ac:dyDescent="0.25">
      <c r="C740" s="8"/>
      <c r="D740" s="11" t="str">
        <f>IFERROR(INDEX(Catalogo!$E$4:$E$1502,_xlfn.IFNA(MATCH(C740,Catalogo!$C$4:$C$1502,0),-1)),"")</f>
        <v/>
      </c>
      <c r="E740" s="12" t="str">
        <f>IFERROR(_xlfn.CONCAT(INDEX(Catalogo!$G$4:$G$1502,_xlfn.IFNA(MATCH(C740,Catalogo!$C$4:$C$1502,0),-1)),"-",INDEX(Catalogo!$H$4:$H$1502,_xlfn.IFNA(MATCH(C740,Catalogo!$C$4:$C$1502,0),-1))),"")</f>
        <v/>
      </c>
    </row>
    <row r="741" spans="3:5" x14ac:dyDescent="0.25">
      <c r="C741" s="8"/>
      <c r="D741" s="11" t="str">
        <f>IFERROR(INDEX(Catalogo!$E$4:$E$1502,_xlfn.IFNA(MATCH(C741,Catalogo!$C$4:$C$1502,0),-1)),"")</f>
        <v/>
      </c>
      <c r="E741" s="12" t="str">
        <f>IFERROR(_xlfn.CONCAT(INDEX(Catalogo!$G$4:$G$1502,_xlfn.IFNA(MATCH(C741,Catalogo!$C$4:$C$1502,0),-1)),"-",INDEX(Catalogo!$H$4:$H$1502,_xlfn.IFNA(MATCH(C741,Catalogo!$C$4:$C$1502,0),-1))),"")</f>
        <v/>
      </c>
    </row>
    <row r="742" spans="3:5" x14ac:dyDescent="0.25">
      <c r="C742" s="8"/>
      <c r="D742" s="11" t="str">
        <f>IFERROR(INDEX(Catalogo!$E$4:$E$1502,_xlfn.IFNA(MATCH(C742,Catalogo!$C$4:$C$1502,0),-1)),"")</f>
        <v/>
      </c>
      <c r="E742" s="12" t="str">
        <f>IFERROR(_xlfn.CONCAT(INDEX(Catalogo!$G$4:$G$1502,_xlfn.IFNA(MATCH(C742,Catalogo!$C$4:$C$1502,0),-1)),"-",INDEX(Catalogo!$H$4:$H$1502,_xlfn.IFNA(MATCH(C742,Catalogo!$C$4:$C$1502,0),-1))),"")</f>
        <v/>
      </c>
    </row>
    <row r="743" spans="3:5" x14ac:dyDescent="0.25">
      <c r="C743" s="8"/>
      <c r="D743" s="11" t="str">
        <f>IFERROR(INDEX(Catalogo!$E$4:$E$1502,_xlfn.IFNA(MATCH(C743,Catalogo!$C$4:$C$1502,0),-1)),"")</f>
        <v/>
      </c>
      <c r="E743" s="12" t="str">
        <f>IFERROR(_xlfn.CONCAT(INDEX(Catalogo!$G$4:$G$1502,_xlfn.IFNA(MATCH(C743,Catalogo!$C$4:$C$1502,0),-1)),"-",INDEX(Catalogo!$H$4:$H$1502,_xlfn.IFNA(MATCH(C743,Catalogo!$C$4:$C$1502,0),-1))),"")</f>
        <v/>
      </c>
    </row>
    <row r="744" spans="3:5" x14ac:dyDescent="0.25">
      <c r="C744" s="8"/>
      <c r="D744" s="11" t="str">
        <f>IFERROR(INDEX(Catalogo!$E$4:$E$1502,_xlfn.IFNA(MATCH(C744,Catalogo!$C$4:$C$1502,0),-1)),"")</f>
        <v/>
      </c>
      <c r="E744" s="12" t="str">
        <f>IFERROR(_xlfn.CONCAT(INDEX(Catalogo!$G$4:$G$1502,_xlfn.IFNA(MATCH(C744,Catalogo!$C$4:$C$1502,0),-1)),"-",INDEX(Catalogo!$H$4:$H$1502,_xlfn.IFNA(MATCH(C744,Catalogo!$C$4:$C$1502,0),-1))),"")</f>
        <v/>
      </c>
    </row>
    <row r="745" spans="3:5" x14ac:dyDescent="0.25">
      <c r="C745" s="8"/>
      <c r="D745" s="11" t="str">
        <f>IFERROR(INDEX(Catalogo!$E$4:$E$1502,_xlfn.IFNA(MATCH(C745,Catalogo!$C$4:$C$1502,0),-1)),"")</f>
        <v/>
      </c>
      <c r="E745" s="12" t="str">
        <f>IFERROR(_xlfn.CONCAT(INDEX(Catalogo!$G$4:$G$1502,_xlfn.IFNA(MATCH(C745,Catalogo!$C$4:$C$1502,0),-1)),"-",INDEX(Catalogo!$H$4:$H$1502,_xlfn.IFNA(MATCH(C745,Catalogo!$C$4:$C$1502,0),-1))),"")</f>
        <v/>
      </c>
    </row>
    <row r="746" spans="3:5" x14ac:dyDescent="0.25">
      <c r="C746" s="8"/>
      <c r="D746" s="11" t="str">
        <f>IFERROR(INDEX(Catalogo!$E$4:$E$1502,_xlfn.IFNA(MATCH(C746,Catalogo!$C$4:$C$1502,0),-1)),"")</f>
        <v/>
      </c>
      <c r="E746" s="12" t="str">
        <f>IFERROR(_xlfn.CONCAT(INDEX(Catalogo!$G$4:$G$1502,_xlfn.IFNA(MATCH(C746,Catalogo!$C$4:$C$1502,0),-1)),"-",INDEX(Catalogo!$H$4:$H$1502,_xlfn.IFNA(MATCH(C746,Catalogo!$C$4:$C$1502,0),-1))),"")</f>
        <v/>
      </c>
    </row>
    <row r="747" spans="3:5" x14ac:dyDescent="0.25">
      <c r="C747" s="8"/>
      <c r="D747" s="11" t="str">
        <f>IFERROR(INDEX(Catalogo!$E$4:$E$1502,_xlfn.IFNA(MATCH(C747,Catalogo!$C$4:$C$1502,0),-1)),"")</f>
        <v/>
      </c>
      <c r="E747" s="12" t="str">
        <f>IFERROR(_xlfn.CONCAT(INDEX(Catalogo!$G$4:$G$1502,_xlfn.IFNA(MATCH(C747,Catalogo!$C$4:$C$1502,0),-1)),"-",INDEX(Catalogo!$H$4:$H$1502,_xlfn.IFNA(MATCH(C747,Catalogo!$C$4:$C$1502,0),-1))),"")</f>
        <v/>
      </c>
    </row>
    <row r="748" spans="3:5" x14ac:dyDescent="0.25">
      <c r="C748" s="8"/>
      <c r="D748" s="11" t="str">
        <f>IFERROR(INDEX(Catalogo!$E$4:$E$1502,_xlfn.IFNA(MATCH(C748,Catalogo!$C$4:$C$1502,0),-1)),"")</f>
        <v/>
      </c>
      <c r="E748" s="12" t="str">
        <f>IFERROR(_xlfn.CONCAT(INDEX(Catalogo!$G$4:$G$1502,_xlfn.IFNA(MATCH(C748,Catalogo!$C$4:$C$1502,0),-1)),"-",INDEX(Catalogo!$H$4:$H$1502,_xlfn.IFNA(MATCH(C748,Catalogo!$C$4:$C$1502,0),-1))),"")</f>
        <v/>
      </c>
    </row>
    <row r="749" spans="3:5" x14ac:dyDescent="0.25">
      <c r="C749" s="8"/>
      <c r="D749" s="11" t="str">
        <f>IFERROR(INDEX(Catalogo!$E$4:$E$1502,_xlfn.IFNA(MATCH(C749,Catalogo!$C$4:$C$1502,0),-1)),"")</f>
        <v/>
      </c>
      <c r="E749" s="12" t="str">
        <f>IFERROR(_xlfn.CONCAT(INDEX(Catalogo!$G$4:$G$1502,_xlfn.IFNA(MATCH(C749,Catalogo!$C$4:$C$1502,0),-1)),"-",INDEX(Catalogo!$H$4:$H$1502,_xlfn.IFNA(MATCH(C749,Catalogo!$C$4:$C$1502,0),-1))),"")</f>
        <v/>
      </c>
    </row>
    <row r="750" spans="3:5" x14ac:dyDescent="0.25">
      <c r="C750" s="8"/>
      <c r="D750" s="11" t="str">
        <f>IFERROR(INDEX(Catalogo!$E$4:$E$1502,_xlfn.IFNA(MATCH(C750,Catalogo!$C$4:$C$1502,0),-1)),"")</f>
        <v/>
      </c>
      <c r="E750" s="12" t="str">
        <f>IFERROR(_xlfn.CONCAT(INDEX(Catalogo!$G$4:$G$1502,_xlfn.IFNA(MATCH(C750,Catalogo!$C$4:$C$1502,0),-1)),"-",INDEX(Catalogo!$H$4:$H$1502,_xlfn.IFNA(MATCH(C750,Catalogo!$C$4:$C$1502,0),-1))),"")</f>
        <v/>
      </c>
    </row>
    <row r="751" spans="3:5" x14ac:dyDescent="0.25">
      <c r="C751" s="8"/>
      <c r="D751" s="11" t="str">
        <f>IFERROR(INDEX(Catalogo!$E$4:$E$1502,_xlfn.IFNA(MATCH(C751,Catalogo!$C$4:$C$1502,0),-1)),"")</f>
        <v/>
      </c>
      <c r="E751" s="12" t="str">
        <f>IFERROR(_xlfn.CONCAT(INDEX(Catalogo!$G$4:$G$1502,_xlfn.IFNA(MATCH(C751,Catalogo!$C$4:$C$1502,0),-1)),"-",INDEX(Catalogo!$H$4:$H$1502,_xlfn.IFNA(MATCH(C751,Catalogo!$C$4:$C$1502,0),-1))),"")</f>
        <v/>
      </c>
    </row>
    <row r="752" spans="3:5" x14ac:dyDescent="0.25">
      <c r="C752" s="8"/>
      <c r="D752" s="11" t="str">
        <f>IFERROR(INDEX(Catalogo!$E$4:$E$1502,_xlfn.IFNA(MATCH(C752,Catalogo!$C$4:$C$1502,0),-1)),"")</f>
        <v/>
      </c>
      <c r="E752" s="12" t="str">
        <f>IFERROR(_xlfn.CONCAT(INDEX(Catalogo!$G$4:$G$1502,_xlfn.IFNA(MATCH(C752,Catalogo!$C$4:$C$1502,0),-1)),"-",INDEX(Catalogo!$H$4:$H$1502,_xlfn.IFNA(MATCH(C752,Catalogo!$C$4:$C$1502,0),-1))),"")</f>
        <v/>
      </c>
    </row>
    <row r="753" spans="3:5" x14ac:dyDescent="0.25">
      <c r="C753" s="8"/>
      <c r="D753" s="11" t="str">
        <f>IFERROR(INDEX(Catalogo!$E$4:$E$1502,_xlfn.IFNA(MATCH(C753,Catalogo!$C$4:$C$1502,0),-1)),"")</f>
        <v/>
      </c>
      <c r="E753" s="12" t="str">
        <f>IFERROR(_xlfn.CONCAT(INDEX(Catalogo!$G$4:$G$1502,_xlfn.IFNA(MATCH(C753,Catalogo!$C$4:$C$1502,0),-1)),"-",INDEX(Catalogo!$H$4:$H$1502,_xlfn.IFNA(MATCH(C753,Catalogo!$C$4:$C$1502,0),-1))),"")</f>
        <v/>
      </c>
    </row>
    <row r="754" spans="3:5" x14ac:dyDescent="0.25">
      <c r="C754" s="8"/>
      <c r="D754" s="11" t="str">
        <f>IFERROR(INDEX(Catalogo!$E$4:$E$1502,_xlfn.IFNA(MATCH(C754,Catalogo!$C$4:$C$1502,0),-1)),"")</f>
        <v/>
      </c>
      <c r="E754" s="12" t="str">
        <f>IFERROR(_xlfn.CONCAT(INDEX(Catalogo!$G$4:$G$1502,_xlfn.IFNA(MATCH(C754,Catalogo!$C$4:$C$1502,0),-1)),"-",INDEX(Catalogo!$H$4:$H$1502,_xlfn.IFNA(MATCH(C754,Catalogo!$C$4:$C$1502,0),-1))),"")</f>
        <v/>
      </c>
    </row>
    <row r="755" spans="3:5" x14ac:dyDescent="0.25">
      <c r="C755" s="8"/>
      <c r="D755" s="11" t="str">
        <f>IFERROR(INDEX(Catalogo!$E$4:$E$1502,_xlfn.IFNA(MATCH(C755,Catalogo!$C$4:$C$1502,0),-1)),"")</f>
        <v/>
      </c>
      <c r="E755" s="12" t="str">
        <f>IFERROR(_xlfn.CONCAT(INDEX(Catalogo!$G$4:$G$1502,_xlfn.IFNA(MATCH(C755,Catalogo!$C$4:$C$1502,0),-1)),"-",INDEX(Catalogo!$H$4:$H$1502,_xlfn.IFNA(MATCH(C755,Catalogo!$C$4:$C$1502,0),-1))),"")</f>
        <v/>
      </c>
    </row>
    <row r="756" spans="3:5" x14ac:dyDescent="0.25">
      <c r="C756" s="8"/>
      <c r="D756" s="11" t="str">
        <f>IFERROR(INDEX(Catalogo!$E$4:$E$1502,_xlfn.IFNA(MATCH(C756,Catalogo!$C$4:$C$1502,0),-1)),"")</f>
        <v/>
      </c>
      <c r="E756" s="12" t="str">
        <f>IFERROR(_xlfn.CONCAT(INDEX(Catalogo!$G$4:$G$1502,_xlfn.IFNA(MATCH(C756,Catalogo!$C$4:$C$1502,0),-1)),"-",INDEX(Catalogo!$H$4:$H$1502,_xlfn.IFNA(MATCH(C756,Catalogo!$C$4:$C$1502,0),-1))),"")</f>
        <v/>
      </c>
    </row>
    <row r="757" spans="3:5" x14ac:dyDescent="0.25">
      <c r="C757" s="8"/>
      <c r="D757" s="11" t="str">
        <f>IFERROR(INDEX(Catalogo!$E$4:$E$1502,_xlfn.IFNA(MATCH(C757,Catalogo!$C$4:$C$1502,0),-1)),"")</f>
        <v/>
      </c>
      <c r="E757" s="12" t="str">
        <f>IFERROR(_xlfn.CONCAT(INDEX(Catalogo!$G$4:$G$1502,_xlfn.IFNA(MATCH(C757,Catalogo!$C$4:$C$1502,0),-1)),"-",INDEX(Catalogo!$H$4:$H$1502,_xlfn.IFNA(MATCH(C757,Catalogo!$C$4:$C$1502,0),-1))),"")</f>
        <v/>
      </c>
    </row>
    <row r="758" spans="3:5" x14ac:dyDescent="0.25">
      <c r="C758" s="8"/>
      <c r="D758" s="11" t="str">
        <f>IFERROR(INDEX(Catalogo!$E$4:$E$1502,_xlfn.IFNA(MATCH(C758,Catalogo!$C$4:$C$1502,0),-1)),"")</f>
        <v/>
      </c>
      <c r="E758" s="12" t="str">
        <f>IFERROR(_xlfn.CONCAT(INDEX(Catalogo!$G$4:$G$1502,_xlfn.IFNA(MATCH(C758,Catalogo!$C$4:$C$1502,0),-1)),"-",INDEX(Catalogo!$H$4:$H$1502,_xlfn.IFNA(MATCH(C758,Catalogo!$C$4:$C$1502,0),-1))),"")</f>
        <v/>
      </c>
    </row>
    <row r="759" spans="3:5" x14ac:dyDescent="0.25">
      <c r="C759" s="8"/>
      <c r="D759" s="11" t="str">
        <f>IFERROR(INDEX(Catalogo!$E$4:$E$1502,_xlfn.IFNA(MATCH(C759,Catalogo!$C$4:$C$1502,0),-1)),"")</f>
        <v/>
      </c>
      <c r="E759" s="12" t="str">
        <f>IFERROR(_xlfn.CONCAT(INDEX(Catalogo!$G$4:$G$1502,_xlfn.IFNA(MATCH(C759,Catalogo!$C$4:$C$1502,0),-1)),"-",INDEX(Catalogo!$H$4:$H$1502,_xlfn.IFNA(MATCH(C759,Catalogo!$C$4:$C$1502,0),-1))),"")</f>
        <v/>
      </c>
    </row>
    <row r="760" spans="3:5" x14ac:dyDescent="0.25">
      <c r="C760" s="8"/>
      <c r="D760" s="11" t="str">
        <f>IFERROR(INDEX(Catalogo!$E$4:$E$1502,_xlfn.IFNA(MATCH(C760,Catalogo!$C$4:$C$1502,0),-1)),"")</f>
        <v/>
      </c>
      <c r="E760" s="12" t="str">
        <f>IFERROR(_xlfn.CONCAT(INDEX(Catalogo!$G$4:$G$1502,_xlfn.IFNA(MATCH(C760,Catalogo!$C$4:$C$1502,0),-1)),"-",INDEX(Catalogo!$H$4:$H$1502,_xlfn.IFNA(MATCH(C760,Catalogo!$C$4:$C$1502,0),-1))),"")</f>
        <v/>
      </c>
    </row>
    <row r="761" spans="3:5" x14ac:dyDescent="0.25">
      <c r="C761" s="8"/>
      <c r="D761" s="11" t="str">
        <f>IFERROR(INDEX(Catalogo!$E$4:$E$1502,_xlfn.IFNA(MATCH(C761,Catalogo!$C$4:$C$1502,0),-1)),"")</f>
        <v/>
      </c>
      <c r="E761" s="12" t="str">
        <f>IFERROR(_xlfn.CONCAT(INDEX(Catalogo!$G$4:$G$1502,_xlfn.IFNA(MATCH(C761,Catalogo!$C$4:$C$1502,0),-1)),"-",INDEX(Catalogo!$H$4:$H$1502,_xlfn.IFNA(MATCH(C761,Catalogo!$C$4:$C$1502,0),-1))),"")</f>
        <v/>
      </c>
    </row>
    <row r="762" spans="3:5" x14ac:dyDescent="0.25">
      <c r="C762" s="8"/>
      <c r="D762" s="11" t="str">
        <f>IFERROR(INDEX(Catalogo!$E$4:$E$1502,_xlfn.IFNA(MATCH(C762,Catalogo!$C$4:$C$1502,0),-1)),"")</f>
        <v/>
      </c>
      <c r="E762" s="12" t="str">
        <f>IFERROR(_xlfn.CONCAT(INDEX(Catalogo!$G$4:$G$1502,_xlfn.IFNA(MATCH(C762,Catalogo!$C$4:$C$1502,0),-1)),"-",INDEX(Catalogo!$H$4:$H$1502,_xlfn.IFNA(MATCH(C762,Catalogo!$C$4:$C$1502,0),-1))),"")</f>
        <v/>
      </c>
    </row>
    <row r="763" spans="3:5" x14ac:dyDescent="0.25">
      <c r="C763" s="8"/>
      <c r="D763" s="11" t="str">
        <f>IFERROR(INDEX(Catalogo!$E$4:$E$1502,_xlfn.IFNA(MATCH(C763,Catalogo!$C$4:$C$1502,0),-1)),"")</f>
        <v/>
      </c>
      <c r="E763" s="12" t="str">
        <f>IFERROR(_xlfn.CONCAT(INDEX(Catalogo!$G$4:$G$1502,_xlfn.IFNA(MATCH(C763,Catalogo!$C$4:$C$1502,0),-1)),"-",INDEX(Catalogo!$H$4:$H$1502,_xlfn.IFNA(MATCH(C763,Catalogo!$C$4:$C$1502,0),-1))),"")</f>
        <v/>
      </c>
    </row>
    <row r="764" spans="3:5" x14ac:dyDescent="0.25">
      <c r="C764" s="8"/>
      <c r="D764" s="11" t="str">
        <f>IFERROR(INDEX(Catalogo!$E$4:$E$1502,_xlfn.IFNA(MATCH(C764,Catalogo!$C$4:$C$1502,0),-1)),"")</f>
        <v/>
      </c>
      <c r="E764" s="12" t="str">
        <f>IFERROR(_xlfn.CONCAT(INDEX(Catalogo!$G$4:$G$1502,_xlfn.IFNA(MATCH(C764,Catalogo!$C$4:$C$1502,0),-1)),"-",INDEX(Catalogo!$H$4:$H$1502,_xlfn.IFNA(MATCH(C764,Catalogo!$C$4:$C$1502,0),-1))),"")</f>
        <v/>
      </c>
    </row>
    <row r="765" spans="3:5" x14ac:dyDescent="0.25">
      <c r="C765" s="8"/>
      <c r="D765" s="11" t="str">
        <f>IFERROR(INDEX(Catalogo!$E$4:$E$1502,_xlfn.IFNA(MATCH(C765,Catalogo!$C$4:$C$1502,0),-1)),"")</f>
        <v/>
      </c>
      <c r="E765" s="12" t="str">
        <f>IFERROR(_xlfn.CONCAT(INDEX(Catalogo!$G$4:$G$1502,_xlfn.IFNA(MATCH(C765,Catalogo!$C$4:$C$1502,0),-1)),"-",INDEX(Catalogo!$H$4:$H$1502,_xlfn.IFNA(MATCH(C765,Catalogo!$C$4:$C$1502,0),-1))),"")</f>
        <v/>
      </c>
    </row>
    <row r="766" spans="3:5" x14ac:dyDescent="0.25">
      <c r="C766" s="8"/>
      <c r="D766" s="11" t="str">
        <f>IFERROR(INDEX(Catalogo!$E$4:$E$1502,_xlfn.IFNA(MATCH(C766,Catalogo!$C$4:$C$1502,0),-1)),"")</f>
        <v/>
      </c>
      <c r="E766" s="12" t="str">
        <f>IFERROR(_xlfn.CONCAT(INDEX(Catalogo!$G$4:$G$1502,_xlfn.IFNA(MATCH(C766,Catalogo!$C$4:$C$1502,0),-1)),"-",INDEX(Catalogo!$H$4:$H$1502,_xlfn.IFNA(MATCH(C766,Catalogo!$C$4:$C$1502,0),-1))),"")</f>
        <v/>
      </c>
    </row>
    <row r="767" spans="3:5" x14ac:dyDescent="0.25">
      <c r="C767" s="8"/>
      <c r="D767" s="11" t="str">
        <f>IFERROR(INDEX(Catalogo!$E$4:$E$1502,_xlfn.IFNA(MATCH(C767,Catalogo!$C$4:$C$1502,0),-1)),"")</f>
        <v/>
      </c>
      <c r="E767" s="12" t="str">
        <f>IFERROR(_xlfn.CONCAT(INDEX(Catalogo!$G$4:$G$1502,_xlfn.IFNA(MATCH(C767,Catalogo!$C$4:$C$1502,0),-1)),"-",INDEX(Catalogo!$H$4:$H$1502,_xlfn.IFNA(MATCH(C767,Catalogo!$C$4:$C$1502,0),-1))),"")</f>
        <v/>
      </c>
    </row>
    <row r="768" spans="3:5" x14ac:dyDescent="0.25">
      <c r="C768" s="8"/>
      <c r="D768" s="11" t="str">
        <f>IFERROR(INDEX(Catalogo!$E$4:$E$1502,_xlfn.IFNA(MATCH(C768,Catalogo!$C$4:$C$1502,0),-1)),"")</f>
        <v/>
      </c>
      <c r="E768" s="12" t="str">
        <f>IFERROR(_xlfn.CONCAT(INDEX(Catalogo!$G$4:$G$1502,_xlfn.IFNA(MATCH(C768,Catalogo!$C$4:$C$1502,0),-1)),"-",INDEX(Catalogo!$H$4:$H$1502,_xlfn.IFNA(MATCH(C768,Catalogo!$C$4:$C$1502,0),-1))),"")</f>
        <v/>
      </c>
    </row>
    <row r="769" spans="3:5" x14ac:dyDescent="0.25">
      <c r="C769" s="8"/>
      <c r="D769" s="11" t="str">
        <f>IFERROR(INDEX(Catalogo!$E$4:$E$1502,_xlfn.IFNA(MATCH(C769,Catalogo!$C$4:$C$1502,0),-1)),"")</f>
        <v/>
      </c>
      <c r="E769" s="12" t="str">
        <f>IFERROR(_xlfn.CONCAT(INDEX(Catalogo!$G$4:$G$1502,_xlfn.IFNA(MATCH(C769,Catalogo!$C$4:$C$1502,0),-1)),"-",INDEX(Catalogo!$H$4:$H$1502,_xlfn.IFNA(MATCH(C769,Catalogo!$C$4:$C$1502,0),-1))),"")</f>
        <v/>
      </c>
    </row>
    <row r="770" spans="3:5" x14ac:dyDescent="0.25">
      <c r="C770" s="8"/>
      <c r="D770" s="11" t="str">
        <f>IFERROR(INDEX(Catalogo!$E$4:$E$1502,_xlfn.IFNA(MATCH(C770,Catalogo!$C$4:$C$1502,0),-1)),"")</f>
        <v/>
      </c>
      <c r="E770" s="12" t="str">
        <f>IFERROR(_xlfn.CONCAT(INDEX(Catalogo!$G$4:$G$1502,_xlfn.IFNA(MATCH(C770,Catalogo!$C$4:$C$1502,0),-1)),"-",INDEX(Catalogo!$H$4:$H$1502,_xlfn.IFNA(MATCH(C770,Catalogo!$C$4:$C$1502,0),-1))),"")</f>
        <v/>
      </c>
    </row>
    <row r="771" spans="3:5" x14ac:dyDescent="0.25">
      <c r="C771" s="8"/>
      <c r="D771" s="11" t="str">
        <f>IFERROR(INDEX(Catalogo!$E$4:$E$1502,_xlfn.IFNA(MATCH(C771,Catalogo!$C$4:$C$1502,0),-1)),"")</f>
        <v/>
      </c>
      <c r="E771" s="12" t="str">
        <f>IFERROR(_xlfn.CONCAT(INDEX(Catalogo!$G$4:$G$1502,_xlfn.IFNA(MATCH(C771,Catalogo!$C$4:$C$1502,0),-1)),"-",INDEX(Catalogo!$H$4:$H$1502,_xlfn.IFNA(MATCH(C771,Catalogo!$C$4:$C$1502,0),-1))),"")</f>
        <v/>
      </c>
    </row>
    <row r="772" spans="3:5" x14ac:dyDescent="0.25">
      <c r="C772" s="8"/>
      <c r="D772" s="11" t="str">
        <f>IFERROR(INDEX(Catalogo!$E$4:$E$1502,_xlfn.IFNA(MATCH(C772,Catalogo!$C$4:$C$1502,0),-1)),"")</f>
        <v/>
      </c>
      <c r="E772" s="12" t="str">
        <f>IFERROR(_xlfn.CONCAT(INDEX(Catalogo!$G$4:$G$1502,_xlfn.IFNA(MATCH(C772,Catalogo!$C$4:$C$1502,0),-1)),"-",INDEX(Catalogo!$H$4:$H$1502,_xlfn.IFNA(MATCH(C772,Catalogo!$C$4:$C$1502,0),-1))),"")</f>
        <v/>
      </c>
    </row>
    <row r="773" spans="3:5" x14ac:dyDescent="0.25">
      <c r="C773" s="8"/>
      <c r="D773" s="11" t="str">
        <f>IFERROR(INDEX(Catalogo!$E$4:$E$1502,_xlfn.IFNA(MATCH(C773,Catalogo!$C$4:$C$1502,0),-1)),"")</f>
        <v/>
      </c>
      <c r="E773" s="12" t="str">
        <f>IFERROR(_xlfn.CONCAT(INDEX(Catalogo!$G$4:$G$1502,_xlfn.IFNA(MATCH(C773,Catalogo!$C$4:$C$1502,0),-1)),"-",INDEX(Catalogo!$H$4:$H$1502,_xlfn.IFNA(MATCH(C773,Catalogo!$C$4:$C$1502,0),-1))),"")</f>
        <v/>
      </c>
    </row>
    <row r="774" spans="3:5" x14ac:dyDescent="0.25">
      <c r="C774" s="8"/>
      <c r="D774" s="11" t="str">
        <f>IFERROR(INDEX(Catalogo!$E$4:$E$1502,_xlfn.IFNA(MATCH(C774,Catalogo!$C$4:$C$1502,0),-1)),"")</f>
        <v/>
      </c>
      <c r="E774" s="12" t="str">
        <f>IFERROR(_xlfn.CONCAT(INDEX(Catalogo!$G$4:$G$1502,_xlfn.IFNA(MATCH(C774,Catalogo!$C$4:$C$1502,0),-1)),"-",INDEX(Catalogo!$H$4:$H$1502,_xlfn.IFNA(MATCH(C774,Catalogo!$C$4:$C$1502,0),-1))),"")</f>
        <v/>
      </c>
    </row>
    <row r="775" spans="3:5" x14ac:dyDescent="0.25">
      <c r="C775" s="8"/>
      <c r="D775" s="11" t="str">
        <f>IFERROR(INDEX(Catalogo!$E$4:$E$1502,_xlfn.IFNA(MATCH(C775,Catalogo!$C$4:$C$1502,0),-1)),"")</f>
        <v/>
      </c>
      <c r="E775" s="12" t="str">
        <f>IFERROR(_xlfn.CONCAT(INDEX(Catalogo!$G$4:$G$1502,_xlfn.IFNA(MATCH(C775,Catalogo!$C$4:$C$1502,0),-1)),"-",INDEX(Catalogo!$H$4:$H$1502,_xlfn.IFNA(MATCH(C775,Catalogo!$C$4:$C$1502,0),-1))),"")</f>
        <v/>
      </c>
    </row>
    <row r="776" spans="3:5" x14ac:dyDescent="0.25">
      <c r="C776" s="8"/>
      <c r="D776" s="11" t="str">
        <f>IFERROR(INDEX(Catalogo!$E$4:$E$1502,_xlfn.IFNA(MATCH(C776,Catalogo!$C$4:$C$1502,0),-1)),"")</f>
        <v/>
      </c>
      <c r="E776" s="12" t="str">
        <f>IFERROR(_xlfn.CONCAT(INDEX(Catalogo!$G$4:$G$1502,_xlfn.IFNA(MATCH(C776,Catalogo!$C$4:$C$1502,0),-1)),"-",INDEX(Catalogo!$H$4:$H$1502,_xlfn.IFNA(MATCH(C776,Catalogo!$C$4:$C$1502,0),-1))),"")</f>
        <v/>
      </c>
    </row>
    <row r="777" spans="3:5" x14ac:dyDescent="0.25">
      <c r="C777" s="8"/>
      <c r="D777" s="11" t="str">
        <f>IFERROR(INDEX(Catalogo!$E$4:$E$1502,_xlfn.IFNA(MATCH(C777,Catalogo!$C$4:$C$1502,0),-1)),"")</f>
        <v/>
      </c>
      <c r="E777" s="12" t="str">
        <f>IFERROR(_xlfn.CONCAT(INDEX(Catalogo!$G$4:$G$1502,_xlfn.IFNA(MATCH(C777,Catalogo!$C$4:$C$1502,0),-1)),"-",INDEX(Catalogo!$H$4:$H$1502,_xlfn.IFNA(MATCH(C777,Catalogo!$C$4:$C$1502,0),-1))),"")</f>
        <v/>
      </c>
    </row>
    <row r="778" spans="3:5" x14ac:dyDescent="0.25">
      <c r="C778" s="8"/>
      <c r="D778" s="11" t="str">
        <f>IFERROR(INDEX(Catalogo!$E$4:$E$1502,_xlfn.IFNA(MATCH(C778,Catalogo!$C$4:$C$1502,0),-1)),"")</f>
        <v/>
      </c>
      <c r="E778" s="12" t="str">
        <f>IFERROR(_xlfn.CONCAT(INDEX(Catalogo!$G$4:$G$1502,_xlfn.IFNA(MATCH(C778,Catalogo!$C$4:$C$1502,0),-1)),"-",INDEX(Catalogo!$H$4:$H$1502,_xlfn.IFNA(MATCH(C778,Catalogo!$C$4:$C$1502,0),-1))),"")</f>
        <v/>
      </c>
    </row>
    <row r="779" spans="3:5" x14ac:dyDescent="0.25">
      <c r="C779" s="8"/>
      <c r="D779" s="11" t="str">
        <f>IFERROR(INDEX(Catalogo!$E$4:$E$1502,_xlfn.IFNA(MATCH(C779,Catalogo!$C$4:$C$1502,0),-1)),"")</f>
        <v/>
      </c>
      <c r="E779" s="12" t="str">
        <f>IFERROR(_xlfn.CONCAT(INDEX(Catalogo!$G$4:$G$1502,_xlfn.IFNA(MATCH(C779,Catalogo!$C$4:$C$1502,0),-1)),"-",INDEX(Catalogo!$H$4:$H$1502,_xlfn.IFNA(MATCH(C779,Catalogo!$C$4:$C$1502,0),-1))),"")</f>
        <v/>
      </c>
    </row>
    <row r="780" spans="3:5" x14ac:dyDescent="0.25">
      <c r="C780" s="8"/>
      <c r="D780" s="11" t="str">
        <f>IFERROR(INDEX(Catalogo!$E$4:$E$1502,_xlfn.IFNA(MATCH(C780,Catalogo!$C$4:$C$1502,0),-1)),"")</f>
        <v/>
      </c>
      <c r="E780" s="12" t="str">
        <f>IFERROR(_xlfn.CONCAT(INDEX(Catalogo!$G$4:$G$1502,_xlfn.IFNA(MATCH(C780,Catalogo!$C$4:$C$1502,0),-1)),"-",INDEX(Catalogo!$H$4:$H$1502,_xlfn.IFNA(MATCH(C780,Catalogo!$C$4:$C$1502,0),-1))),"")</f>
        <v/>
      </c>
    </row>
    <row r="781" spans="3:5" x14ac:dyDescent="0.25">
      <c r="C781" s="8"/>
      <c r="D781" s="11" t="str">
        <f>IFERROR(INDEX(Catalogo!$E$4:$E$1502,_xlfn.IFNA(MATCH(C781,Catalogo!$C$4:$C$1502,0),-1)),"")</f>
        <v/>
      </c>
      <c r="E781" s="12" t="str">
        <f>IFERROR(_xlfn.CONCAT(INDEX(Catalogo!$G$4:$G$1502,_xlfn.IFNA(MATCH(C781,Catalogo!$C$4:$C$1502,0),-1)),"-",INDEX(Catalogo!$H$4:$H$1502,_xlfn.IFNA(MATCH(C781,Catalogo!$C$4:$C$1502,0),-1))),"")</f>
        <v/>
      </c>
    </row>
    <row r="782" spans="3:5" x14ac:dyDescent="0.25">
      <c r="C782" s="8"/>
      <c r="D782" s="11" t="str">
        <f>IFERROR(INDEX(Catalogo!$E$4:$E$1502,_xlfn.IFNA(MATCH(C782,Catalogo!$C$4:$C$1502,0),-1)),"")</f>
        <v/>
      </c>
      <c r="E782" s="12" t="str">
        <f>IFERROR(_xlfn.CONCAT(INDEX(Catalogo!$G$4:$G$1502,_xlfn.IFNA(MATCH(C782,Catalogo!$C$4:$C$1502,0),-1)),"-",INDEX(Catalogo!$H$4:$H$1502,_xlfn.IFNA(MATCH(C782,Catalogo!$C$4:$C$1502,0),-1))),"")</f>
        <v/>
      </c>
    </row>
    <row r="783" spans="3:5" x14ac:dyDescent="0.25">
      <c r="C783" s="8"/>
      <c r="D783" s="11" t="str">
        <f>IFERROR(INDEX(Catalogo!$E$4:$E$1502,_xlfn.IFNA(MATCH(C783,Catalogo!$C$4:$C$1502,0),-1)),"")</f>
        <v/>
      </c>
      <c r="E783" s="12" t="str">
        <f>IFERROR(_xlfn.CONCAT(INDEX(Catalogo!$G$4:$G$1502,_xlfn.IFNA(MATCH(C783,Catalogo!$C$4:$C$1502,0),-1)),"-",INDEX(Catalogo!$H$4:$H$1502,_xlfn.IFNA(MATCH(C783,Catalogo!$C$4:$C$1502,0),-1))),"")</f>
        <v/>
      </c>
    </row>
    <row r="784" spans="3:5" x14ac:dyDescent="0.25">
      <c r="C784" s="8"/>
      <c r="D784" s="11" t="str">
        <f>IFERROR(INDEX(Catalogo!$E$4:$E$1502,_xlfn.IFNA(MATCH(C784,Catalogo!$C$4:$C$1502,0),-1)),"")</f>
        <v/>
      </c>
      <c r="E784" s="12" t="str">
        <f>IFERROR(_xlfn.CONCAT(INDEX(Catalogo!$G$4:$G$1502,_xlfn.IFNA(MATCH(C784,Catalogo!$C$4:$C$1502,0),-1)),"-",INDEX(Catalogo!$H$4:$H$1502,_xlfn.IFNA(MATCH(C784,Catalogo!$C$4:$C$1502,0),-1))),"")</f>
        <v/>
      </c>
    </row>
    <row r="785" spans="3:5" x14ac:dyDescent="0.25">
      <c r="C785" s="8"/>
      <c r="D785" s="11" t="str">
        <f>IFERROR(INDEX(Catalogo!$E$4:$E$1502,_xlfn.IFNA(MATCH(C785,Catalogo!$C$4:$C$1502,0),-1)),"")</f>
        <v/>
      </c>
      <c r="E785" s="12" t="str">
        <f>IFERROR(_xlfn.CONCAT(INDEX(Catalogo!$G$4:$G$1502,_xlfn.IFNA(MATCH(C785,Catalogo!$C$4:$C$1502,0),-1)),"-",INDEX(Catalogo!$H$4:$H$1502,_xlfn.IFNA(MATCH(C785,Catalogo!$C$4:$C$1502,0),-1))),"")</f>
        <v/>
      </c>
    </row>
    <row r="786" spans="3:5" x14ac:dyDescent="0.25">
      <c r="C786" s="8"/>
      <c r="D786" s="11" t="str">
        <f>IFERROR(INDEX(Catalogo!$E$4:$E$1502,_xlfn.IFNA(MATCH(C786,Catalogo!$C$4:$C$1502,0),-1)),"")</f>
        <v/>
      </c>
      <c r="E786" s="12" t="str">
        <f>IFERROR(_xlfn.CONCAT(INDEX(Catalogo!$G$4:$G$1502,_xlfn.IFNA(MATCH(C786,Catalogo!$C$4:$C$1502,0),-1)),"-",INDEX(Catalogo!$H$4:$H$1502,_xlfn.IFNA(MATCH(C786,Catalogo!$C$4:$C$1502,0),-1))),"")</f>
        <v/>
      </c>
    </row>
    <row r="787" spans="3:5" x14ac:dyDescent="0.25">
      <c r="C787" s="8"/>
      <c r="D787" s="11" t="str">
        <f>IFERROR(INDEX(Catalogo!$E$4:$E$1502,_xlfn.IFNA(MATCH(C787,Catalogo!$C$4:$C$1502,0),-1)),"")</f>
        <v/>
      </c>
      <c r="E787" s="12" t="str">
        <f>IFERROR(_xlfn.CONCAT(INDEX(Catalogo!$G$4:$G$1502,_xlfn.IFNA(MATCH(C787,Catalogo!$C$4:$C$1502,0),-1)),"-",INDEX(Catalogo!$H$4:$H$1502,_xlfn.IFNA(MATCH(C787,Catalogo!$C$4:$C$1502,0),-1))),"")</f>
        <v/>
      </c>
    </row>
    <row r="788" spans="3:5" x14ac:dyDescent="0.25">
      <c r="C788" s="8"/>
      <c r="D788" s="11" t="str">
        <f>IFERROR(INDEX(Catalogo!$E$4:$E$1502,_xlfn.IFNA(MATCH(C788,Catalogo!$C$4:$C$1502,0),-1)),"")</f>
        <v/>
      </c>
      <c r="E788" s="12" t="str">
        <f>IFERROR(_xlfn.CONCAT(INDEX(Catalogo!$G$4:$G$1502,_xlfn.IFNA(MATCH(C788,Catalogo!$C$4:$C$1502,0),-1)),"-",INDEX(Catalogo!$H$4:$H$1502,_xlfn.IFNA(MATCH(C788,Catalogo!$C$4:$C$1502,0),-1))),"")</f>
        <v/>
      </c>
    </row>
    <row r="789" spans="3:5" x14ac:dyDescent="0.25">
      <c r="C789" s="8"/>
      <c r="D789" s="11" t="str">
        <f>IFERROR(INDEX(Catalogo!$E$4:$E$1502,_xlfn.IFNA(MATCH(C789,Catalogo!$C$4:$C$1502,0),-1)),"")</f>
        <v/>
      </c>
      <c r="E789" s="12" t="str">
        <f>IFERROR(_xlfn.CONCAT(INDEX(Catalogo!$G$4:$G$1502,_xlfn.IFNA(MATCH(C789,Catalogo!$C$4:$C$1502,0),-1)),"-",INDEX(Catalogo!$H$4:$H$1502,_xlfn.IFNA(MATCH(C789,Catalogo!$C$4:$C$1502,0),-1))),"")</f>
        <v/>
      </c>
    </row>
    <row r="790" spans="3:5" x14ac:dyDescent="0.25">
      <c r="C790" s="8"/>
      <c r="D790" s="11" t="str">
        <f>IFERROR(INDEX(Catalogo!$E$4:$E$1502,_xlfn.IFNA(MATCH(C790,Catalogo!$C$4:$C$1502,0),-1)),"")</f>
        <v/>
      </c>
      <c r="E790" s="12" t="str">
        <f>IFERROR(_xlfn.CONCAT(INDEX(Catalogo!$G$4:$G$1502,_xlfn.IFNA(MATCH(C790,Catalogo!$C$4:$C$1502,0),-1)),"-",INDEX(Catalogo!$H$4:$H$1502,_xlfn.IFNA(MATCH(C790,Catalogo!$C$4:$C$1502,0),-1))),"")</f>
        <v/>
      </c>
    </row>
    <row r="791" spans="3:5" x14ac:dyDescent="0.25">
      <c r="C791" s="8"/>
      <c r="D791" s="11" t="str">
        <f>IFERROR(INDEX(Catalogo!$E$4:$E$1502,_xlfn.IFNA(MATCH(C791,Catalogo!$C$4:$C$1502,0),-1)),"")</f>
        <v/>
      </c>
      <c r="E791" s="12" t="str">
        <f>IFERROR(_xlfn.CONCAT(INDEX(Catalogo!$G$4:$G$1502,_xlfn.IFNA(MATCH(C791,Catalogo!$C$4:$C$1502,0),-1)),"-",INDEX(Catalogo!$H$4:$H$1502,_xlfn.IFNA(MATCH(C791,Catalogo!$C$4:$C$1502,0),-1))),"")</f>
        <v/>
      </c>
    </row>
    <row r="792" spans="3:5" x14ac:dyDescent="0.25">
      <c r="C792" s="8"/>
      <c r="D792" s="11" t="str">
        <f>IFERROR(INDEX(Catalogo!$E$4:$E$1502,_xlfn.IFNA(MATCH(C792,Catalogo!$C$4:$C$1502,0),-1)),"")</f>
        <v/>
      </c>
      <c r="E792" s="12" t="str">
        <f>IFERROR(_xlfn.CONCAT(INDEX(Catalogo!$G$4:$G$1502,_xlfn.IFNA(MATCH(C792,Catalogo!$C$4:$C$1502,0),-1)),"-",INDEX(Catalogo!$H$4:$H$1502,_xlfn.IFNA(MATCH(C792,Catalogo!$C$4:$C$1502,0),-1))),"")</f>
        <v/>
      </c>
    </row>
    <row r="793" spans="3:5" x14ac:dyDescent="0.25">
      <c r="C793" s="8"/>
      <c r="D793" s="11" t="str">
        <f>IFERROR(INDEX(Catalogo!$E$4:$E$1502,_xlfn.IFNA(MATCH(C793,Catalogo!$C$4:$C$1502,0),-1)),"")</f>
        <v/>
      </c>
      <c r="E793" s="12" t="str">
        <f>IFERROR(_xlfn.CONCAT(INDEX(Catalogo!$G$4:$G$1502,_xlfn.IFNA(MATCH(C793,Catalogo!$C$4:$C$1502,0),-1)),"-",INDEX(Catalogo!$H$4:$H$1502,_xlfn.IFNA(MATCH(C793,Catalogo!$C$4:$C$1502,0),-1))),"")</f>
        <v/>
      </c>
    </row>
    <row r="794" spans="3:5" x14ac:dyDescent="0.25">
      <c r="C794" s="8"/>
      <c r="D794" s="11" t="str">
        <f>IFERROR(INDEX(Catalogo!$E$4:$E$1502,_xlfn.IFNA(MATCH(C794,Catalogo!$C$4:$C$1502,0),-1)),"")</f>
        <v/>
      </c>
      <c r="E794" s="12" t="str">
        <f>IFERROR(_xlfn.CONCAT(INDEX(Catalogo!$G$4:$G$1502,_xlfn.IFNA(MATCH(C794,Catalogo!$C$4:$C$1502,0),-1)),"-",INDEX(Catalogo!$H$4:$H$1502,_xlfn.IFNA(MATCH(C794,Catalogo!$C$4:$C$1502,0),-1))),"")</f>
        <v/>
      </c>
    </row>
    <row r="795" spans="3:5" x14ac:dyDescent="0.25">
      <c r="C795" s="8"/>
      <c r="D795" s="11" t="str">
        <f>IFERROR(INDEX(Catalogo!$E$4:$E$1502,_xlfn.IFNA(MATCH(C795,Catalogo!$C$4:$C$1502,0),-1)),"")</f>
        <v/>
      </c>
      <c r="E795" s="12" t="str">
        <f>IFERROR(_xlfn.CONCAT(INDEX(Catalogo!$G$4:$G$1502,_xlfn.IFNA(MATCH(C795,Catalogo!$C$4:$C$1502,0),-1)),"-",INDEX(Catalogo!$H$4:$H$1502,_xlfn.IFNA(MATCH(C795,Catalogo!$C$4:$C$1502,0),-1))),"")</f>
        <v/>
      </c>
    </row>
    <row r="796" spans="3:5" x14ac:dyDescent="0.25">
      <c r="C796" s="8"/>
      <c r="D796" s="11" t="str">
        <f>IFERROR(INDEX(Catalogo!$E$4:$E$1502,_xlfn.IFNA(MATCH(C796,Catalogo!$C$4:$C$1502,0),-1)),"")</f>
        <v/>
      </c>
      <c r="E796" s="12" t="str">
        <f>IFERROR(_xlfn.CONCAT(INDEX(Catalogo!$G$4:$G$1502,_xlfn.IFNA(MATCH(C796,Catalogo!$C$4:$C$1502,0),-1)),"-",INDEX(Catalogo!$H$4:$H$1502,_xlfn.IFNA(MATCH(C796,Catalogo!$C$4:$C$1502,0),-1))),"")</f>
        <v/>
      </c>
    </row>
    <row r="797" spans="3:5" x14ac:dyDescent="0.25">
      <c r="C797" s="8"/>
      <c r="D797" s="11" t="str">
        <f>IFERROR(INDEX(Catalogo!$E$4:$E$1502,_xlfn.IFNA(MATCH(C797,Catalogo!$C$4:$C$1502,0),-1)),"")</f>
        <v/>
      </c>
      <c r="E797" s="12" t="str">
        <f>IFERROR(_xlfn.CONCAT(INDEX(Catalogo!$G$4:$G$1502,_xlfn.IFNA(MATCH(C797,Catalogo!$C$4:$C$1502,0),-1)),"-",INDEX(Catalogo!$H$4:$H$1502,_xlfn.IFNA(MATCH(C797,Catalogo!$C$4:$C$1502,0),-1))),"")</f>
        <v/>
      </c>
    </row>
    <row r="798" spans="3:5" x14ac:dyDescent="0.25">
      <c r="C798" s="8"/>
      <c r="D798" s="11" t="str">
        <f>IFERROR(INDEX(Catalogo!$E$4:$E$1502,_xlfn.IFNA(MATCH(C798,Catalogo!$C$4:$C$1502,0),-1)),"")</f>
        <v/>
      </c>
      <c r="E798" s="12" t="str">
        <f>IFERROR(_xlfn.CONCAT(INDEX(Catalogo!$G$4:$G$1502,_xlfn.IFNA(MATCH(C798,Catalogo!$C$4:$C$1502,0),-1)),"-",INDEX(Catalogo!$H$4:$H$1502,_xlfn.IFNA(MATCH(C798,Catalogo!$C$4:$C$1502,0),-1))),"")</f>
        <v/>
      </c>
    </row>
    <row r="799" spans="3:5" x14ac:dyDescent="0.25">
      <c r="C799" s="8"/>
      <c r="D799" s="11" t="str">
        <f>IFERROR(INDEX(Catalogo!$E$4:$E$1502,_xlfn.IFNA(MATCH(C799,Catalogo!$C$4:$C$1502,0),-1)),"")</f>
        <v/>
      </c>
      <c r="E799" s="12" t="str">
        <f>IFERROR(_xlfn.CONCAT(INDEX(Catalogo!$G$4:$G$1502,_xlfn.IFNA(MATCH(C799,Catalogo!$C$4:$C$1502,0),-1)),"-",INDEX(Catalogo!$H$4:$H$1502,_xlfn.IFNA(MATCH(C799,Catalogo!$C$4:$C$1502,0),-1))),"")</f>
        <v/>
      </c>
    </row>
    <row r="800" spans="3:5" x14ac:dyDescent="0.25">
      <c r="C800" s="8"/>
      <c r="D800" s="11" t="str">
        <f>IFERROR(INDEX(Catalogo!$E$4:$E$1502,_xlfn.IFNA(MATCH(C800,Catalogo!$C$4:$C$1502,0),-1)),"")</f>
        <v/>
      </c>
      <c r="E800" s="12" t="str">
        <f>IFERROR(_xlfn.CONCAT(INDEX(Catalogo!$G$4:$G$1502,_xlfn.IFNA(MATCH(C800,Catalogo!$C$4:$C$1502,0),-1)),"-",INDEX(Catalogo!$H$4:$H$1502,_xlfn.IFNA(MATCH(C800,Catalogo!$C$4:$C$1502,0),-1))),"")</f>
        <v/>
      </c>
    </row>
    <row r="801" spans="3:5" x14ac:dyDescent="0.25">
      <c r="C801" s="8"/>
      <c r="D801" s="11" t="str">
        <f>IFERROR(INDEX(Catalogo!$E$4:$E$1502,_xlfn.IFNA(MATCH(C801,Catalogo!$C$4:$C$1502,0),-1)),"")</f>
        <v/>
      </c>
      <c r="E801" s="12" t="str">
        <f>IFERROR(_xlfn.CONCAT(INDEX(Catalogo!$G$4:$G$1502,_xlfn.IFNA(MATCH(C801,Catalogo!$C$4:$C$1502,0),-1)),"-",INDEX(Catalogo!$H$4:$H$1502,_xlfn.IFNA(MATCH(C801,Catalogo!$C$4:$C$1502,0),-1))),"")</f>
        <v/>
      </c>
    </row>
    <row r="802" spans="3:5" x14ac:dyDescent="0.25">
      <c r="C802" s="8"/>
      <c r="D802" s="11" t="str">
        <f>IFERROR(INDEX(Catalogo!$E$4:$E$1502,_xlfn.IFNA(MATCH(C802,Catalogo!$C$4:$C$1502,0),-1)),"")</f>
        <v/>
      </c>
      <c r="E802" s="12" t="str">
        <f>IFERROR(_xlfn.CONCAT(INDEX(Catalogo!$G$4:$G$1502,_xlfn.IFNA(MATCH(C802,Catalogo!$C$4:$C$1502,0),-1)),"-",INDEX(Catalogo!$H$4:$H$1502,_xlfn.IFNA(MATCH(C802,Catalogo!$C$4:$C$1502,0),-1))),"")</f>
        <v/>
      </c>
    </row>
    <row r="803" spans="3:5" x14ac:dyDescent="0.25">
      <c r="C803" s="8"/>
      <c r="D803" s="11" t="str">
        <f>IFERROR(INDEX(Catalogo!$E$4:$E$1502,_xlfn.IFNA(MATCH(C803,Catalogo!$C$4:$C$1502,0),-1)),"")</f>
        <v/>
      </c>
      <c r="E803" s="12" t="str">
        <f>IFERROR(_xlfn.CONCAT(INDEX(Catalogo!$G$4:$G$1502,_xlfn.IFNA(MATCH(C803,Catalogo!$C$4:$C$1502,0),-1)),"-",INDEX(Catalogo!$H$4:$H$1502,_xlfn.IFNA(MATCH(C803,Catalogo!$C$4:$C$1502,0),-1))),"")</f>
        <v/>
      </c>
    </row>
    <row r="804" spans="3:5" x14ac:dyDescent="0.25">
      <c r="C804" s="8"/>
      <c r="D804" s="11" t="str">
        <f>IFERROR(INDEX(Catalogo!$E$4:$E$1502,_xlfn.IFNA(MATCH(C804,Catalogo!$C$4:$C$1502,0),-1)),"")</f>
        <v/>
      </c>
      <c r="E804" s="12" t="str">
        <f>IFERROR(_xlfn.CONCAT(INDEX(Catalogo!$G$4:$G$1502,_xlfn.IFNA(MATCH(C804,Catalogo!$C$4:$C$1502,0),-1)),"-",INDEX(Catalogo!$H$4:$H$1502,_xlfn.IFNA(MATCH(C804,Catalogo!$C$4:$C$1502,0),-1))),"")</f>
        <v/>
      </c>
    </row>
    <row r="805" spans="3:5" x14ac:dyDescent="0.25">
      <c r="C805" s="8"/>
      <c r="D805" s="11" t="str">
        <f>IFERROR(INDEX(Catalogo!$E$4:$E$1502,_xlfn.IFNA(MATCH(C805,Catalogo!$C$4:$C$1502,0),-1)),"")</f>
        <v/>
      </c>
      <c r="E805" s="12" t="str">
        <f>IFERROR(_xlfn.CONCAT(INDEX(Catalogo!$G$4:$G$1502,_xlfn.IFNA(MATCH(C805,Catalogo!$C$4:$C$1502,0),-1)),"-",INDEX(Catalogo!$H$4:$H$1502,_xlfn.IFNA(MATCH(C805,Catalogo!$C$4:$C$1502,0),-1))),"")</f>
        <v/>
      </c>
    </row>
  </sheetData>
  <protectedRanges>
    <protectedRange sqref="C372" name="Rango1_1_2"/>
    <protectedRange sqref="C373" name="Rango1_1_2_1"/>
    <protectedRange sqref="C375" name="Rango1_2"/>
    <protectedRange sqref="C376" name="Rango1_2_1"/>
    <protectedRange sqref="C377" name="Rango1_2_2"/>
    <protectedRange sqref="C378" name="Rango1_2_3"/>
    <protectedRange sqref="C380" name="Rango1_2_4"/>
    <protectedRange sqref="C382" name="Rango1_2_5"/>
    <protectedRange sqref="C383" name="Rango1_2_6"/>
    <protectedRange sqref="C387" name="Rango1_1_1_1_1"/>
    <protectedRange sqref="C388" name="Rango1_1_1_1_2"/>
    <protectedRange sqref="C400" name="Rango1_3_1"/>
    <protectedRange sqref="C415" name="Rango1_9"/>
    <protectedRange sqref="C416" name="Rango1_10"/>
    <protectedRange sqref="C417" name="Rango1_11"/>
    <protectedRange sqref="C418" name="Rango1_12"/>
    <protectedRange sqref="C419" name="Rango1_13"/>
    <protectedRange sqref="C420" name="Rango1_14"/>
    <protectedRange sqref="C421" name="Rango1_15"/>
    <protectedRange sqref="C422" name="Rango1_16"/>
    <protectedRange sqref="C423" name="Rango1_17"/>
    <protectedRange sqref="C424" name="Rango1_18"/>
    <protectedRange sqref="C425" name="Rango1_19"/>
    <protectedRange sqref="C426" name="Rango1_20"/>
    <protectedRange sqref="C427:C428" name="Rango1_21"/>
    <protectedRange sqref="C435" name="Rango1_1_4"/>
    <protectedRange sqref="C436" name="Rango1_1_5"/>
    <protectedRange sqref="C437" name="Rango1_1_6"/>
    <protectedRange sqref="C438" name="Rango1_1_7"/>
    <protectedRange sqref="C439" name="Rango1_1_8"/>
    <protectedRange sqref="C440" name="Rango1_1_9"/>
    <protectedRange sqref="C453:C454" name="Rango1_22"/>
    <protectedRange sqref="C455" name="Rango1_23"/>
    <protectedRange sqref="C456" name="Rango1_24"/>
    <protectedRange sqref="C457" name="Rango1_25"/>
    <protectedRange sqref="C458" name="Rango1_26"/>
    <protectedRange sqref="C459" name="Rango1_1"/>
    <protectedRange sqref="C460" name="Rango1_35"/>
    <protectedRange sqref="C461" name="Rango1_27"/>
    <protectedRange sqref="C462" name="Rango1_28"/>
    <protectedRange sqref="C463" name="Rango1_29"/>
    <protectedRange sqref="C464" name="Rango1_30"/>
    <protectedRange sqref="C465" name="Rango1_31"/>
    <protectedRange sqref="C466" name="Rango1_32"/>
    <protectedRange sqref="C467" name="Rango1_33"/>
    <protectedRange sqref="C468" name="Rango1_34"/>
    <protectedRange sqref="C470" name="Rango1_1_10"/>
    <protectedRange sqref="C471" name="Rango1_1_11"/>
    <protectedRange sqref="C472" name="Rango1_1_12"/>
    <protectedRange sqref="C473" name="Rango1_1_13"/>
    <protectedRange sqref="C474" name="Rango1_1_14"/>
    <protectedRange sqref="C475" name="Rango3_6_1_1"/>
    <protectedRange sqref="C476" name="Rango3_6_9"/>
    <protectedRange sqref="C487" name="Rango1_1_1"/>
    <protectedRange sqref="C488" name="Rango3_6"/>
    <protectedRange sqref="C489" name="Rango3_1_2"/>
    <protectedRange sqref="C501" name="Rango3_4"/>
    <protectedRange sqref="C502" name="Rango3_5"/>
    <protectedRange sqref="C509" name="Rango3_2_2"/>
    <protectedRange sqref="C510" name="Rango3_2_2_1"/>
    <protectedRange sqref="C511:C512" name="Rango3_2_2_2"/>
    <protectedRange sqref="C513" name="Rango3_2_2_3"/>
    <protectedRange sqref="C514" name="Rango3_2_2_4"/>
    <protectedRange sqref="C515" name="Rango3_2_2_5"/>
    <protectedRange sqref="C516" name="Rango3_2_2_6"/>
    <protectedRange sqref="C525" name="Rango3_3"/>
    <protectedRange sqref="C543" name="Rango3_3_7_2_1"/>
    <protectedRange sqref="C544" name="Rango3_3_5_2_2"/>
    <protectedRange sqref="C558" name="Rango3_1_1_1"/>
    <protectedRange sqref="C559" name="Rango3_1_4"/>
    <protectedRange sqref="C564:C565" name="Rango3_6_1"/>
    <protectedRange sqref="C566" name="Rango3_6_2"/>
    <protectedRange sqref="C567" name="Rango3_6_3"/>
    <protectedRange sqref="C568" name="Rango3_6_4"/>
    <protectedRange sqref="C569" name="Rango3_6_5"/>
    <protectedRange sqref="C570" name="Rango3_6_6"/>
    <protectedRange sqref="C571" name="Rango3_6_7"/>
    <protectedRange sqref="C572:C574" name="Rango3_6_8"/>
    <protectedRange sqref="C686" name="Rango1_4"/>
    <protectedRange sqref="C692" name="Rango1_1_1_1"/>
    <protectedRange sqref="C694" name="Rango3_6_4_1"/>
  </protectedRanges>
  <mergeCells count="1">
    <mergeCell ref="C2:E2"/>
  </mergeCells>
  <conditionalFormatting sqref="C368">
    <cfRule type="expression" dxfId="9" priority="5">
      <formula>#REF!=1</formula>
    </cfRule>
  </conditionalFormatting>
  <conditionalFormatting sqref="C369:C374">
    <cfRule type="expression" dxfId="8" priority="4">
      <formula>$F369=1</formula>
    </cfRule>
  </conditionalFormatting>
  <conditionalFormatting sqref="C385:C386">
    <cfRule type="expression" dxfId="7" priority="3">
      <formula>$F386=1</formula>
    </cfRule>
  </conditionalFormatting>
  <conditionalFormatting sqref="C387:C389">
    <cfRule type="expression" dxfId="6" priority="2">
      <formula>$F390=1</formula>
    </cfRule>
  </conditionalFormatting>
  <conditionalFormatting sqref="C390">
    <cfRule type="expression" dxfId="5" priority="1">
      <formula>$F391=1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BBE65-F890-45A0-A90E-F0BF81FC1FDF}">
  <sheetPr codeName="Hoja1"/>
  <dimension ref="B1:D905"/>
  <sheetViews>
    <sheetView workbookViewId="0">
      <pane ySplit="4" topLeftCell="A5" activePane="bottomLeft" state="frozen"/>
      <selection pane="bottomLeft" activeCell="D7" sqref="D7"/>
    </sheetView>
  </sheetViews>
  <sheetFormatPr baseColWidth="10" defaultRowHeight="15" x14ac:dyDescent="0.25"/>
  <cols>
    <col min="1" max="1" width="11.42578125" style="1"/>
    <col min="2" max="2" width="16.140625" style="23" customWidth="1"/>
    <col min="3" max="3" width="43.28515625" style="4" bestFit="1" customWidth="1"/>
    <col min="4" max="4" width="14.7109375" style="4" customWidth="1"/>
    <col min="5" max="5" width="11.42578125" style="1"/>
    <col min="6" max="6" width="12" style="1" bestFit="1" customWidth="1"/>
    <col min="7" max="8" width="11.42578125" style="1"/>
    <col min="9" max="9" width="11.85546875" style="1" bestFit="1" customWidth="1"/>
    <col min="10" max="16384" width="11.42578125" style="1"/>
  </cols>
  <sheetData>
    <row r="1" spans="2:4" x14ac:dyDescent="0.25">
      <c r="B1" s="4"/>
    </row>
    <row r="2" spans="2:4" ht="18.75" x14ac:dyDescent="0.3">
      <c r="B2" s="103" t="s">
        <v>2371</v>
      </c>
      <c r="C2" s="103"/>
      <c r="D2" s="103"/>
    </row>
    <row r="3" spans="2:4" x14ac:dyDescent="0.25">
      <c r="B3" s="4"/>
    </row>
    <row r="4" spans="2:4" x14ac:dyDescent="0.25">
      <c r="B4" s="5" t="s">
        <v>5</v>
      </c>
      <c r="C4" s="13" t="s">
        <v>7</v>
      </c>
      <c r="D4" s="13" t="s">
        <v>4</v>
      </c>
    </row>
    <row r="5" spans="2:4" x14ac:dyDescent="0.25">
      <c r="B5" s="30">
        <v>209390450</v>
      </c>
      <c r="C5" s="11" t="str">
        <f>IFERROR(INDEX(Catalogo!$E$4:$E$1502,_xlfn.IFNA(MATCH(B5,Catalogo!$C$4:$C$1502,0),-1)),"")</f>
        <v>ulloa Meza</v>
      </c>
      <c r="D5" s="12" t="str">
        <f>IFERROR(_xlfn.CONCAT(INDEX(Catalogo!$G$4:$G$1502,_xlfn.IFNA(MATCH(B5,Catalogo!$C$4:$C$1502,0),-1)),"-",INDEX(Catalogo!$H$4:$H$1502,_xlfn.IFNA(MATCH(B5,Catalogo!$C$4:$C$1502,0),-1))),"")</f>
        <v>7-1</v>
      </c>
    </row>
    <row r="6" spans="2:4" x14ac:dyDescent="0.25">
      <c r="B6" s="9">
        <v>209640122</v>
      </c>
      <c r="C6" s="11" t="str">
        <f>IFERROR(INDEX(Catalogo!$E$4:$E$1502,_xlfn.IFNA(MATCH(B6,Catalogo!$C$4:$C$1502,0),-1)),"")</f>
        <v>CRISTOPHER ARAYA ACOSTA</v>
      </c>
      <c r="D6" s="12" t="str">
        <f>IFERROR(_xlfn.CONCAT(INDEX(Catalogo!$G$4:$G$1502,_xlfn.IFNA(MATCH(B6,Catalogo!$C$4:$C$1502,0),-1)),"-",INDEX(Catalogo!$H$4:$H$1502,_xlfn.IFNA(MATCH(B6,Catalogo!$C$4:$C$1502,0),-1))),"")</f>
        <v>7-1</v>
      </c>
    </row>
    <row r="7" spans="2:4" x14ac:dyDescent="0.25">
      <c r="B7" s="30">
        <v>209610010</v>
      </c>
      <c r="C7" s="11" t="str">
        <f>IFERROR(INDEX(Catalogo!$E$4:$E$1502,_xlfn.IFNA(MATCH(B7,Catalogo!$C$4:$C$1502,0),-1)),"")</f>
        <v/>
      </c>
      <c r="D7" s="12" t="str">
        <f>IFERROR(_xlfn.CONCAT(INDEX(Catalogo!$G$4:$G$1502,_xlfn.IFNA(MATCH(B7,Catalogo!$C$4:$C$1502,0),-1)),"-",INDEX(Catalogo!$H$4:$H$1502,_xlfn.IFNA(MATCH(B7,Catalogo!$C$4:$C$1502,0),-1))),"")</f>
        <v/>
      </c>
    </row>
    <row r="8" spans="2:4" x14ac:dyDescent="0.25">
      <c r="B8" s="9">
        <v>209550492</v>
      </c>
      <c r="C8" s="11" t="str">
        <f>IFERROR(INDEX(Catalogo!$E$4:$E$1502,_xlfn.IFNA(MATCH(B8,Catalogo!$C$4:$C$1502,0),-1)),"")</f>
        <v/>
      </c>
      <c r="D8" s="12" t="str">
        <f>IFERROR(_xlfn.CONCAT(INDEX(Catalogo!$G$4:$G$1502,_xlfn.IFNA(MATCH(B8,Catalogo!$C$4:$C$1502,0),-1)),"-",INDEX(Catalogo!$H$4:$H$1502,_xlfn.IFNA(MATCH(B8,Catalogo!$C$4:$C$1502,0),-1))),"")</f>
        <v/>
      </c>
    </row>
    <row r="9" spans="2:4" x14ac:dyDescent="0.25">
      <c r="B9" s="9">
        <v>209550279</v>
      </c>
      <c r="C9" s="11" t="str">
        <f>IFERROR(INDEX(Catalogo!$E$4:$E$1502,_xlfn.IFNA(MATCH(B9,Catalogo!$C$4:$C$1502,0),-1)),"")</f>
        <v/>
      </c>
      <c r="D9" s="12" t="str">
        <f>IFERROR(_xlfn.CONCAT(INDEX(Catalogo!$G$4:$G$1502,_xlfn.IFNA(MATCH(B9,Catalogo!$C$4:$C$1502,0),-1)),"-",INDEX(Catalogo!$H$4:$H$1502,_xlfn.IFNA(MATCH(B9,Catalogo!$C$4:$C$1502,0),-1))),"")</f>
        <v/>
      </c>
    </row>
    <row r="10" spans="2:4" x14ac:dyDescent="0.25">
      <c r="B10" s="9">
        <v>703530923</v>
      </c>
      <c r="C10" s="11" t="str">
        <f>IFERROR(INDEX(Catalogo!$E$4:$E$1502,_xlfn.IFNA(MATCH(B10,Catalogo!$C$4:$C$1502,0),-1)),"")</f>
        <v/>
      </c>
      <c r="D10" s="12" t="str">
        <f>IFERROR(_xlfn.CONCAT(INDEX(Catalogo!$G$4:$G$1502,_xlfn.IFNA(MATCH(B10,Catalogo!$C$4:$C$1502,0),-1)),"-",INDEX(Catalogo!$H$4:$H$1502,_xlfn.IFNA(MATCH(B10,Catalogo!$C$4:$C$1502,0),-1))),"")</f>
        <v/>
      </c>
    </row>
    <row r="11" spans="2:4" x14ac:dyDescent="0.25">
      <c r="B11" s="9">
        <v>209600349</v>
      </c>
      <c r="C11" s="11" t="str">
        <f>IFERROR(INDEX(Catalogo!$E$4:$E$1502,_xlfn.IFNA(MATCH(B11,Catalogo!$C$4:$C$1502,0),-1)),"")</f>
        <v/>
      </c>
      <c r="D11" s="12" t="str">
        <f>IFERROR(_xlfn.CONCAT(INDEX(Catalogo!$G$4:$G$1502,_xlfn.IFNA(MATCH(B11,Catalogo!$C$4:$C$1502,0),-1)),"-",INDEX(Catalogo!$H$4:$H$1502,_xlfn.IFNA(MATCH(B11,Catalogo!$C$4:$C$1502,0),-1))),"")</f>
        <v/>
      </c>
    </row>
    <row r="12" spans="2:4" x14ac:dyDescent="0.25">
      <c r="B12" s="9">
        <v>209570968</v>
      </c>
      <c r="C12" s="11" t="str">
        <f>IFERROR(INDEX(Catalogo!$E$4:$E$1502,_xlfn.IFNA(MATCH(B12,Catalogo!$C$4:$C$1502,0),-1)),"")</f>
        <v/>
      </c>
      <c r="D12" s="12" t="str">
        <f>IFERROR(_xlfn.CONCAT(INDEX(Catalogo!$G$4:$G$1502,_xlfn.IFNA(MATCH(B12,Catalogo!$C$4:$C$1502,0),-1)),"-",INDEX(Catalogo!$H$4:$H$1502,_xlfn.IFNA(MATCH(B12,Catalogo!$C$4:$C$1502,0),-1))),"")</f>
        <v/>
      </c>
    </row>
    <row r="13" spans="2:4" x14ac:dyDescent="0.25">
      <c r="B13" s="9">
        <v>209560246</v>
      </c>
      <c r="C13" s="11" t="str">
        <f>IFERROR(INDEX(Catalogo!$E$4:$E$1502,_xlfn.IFNA(MATCH(B13,Catalogo!$C$4:$C$1502,0),-1)),"")</f>
        <v/>
      </c>
      <c r="D13" s="12" t="str">
        <f>IFERROR(_xlfn.CONCAT(INDEX(Catalogo!$G$4:$G$1502,_xlfn.IFNA(MATCH(B13,Catalogo!$C$4:$C$1502,0),-1)),"-",INDEX(Catalogo!$H$4:$H$1502,_xlfn.IFNA(MATCH(B13,Catalogo!$C$4:$C$1502,0),-1))),"")</f>
        <v/>
      </c>
    </row>
    <row r="14" spans="2:4" x14ac:dyDescent="0.25">
      <c r="B14" s="16">
        <v>209580707</v>
      </c>
      <c r="C14" s="11" t="str">
        <f>IFERROR(INDEX(Catalogo!$E$4:$E$1502,_xlfn.IFNA(MATCH(B14,Catalogo!$C$4:$C$1502,0),-1)),"")</f>
        <v/>
      </c>
      <c r="D14" s="12" t="str">
        <f>IFERROR(_xlfn.CONCAT(INDEX(Catalogo!$G$4:$G$1502,_xlfn.IFNA(MATCH(B14,Catalogo!$C$4:$C$1502,0),-1)),"-",INDEX(Catalogo!$H$4:$H$1502,_xlfn.IFNA(MATCH(B14,Catalogo!$C$4:$C$1502,0),-1))),"")</f>
        <v/>
      </c>
    </row>
    <row r="15" spans="2:4" x14ac:dyDescent="0.25">
      <c r="B15" s="17">
        <v>403000904</v>
      </c>
      <c r="C15" s="11" t="str">
        <f>IFERROR(INDEX(Catalogo!$E$4:$E$1502,_xlfn.IFNA(MATCH(B15,Catalogo!$C$4:$C$1502,0),-1)),"")</f>
        <v/>
      </c>
      <c r="D15" s="12" t="str">
        <f>IFERROR(_xlfn.CONCAT(INDEX(Catalogo!$G$4:$G$1502,_xlfn.IFNA(MATCH(B15,Catalogo!$C$4:$C$1502,0),-1)),"-",INDEX(Catalogo!$H$4:$H$1502,_xlfn.IFNA(MATCH(B15,Catalogo!$C$4:$C$1502,0),-1))),"")</f>
        <v/>
      </c>
    </row>
    <row r="16" spans="2:4" x14ac:dyDescent="0.25">
      <c r="B16" s="9">
        <v>999990012</v>
      </c>
      <c r="C16" s="11" t="str">
        <f>IFERROR(INDEX(Catalogo!$E$4:$E$1502,_xlfn.IFNA(MATCH(B16,Catalogo!$C$4:$C$1502,0),-1)),"")</f>
        <v/>
      </c>
      <c r="D16" s="12" t="str">
        <f>IFERROR(_xlfn.CONCAT(INDEX(Catalogo!$G$4:$G$1502,_xlfn.IFNA(MATCH(B16,Catalogo!$C$4:$C$1502,0),-1)),"-",INDEX(Catalogo!$H$4:$H$1502,_xlfn.IFNA(MATCH(B16,Catalogo!$C$4:$C$1502,0),-1))),"")</f>
        <v/>
      </c>
    </row>
    <row r="17" spans="2:4" x14ac:dyDescent="0.25">
      <c r="B17" s="9">
        <v>121460453</v>
      </c>
      <c r="C17" s="11" t="str">
        <f>IFERROR(INDEX(Catalogo!$E$4:$E$1502,_xlfn.IFNA(MATCH(B17,Catalogo!$C$4:$C$1502,0),-1)),"")</f>
        <v/>
      </c>
      <c r="D17" s="12" t="str">
        <f>IFERROR(_xlfn.CONCAT(INDEX(Catalogo!$G$4:$G$1502,_xlfn.IFNA(MATCH(B17,Catalogo!$C$4:$C$1502,0),-1)),"-",INDEX(Catalogo!$H$4:$H$1502,_xlfn.IFNA(MATCH(B17,Catalogo!$C$4:$C$1502,0),-1))),"")</f>
        <v/>
      </c>
    </row>
    <row r="18" spans="2:4" x14ac:dyDescent="0.25">
      <c r="B18" s="9">
        <v>209640362</v>
      </c>
      <c r="C18" s="11" t="str">
        <f>IFERROR(INDEX(Catalogo!$E$4:$E$1502,_xlfn.IFNA(MATCH(B18,Catalogo!$C$4:$C$1502,0),-1)),"")</f>
        <v/>
      </c>
      <c r="D18" s="12" t="str">
        <f>IFERROR(_xlfn.CONCAT(INDEX(Catalogo!$G$4:$G$1502,_xlfn.IFNA(MATCH(B18,Catalogo!$C$4:$C$1502,0),-1)),"-",INDEX(Catalogo!$H$4:$H$1502,_xlfn.IFNA(MATCH(B18,Catalogo!$C$4:$C$1502,0),-1))),"")</f>
        <v/>
      </c>
    </row>
    <row r="19" spans="2:4" x14ac:dyDescent="0.25">
      <c r="B19" s="9">
        <v>209120657</v>
      </c>
      <c r="C19" s="11" t="str">
        <f>IFERROR(INDEX(Catalogo!$E$4:$E$1502,_xlfn.IFNA(MATCH(B19,Catalogo!$C$4:$C$1502,0),-1)),"")</f>
        <v/>
      </c>
      <c r="D19" s="12" t="str">
        <f>IFERROR(_xlfn.CONCAT(INDEX(Catalogo!$G$4:$G$1502,_xlfn.IFNA(MATCH(B19,Catalogo!$C$4:$C$1502,0),-1)),"-",INDEX(Catalogo!$H$4:$H$1502,_xlfn.IFNA(MATCH(B19,Catalogo!$C$4:$C$1502,0),-1))),"")</f>
        <v/>
      </c>
    </row>
    <row r="20" spans="2:4" x14ac:dyDescent="0.25">
      <c r="B20" s="9">
        <v>209660786</v>
      </c>
      <c r="C20" s="11" t="str">
        <f>IFERROR(INDEX(Catalogo!$E$4:$E$1502,_xlfn.IFNA(MATCH(B20,Catalogo!$C$4:$C$1502,0),-1)),"")</f>
        <v/>
      </c>
      <c r="D20" s="12" t="str">
        <f>IFERROR(_xlfn.CONCAT(INDEX(Catalogo!$G$4:$G$1502,_xlfn.IFNA(MATCH(B20,Catalogo!$C$4:$C$1502,0),-1)),"-",INDEX(Catalogo!$H$4:$H$1502,_xlfn.IFNA(MATCH(B20,Catalogo!$C$4:$C$1502,0),-1))),"")</f>
        <v/>
      </c>
    </row>
    <row r="21" spans="2:4" x14ac:dyDescent="0.25">
      <c r="B21" s="9">
        <v>209610433</v>
      </c>
      <c r="C21" s="11" t="str">
        <f>IFERROR(INDEX(Catalogo!$E$4:$E$1502,_xlfn.IFNA(MATCH(B21,Catalogo!$C$4:$C$1502,0),-1)),"")</f>
        <v/>
      </c>
      <c r="D21" s="12" t="str">
        <f>IFERROR(_xlfn.CONCAT(INDEX(Catalogo!$G$4:$G$1502,_xlfn.IFNA(MATCH(B21,Catalogo!$C$4:$C$1502,0),-1)),"-",INDEX(Catalogo!$H$4:$H$1502,_xlfn.IFNA(MATCH(B21,Catalogo!$C$4:$C$1502,0),-1))),"")</f>
        <v/>
      </c>
    </row>
    <row r="22" spans="2:4" x14ac:dyDescent="0.25">
      <c r="B22" s="9">
        <v>209610434</v>
      </c>
      <c r="C22" s="11" t="str">
        <f>IFERROR(INDEX(Catalogo!$E$4:$E$1502,_xlfn.IFNA(MATCH(B22,Catalogo!$C$4:$C$1502,0),-1)),"")</f>
        <v/>
      </c>
      <c r="D22" s="12" t="str">
        <f>IFERROR(_xlfn.CONCAT(INDEX(Catalogo!$G$4:$G$1502,_xlfn.IFNA(MATCH(B22,Catalogo!$C$4:$C$1502,0),-1)),"-",INDEX(Catalogo!$H$4:$H$1502,_xlfn.IFNA(MATCH(B22,Catalogo!$C$4:$C$1502,0),-1))),"")</f>
        <v/>
      </c>
    </row>
    <row r="23" spans="2:4" x14ac:dyDescent="0.25">
      <c r="B23" s="17">
        <v>504930868</v>
      </c>
      <c r="C23" s="11" t="str">
        <f>IFERROR(INDEX(Catalogo!$E$4:$E$1502,_xlfn.IFNA(MATCH(B23,Catalogo!$C$4:$C$1502,0),-1)),"")</f>
        <v/>
      </c>
      <c r="D23" s="12" t="str">
        <f>IFERROR(_xlfn.CONCAT(INDEX(Catalogo!$G$4:$G$1502,_xlfn.IFNA(MATCH(B23,Catalogo!$C$4:$C$1502,0),-1)),"-",INDEX(Catalogo!$H$4:$H$1502,_xlfn.IFNA(MATCH(B23,Catalogo!$C$4:$C$1502,0),-1))),"")</f>
        <v/>
      </c>
    </row>
    <row r="24" spans="2:4" x14ac:dyDescent="0.25">
      <c r="B24" s="9">
        <v>403000450</v>
      </c>
      <c r="C24" s="11" t="str">
        <f>IFERROR(INDEX(Catalogo!$E$4:$E$1502,_xlfn.IFNA(MATCH(B24,Catalogo!$C$4:$C$1502,0),-1)),"")</f>
        <v/>
      </c>
      <c r="D24" s="12" t="str">
        <f>IFERROR(_xlfn.CONCAT(INDEX(Catalogo!$G$4:$G$1502,_xlfn.IFNA(MATCH(B24,Catalogo!$C$4:$C$1502,0),-1)),"-",INDEX(Catalogo!$H$4:$H$1502,_xlfn.IFNA(MATCH(B24,Catalogo!$C$4:$C$1502,0),-1))),"")</f>
        <v/>
      </c>
    </row>
    <row r="25" spans="2:4" x14ac:dyDescent="0.25">
      <c r="B25" s="9">
        <v>209560133</v>
      </c>
      <c r="C25" s="11" t="str">
        <f>IFERROR(INDEX(Catalogo!$E$4:$E$1502,_xlfn.IFNA(MATCH(B25,Catalogo!$C$4:$C$1502,0),-1)),"")</f>
        <v/>
      </c>
      <c r="D25" s="12" t="str">
        <f>IFERROR(_xlfn.CONCAT(INDEX(Catalogo!$G$4:$G$1502,_xlfn.IFNA(MATCH(B25,Catalogo!$C$4:$C$1502,0),-1)),"-",INDEX(Catalogo!$H$4:$H$1502,_xlfn.IFNA(MATCH(B25,Catalogo!$C$4:$C$1502,0),-1))),"")</f>
        <v/>
      </c>
    </row>
    <row r="26" spans="2:4" x14ac:dyDescent="0.25">
      <c r="B26" s="9">
        <v>402970815</v>
      </c>
      <c r="C26" s="11" t="str">
        <f>IFERROR(INDEX(Catalogo!$E$4:$E$1502,_xlfn.IFNA(MATCH(B26,Catalogo!$C$4:$C$1502,0),-1)),"")</f>
        <v/>
      </c>
      <c r="D26" s="12" t="str">
        <f>IFERROR(_xlfn.CONCAT(INDEX(Catalogo!$G$4:$G$1502,_xlfn.IFNA(MATCH(B26,Catalogo!$C$4:$C$1502,0),-1)),"-",INDEX(Catalogo!$H$4:$H$1502,_xlfn.IFNA(MATCH(B26,Catalogo!$C$4:$C$1502,0),-1))),"")</f>
        <v/>
      </c>
    </row>
    <row r="27" spans="2:4" x14ac:dyDescent="0.25">
      <c r="B27" s="9">
        <v>121490467</v>
      </c>
      <c r="C27" s="11" t="str">
        <f>IFERROR(INDEX(Catalogo!$E$4:$E$1502,_xlfn.IFNA(MATCH(B27,Catalogo!$C$4:$C$1502,0),-1)),"")</f>
        <v/>
      </c>
      <c r="D27" s="12" t="str">
        <f>IFERROR(_xlfn.CONCAT(INDEX(Catalogo!$G$4:$G$1502,_xlfn.IFNA(MATCH(B27,Catalogo!$C$4:$C$1502,0),-1)),"-",INDEX(Catalogo!$H$4:$H$1502,_xlfn.IFNA(MATCH(B27,Catalogo!$C$4:$C$1502,0),-1))),"")</f>
        <v/>
      </c>
    </row>
    <row r="28" spans="2:4" x14ac:dyDescent="0.25">
      <c r="B28" s="9">
        <v>209640358</v>
      </c>
      <c r="C28" s="11" t="str">
        <f>IFERROR(INDEX(Catalogo!$E$4:$E$1502,_xlfn.IFNA(MATCH(B28,Catalogo!$C$4:$C$1502,0),-1)),"")</f>
        <v/>
      </c>
      <c r="D28" s="12" t="str">
        <f>IFERROR(_xlfn.CONCAT(INDEX(Catalogo!$G$4:$G$1502,_xlfn.IFNA(MATCH(B28,Catalogo!$C$4:$C$1502,0),-1)),"-",INDEX(Catalogo!$H$4:$H$1502,_xlfn.IFNA(MATCH(B28,Catalogo!$C$4:$C$1502,0),-1))),"")</f>
        <v/>
      </c>
    </row>
    <row r="29" spans="2:4" x14ac:dyDescent="0.25">
      <c r="B29" s="9">
        <v>209650493</v>
      </c>
      <c r="C29" s="11" t="str">
        <f>IFERROR(INDEX(Catalogo!$E$4:$E$1502,_xlfn.IFNA(MATCH(B29,Catalogo!$C$4:$C$1502,0),-1)),"")</f>
        <v/>
      </c>
      <c r="D29" s="12" t="str">
        <f>IFERROR(_xlfn.CONCAT(INDEX(Catalogo!$G$4:$G$1502,_xlfn.IFNA(MATCH(B29,Catalogo!$C$4:$C$1502,0),-1)),"-",INDEX(Catalogo!$H$4:$H$1502,_xlfn.IFNA(MATCH(B29,Catalogo!$C$4:$C$1502,0),-1))),"")</f>
        <v/>
      </c>
    </row>
    <row r="30" spans="2:4" x14ac:dyDescent="0.25">
      <c r="B30" s="9">
        <v>209580344</v>
      </c>
      <c r="C30" s="11" t="str">
        <f>IFERROR(INDEX(Catalogo!$E$4:$E$1502,_xlfn.IFNA(MATCH(B30,Catalogo!$C$4:$C$1502,0),-1)),"")</f>
        <v/>
      </c>
      <c r="D30" s="12" t="str">
        <f>IFERROR(_xlfn.CONCAT(INDEX(Catalogo!$G$4:$G$1502,_xlfn.IFNA(MATCH(B30,Catalogo!$C$4:$C$1502,0),-1)),"-",INDEX(Catalogo!$H$4:$H$1502,_xlfn.IFNA(MATCH(B30,Catalogo!$C$4:$C$1502,0),-1))),"")</f>
        <v/>
      </c>
    </row>
    <row r="31" spans="2:4" x14ac:dyDescent="0.25">
      <c r="B31" s="18">
        <v>121080989</v>
      </c>
      <c r="C31" s="11" t="str">
        <f>IFERROR(INDEX(Catalogo!$E$4:$E$1502,_xlfn.IFNA(MATCH(B31,Catalogo!$C$4:$C$1502,0),-1)),"")</f>
        <v/>
      </c>
      <c r="D31" s="12" t="str">
        <f>IFERROR(_xlfn.CONCAT(INDEX(Catalogo!$G$4:$G$1502,_xlfn.IFNA(MATCH(B31,Catalogo!$C$4:$C$1502,0),-1)),"-",INDEX(Catalogo!$H$4:$H$1502,_xlfn.IFNA(MATCH(B31,Catalogo!$C$4:$C$1502,0),-1))),"")</f>
        <v/>
      </c>
    </row>
    <row r="32" spans="2:4" x14ac:dyDescent="0.25">
      <c r="B32" s="18">
        <v>209520139</v>
      </c>
      <c r="C32" s="11" t="str">
        <f>IFERROR(INDEX(Catalogo!$E$4:$E$1502,_xlfn.IFNA(MATCH(B32,Catalogo!$C$4:$C$1502,0),-1)),"")</f>
        <v/>
      </c>
      <c r="D32" s="12" t="str">
        <f>IFERROR(_xlfn.CONCAT(INDEX(Catalogo!$G$4:$G$1502,_xlfn.IFNA(MATCH(B32,Catalogo!$C$4:$C$1502,0),-1)),"-",INDEX(Catalogo!$H$4:$H$1502,_xlfn.IFNA(MATCH(B32,Catalogo!$C$4:$C$1502,0),-1))),"")</f>
        <v/>
      </c>
    </row>
    <row r="33" spans="2:4" x14ac:dyDescent="0.25">
      <c r="B33" s="17">
        <v>209500026</v>
      </c>
      <c r="C33" s="11" t="str">
        <f>IFERROR(INDEX(Catalogo!$E$4:$E$1502,_xlfn.IFNA(MATCH(B33,Catalogo!$C$4:$C$1502,0),-1)),"")</f>
        <v/>
      </c>
      <c r="D33" s="12" t="str">
        <f>IFERROR(_xlfn.CONCAT(INDEX(Catalogo!$G$4:$G$1502,_xlfn.IFNA(MATCH(B33,Catalogo!$C$4:$C$1502,0),-1)),"-",INDEX(Catalogo!$H$4:$H$1502,_xlfn.IFNA(MATCH(B33,Catalogo!$C$4:$C$1502,0),-1))),"")</f>
        <v/>
      </c>
    </row>
    <row r="34" spans="2:4" x14ac:dyDescent="0.25">
      <c r="B34" s="9">
        <v>209550707</v>
      </c>
      <c r="C34" s="11" t="str">
        <f>IFERROR(INDEX(Catalogo!$E$4:$E$1502,_xlfn.IFNA(MATCH(B34,Catalogo!$C$4:$C$1502,0),-1)),"")</f>
        <v/>
      </c>
      <c r="D34" s="12" t="str">
        <f>IFERROR(_xlfn.CONCAT(INDEX(Catalogo!$G$4:$G$1502,_xlfn.IFNA(MATCH(B34,Catalogo!$C$4:$C$1502,0),-1)),"-",INDEX(Catalogo!$H$4:$H$1502,_xlfn.IFNA(MATCH(B34,Catalogo!$C$4:$C$1502,0),-1))),"")</f>
        <v/>
      </c>
    </row>
    <row r="35" spans="2:4" x14ac:dyDescent="0.25">
      <c r="B35" s="9">
        <v>402960774</v>
      </c>
      <c r="C35" s="11" t="str">
        <f>IFERROR(INDEX(Catalogo!$E$4:$E$1502,_xlfn.IFNA(MATCH(B35,Catalogo!$C$4:$C$1502,0),-1)),"")</f>
        <v/>
      </c>
      <c r="D35" s="12" t="str">
        <f>IFERROR(_xlfn.CONCAT(INDEX(Catalogo!$G$4:$G$1502,_xlfn.IFNA(MATCH(B35,Catalogo!$C$4:$C$1502,0),-1)),"-",INDEX(Catalogo!$H$4:$H$1502,_xlfn.IFNA(MATCH(B35,Catalogo!$C$4:$C$1502,0),-1))),"")</f>
        <v/>
      </c>
    </row>
    <row r="36" spans="2:4" x14ac:dyDescent="0.25">
      <c r="B36" s="9">
        <v>403000437</v>
      </c>
      <c r="C36" s="11" t="str">
        <f>IFERROR(INDEX(Catalogo!$E$4:$E$1502,_xlfn.IFNA(MATCH(B36,Catalogo!$C$4:$C$1502,0),-1)),"")</f>
        <v/>
      </c>
      <c r="D36" s="12" t="str">
        <f>IFERROR(_xlfn.CONCAT(INDEX(Catalogo!$G$4:$G$1502,_xlfn.IFNA(MATCH(B36,Catalogo!$C$4:$C$1502,0),-1)),"-",INDEX(Catalogo!$H$4:$H$1502,_xlfn.IFNA(MATCH(B36,Catalogo!$C$4:$C$1502,0),-1))),"")</f>
        <v/>
      </c>
    </row>
    <row r="37" spans="2:4" x14ac:dyDescent="0.25">
      <c r="B37" s="9">
        <v>209620397</v>
      </c>
      <c r="C37" s="11" t="str">
        <f>IFERROR(INDEX(Catalogo!$E$4:$E$1502,_xlfn.IFNA(MATCH(B37,Catalogo!$C$4:$C$1502,0),-1)),"")</f>
        <v/>
      </c>
      <c r="D37" s="12" t="str">
        <f>IFERROR(_xlfn.CONCAT(INDEX(Catalogo!$G$4:$G$1502,_xlfn.IFNA(MATCH(B37,Catalogo!$C$4:$C$1502,0),-1)),"-",INDEX(Catalogo!$H$4:$H$1502,_xlfn.IFNA(MATCH(B37,Catalogo!$C$4:$C$1502,0),-1))),"")</f>
        <v/>
      </c>
    </row>
    <row r="38" spans="2:4" x14ac:dyDescent="0.25">
      <c r="B38" s="9">
        <v>605400847</v>
      </c>
      <c r="C38" s="11" t="str">
        <f>IFERROR(INDEX(Catalogo!$E$4:$E$1502,_xlfn.IFNA(MATCH(B38,Catalogo!$C$4:$C$1502,0),-1)),"")</f>
        <v/>
      </c>
      <c r="D38" s="12" t="str">
        <f>IFERROR(_xlfn.CONCAT(INDEX(Catalogo!$G$4:$G$1502,_xlfn.IFNA(MATCH(B38,Catalogo!$C$4:$C$1502,0),-1)),"-",INDEX(Catalogo!$H$4:$H$1502,_xlfn.IFNA(MATCH(B38,Catalogo!$C$4:$C$1502,0),-1))),"")</f>
        <v/>
      </c>
    </row>
    <row r="39" spans="2:4" x14ac:dyDescent="0.25">
      <c r="B39" s="9">
        <v>402970123</v>
      </c>
      <c r="C39" s="11" t="str">
        <f>IFERROR(INDEX(Catalogo!$E$4:$E$1502,_xlfn.IFNA(MATCH(B39,Catalogo!$C$4:$C$1502,0),-1)),"")</f>
        <v/>
      </c>
      <c r="D39" s="12" t="str">
        <f>IFERROR(_xlfn.CONCAT(INDEX(Catalogo!$G$4:$G$1502,_xlfn.IFNA(MATCH(B39,Catalogo!$C$4:$C$1502,0),-1)),"-",INDEX(Catalogo!$H$4:$H$1502,_xlfn.IFNA(MATCH(B39,Catalogo!$C$4:$C$1502,0),-1))),"")</f>
        <v/>
      </c>
    </row>
    <row r="40" spans="2:4" x14ac:dyDescent="0.25">
      <c r="B40" s="9">
        <v>402990954</v>
      </c>
      <c r="C40" s="11" t="str">
        <f>IFERROR(INDEX(Catalogo!$E$4:$E$1502,_xlfn.IFNA(MATCH(B40,Catalogo!$C$4:$C$1502,0),-1)),"")</f>
        <v/>
      </c>
      <c r="D40" s="12" t="str">
        <f>IFERROR(_xlfn.CONCAT(INDEX(Catalogo!$G$4:$G$1502,_xlfn.IFNA(MATCH(B40,Catalogo!$C$4:$C$1502,0),-1)),"-",INDEX(Catalogo!$H$4:$H$1502,_xlfn.IFNA(MATCH(B40,Catalogo!$C$4:$C$1502,0),-1))),"")</f>
        <v/>
      </c>
    </row>
    <row r="41" spans="2:4" x14ac:dyDescent="0.25">
      <c r="B41" s="16">
        <v>402920634</v>
      </c>
      <c r="C41" s="11" t="str">
        <f>IFERROR(INDEX(Catalogo!$E$4:$E$1502,_xlfn.IFNA(MATCH(B41,Catalogo!$C$4:$C$1502,0),-1)),"")</f>
        <v/>
      </c>
      <c r="D41" s="12" t="str">
        <f>IFERROR(_xlfn.CONCAT(INDEX(Catalogo!$G$4:$G$1502,_xlfn.IFNA(MATCH(B41,Catalogo!$C$4:$C$1502,0),-1)),"-",INDEX(Catalogo!$H$4:$H$1502,_xlfn.IFNA(MATCH(B41,Catalogo!$C$4:$C$1502,0),-1))),"")</f>
        <v/>
      </c>
    </row>
    <row r="42" spans="2:4" x14ac:dyDescent="0.25">
      <c r="B42" s="9">
        <v>402990595</v>
      </c>
      <c r="C42" s="11" t="str">
        <f>IFERROR(INDEX(Catalogo!$E$4:$E$1502,_xlfn.IFNA(MATCH(B42,Catalogo!$C$4:$C$1502,0),-1)),"")</f>
        <v/>
      </c>
      <c r="D42" s="12" t="str">
        <f>IFERROR(_xlfn.CONCAT(INDEX(Catalogo!$G$4:$G$1502,_xlfn.IFNA(MATCH(B42,Catalogo!$C$4:$C$1502,0),-1)),"-",INDEX(Catalogo!$H$4:$H$1502,_xlfn.IFNA(MATCH(B42,Catalogo!$C$4:$C$1502,0),-1))),"")</f>
        <v/>
      </c>
    </row>
    <row r="43" spans="2:4" x14ac:dyDescent="0.25">
      <c r="B43" s="9">
        <v>209590596</v>
      </c>
      <c r="C43" s="11" t="str">
        <f>IFERROR(INDEX(Catalogo!$E$4:$E$1502,_xlfn.IFNA(MATCH(B43,Catalogo!$C$4:$C$1502,0),-1)),"")</f>
        <v/>
      </c>
      <c r="D43" s="12" t="str">
        <f>IFERROR(_xlfn.CONCAT(INDEX(Catalogo!$G$4:$G$1502,_xlfn.IFNA(MATCH(B43,Catalogo!$C$4:$C$1502,0),-1)),"-",INDEX(Catalogo!$H$4:$H$1502,_xlfn.IFNA(MATCH(B43,Catalogo!$C$4:$C$1502,0),-1))),"")</f>
        <v/>
      </c>
    </row>
    <row r="44" spans="2:4" x14ac:dyDescent="0.25">
      <c r="B44" s="9"/>
      <c r="C44" s="11" t="str">
        <f>IFERROR(INDEX(Catalogo!$E$4:$E$1502,_xlfn.IFNA(MATCH(B44,Catalogo!$C$4:$C$1502,0),-1)),"")</f>
        <v/>
      </c>
      <c r="D44" s="12" t="str">
        <f>IFERROR(_xlfn.CONCAT(INDEX(Catalogo!$G$4:$G$1502,_xlfn.IFNA(MATCH(B44,Catalogo!$C$4:$C$1502,0),-1)),"-",INDEX(Catalogo!$H$4:$H$1502,_xlfn.IFNA(MATCH(B44,Catalogo!$C$4:$C$1502,0),-1))),"")</f>
        <v/>
      </c>
    </row>
    <row r="45" spans="2:4" x14ac:dyDescent="0.25">
      <c r="B45" s="9"/>
      <c r="C45" s="11" t="str">
        <f>IFERROR(INDEX(Catalogo!$E$4:$E$1502,_xlfn.IFNA(MATCH(B45,Catalogo!$C$4:$C$1502,0),-1)),"")</f>
        <v/>
      </c>
      <c r="D45" s="12" t="str">
        <f>IFERROR(_xlfn.CONCAT(INDEX(Catalogo!$G$4:$G$1502,_xlfn.IFNA(MATCH(B45,Catalogo!$C$4:$C$1502,0),-1)),"-",INDEX(Catalogo!$H$4:$H$1502,_xlfn.IFNA(MATCH(B45,Catalogo!$C$4:$C$1502,0),-1))),"")</f>
        <v/>
      </c>
    </row>
    <row r="46" spans="2:4" x14ac:dyDescent="0.25">
      <c r="B46" s="9"/>
      <c r="C46" s="11" t="str">
        <f>IFERROR(INDEX(Catalogo!$E$4:$E$1502,_xlfn.IFNA(MATCH(B46,Catalogo!$C$4:$C$1502,0),-1)),"")</f>
        <v/>
      </c>
      <c r="D46" s="12" t="str">
        <f>IFERROR(_xlfn.CONCAT(INDEX(Catalogo!$G$4:$G$1502,_xlfn.IFNA(MATCH(B46,Catalogo!$C$4:$C$1502,0),-1)),"-",INDEX(Catalogo!$H$4:$H$1502,_xlfn.IFNA(MATCH(B46,Catalogo!$C$4:$C$1502,0),-1))),"")</f>
        <v/>
      </c>
    </row>
    <row r="47" spans="2:4" x14ac:dyDescent="0.25">
      <c r="B47" s="9"/>
      <c r="C47" s="11" t="str">
        <f>IFERROR(INDEX(Catalogo!$E$4:$E$1502,_xlfn.IFNA(MATCH(B47,Catalogo!$C$4:$C$1502,0),-1)),"")</f>
        <v/>
      </c>
      <c r="D47" s="12" t="str">
        <f>IFERROR(_xlfn.CONCAT(INDEX(Catalogo!$G$4:$G$1502,_xlfn.IFNA(MATCH(B47,Catalogo!$C$4:$C$1502,0),-1)),"-",INDEX(Catalogo!$H$4:$H$1502,_xlfn.IFNA(MATCH(B47,Catalogo!$C$4:$C$1502,0),-1))),"")</f>
        <v/>
      </c>
    </row>
    <row r="48" spans="2:4" x14ac:dyDescent="0.25">
      <c r="B48" s="9"/>
      <c r="C48" s="11" t="str">
        <f>IFERROR(INDEX(Catalogo!$E$4:$E$1502,_xlfn.IFNA(MATCH(B48,Catalogo!$C$4:$C$1502,0),-1)),"")</f>
        <v/>
      </c>
      <c r="D48" s="12" t="str">
        <f>IFERROR(_xlfn.CONCAT(INDEX(Catalogo!$G$4:$G$1502,_xlfn.IFNA(MATCH(B48,Catalogo!$C$4:$C$1502,0),-1)),"-",INDEX(Catalogo!$H$4:$H$1502,_xlfn.IFNA(MATCH(B48,Catalogo!$C$4:$C$1502,0),-1))),"")</f>
        <v/>
      </c>
    </row>
    <row r="49" spans="2:4" x14ac:dyDescent="0.25">
      <c r="B49" s="16"/>
      <c r="C49" s="11" t="str">
        <f>IFERROR(INDEX(Catalogo!$E$4:$E$1502,_xlfn.IFNA(MATCH(B49,Catalogo!$C$4:$C$1502,0),-1)),"")</f>
        <v/>
      </c>
      <c r="D49" s="12" t="str">
        <f>IFERROR(_xlfn.CONCAT(INDEX(Catalogo!$G$4:$G$1502,_xlfn.IFNA(MATCH(B49,Catalogo!$C$4:$C$1502,0),-1)),"-",INDEX(Catalogo!$H$4:$H$1502,_xlfn.IFNA(MATCH(B49,Catalogo!$C$4:$C$1502,0),-1))),"")</f>
        <v/>
      </c>
    </row>
    <row r="50" spans="2:4" x14ac:dyDescent="0.25">
      <c r="B50" s="9"/>
      <c r="C50" s="11" t="str">
        <f>IFERROR(INDEX(Catalogo!$E$4:$E$1502,_xlfn.IFNA(MATCH(B50,Catalogo!$C$4:$C$1502,0),-1)),"")</f>
        <v/>
      </c>
      <c r="D50" s="12" t="str">
        <f>IFERROR(_xlfn.CONCAT(INDEX(Catalogo!$G$4:$G$1502,_xlfn.IFNA(MATCH(B50,Catalogo!$C$4:$C$1502,0),-1)),"-",INDEX(Catalogo!$H$4:$H$1502,_xlfn.IFNA(MATCH(B50,Catalogo!$C$4:$C$1502,0),-1))),"")</f>
        <v/>
      </c>
    </row>
    <row r="51" spans="2:4" x14ac:dyDescent="0.25">
      <c r="B51" s="8"/>
      <c r="C51" s="11" t="str">
        <f>IFERROR(INDEX(Catalogo!$E$4:$E$1502,_xlfn.IFNA(MATCH(B51,Catalogo!$C$4:$C$1502,0),-1)),"")</f>
        <v/>
      </c>
      <c r="D51" s="12" t="str">
        <f>IFERROR(_xlfn.CONCAT(INDEX(Catalogo!$G$4:$G$1502,_xlfn.IFNA(MATCH(B51,Catalogo!$C$4:$C$1502,0),-1)),"-",INDEX(Catalogo!$H$4:$H$1502,_xlfn.IFNA(MATCH(B51,Catalogo!$C$4:$C$1502,0),-1))),"")</f>
        <v/>
      </c>
    </row>
    <row r="52" spans="2:4" x14ac:dyDescent="0.25">
      <c r="B52" s="9"/>
      <c r="C52" s="11" t="str">
        <f>IFERROR(INDEX(Catalogo!$E$4:$E$1502,_xlfn.IFNA(MATCH(B52,Catalogo!$C$4:$C$1502,0),-1)),"")</f>
        <v/>
      </c>
      <c r="D52" s="12" t="str">
        <f>IFERROR(_xlfn.CONCAT(INDEX(Catalogo!$G$4:$G$1502,_xlfn.IFNA(MATCH(B52,Catalogo!$C$4:$C$1502,0),-1)),"-",INDEX(Catalogo!$H$4:$H$1502,_xlfn.IFNA(MATCH(B52,Catalogo!$C$4:$C$1502,0),-1))),"")</f>
        <v/>
      </c>
    </row>
    <row r="53" spans="2:4" x14ac:dyDescent="0.25">
      <c r="B53" s="9"/>
      <c r="C53" s="11" t="str">
        <f>IFERROR(INDEX(Catalogo!$E$4:$E$1502,_xlfn.IFNA(MATCH(B53,Catalogo!$C$4:$C$1502,0),-1)),"")</f>
        <v/>
      </c>
      <c r="D53" s="12" t="str">
        <f>IFERROR(_xlfn.CONCAT(INDEX(Catalogo!$G$4:$G$1502,_xlfn.IFNA(MATCH(B53,Catalogo!$C$4:$C$1502,0),-1)),"-",INDEX(Catalogo!$H$4:$H$1502,_xlfn.IFNA(MATCH(B53,Catalogo!$C$4:$C$1502,0),-1))),"")</f>
        <v/>
      </c>
    </row>
    <row r="54" spans="2:4" x14ac:dyDescent="0.25">
      <c r="B54" s="9"/>
      <c r="C54" s="11" t="str">
        <f>IFERROR(INDEX(Catalogo!$E$4:$E$1502,_xlfn.IFNA(MATCH(B54,Catalogo!$C$4:$C$1502,0),-1)),"")</f>
        <v/>
      </c>
      <c r="D54" s="12" t="str">
        <f>IFERROR(_xlfn.CONCAT(INDEX(Catalogo!$G$4:$G$1502,_xlfn.IFNA(MATCH(B54,Catalogo!$C$4:$C$1502,0),-1)),"-",INDEX(Catalogo!$H$4:$H$1502,_xlfn.IFNA(MATCH(B54,Catalogo!$C$4:$C$1502,0),-1))),"")</f>
        <v/>
      </c>
    </row>
    <row r="55" spans="2:4" x14ac:dyDescent="0.25">
      <c r="B55" s="9"/>
      <c r="C55" s="11" t="str">
        <f>IFERROR(INDEX(Catalogo!$E$4:$E$1502,_xlfn.IFNA(MATCH(B55,Catalogo!$C$4:$C$1502,0),-1)),"")</f>
        <v/>
      </c>
      <c r="D55" s="12" t="str">
        <f>IFERROR(_xlfn.CONCAT(INDEX(Catalogo!$G$4:$G$1502,_xlfn.IFNA(MATCH(B55,Catalogo!$C$4:$C$1502,0),-1)),"-",INDEX(Catalogo!$H$4:$H$1502,_xlfn.IFNA(MATCH(B55,Catalogo!$C$4:$C$1502,0),-1))),"")</f>
        <v/>
      </c>
    </row>
    <row r="56" spans="2:4" x14ac:dyDescent="0.25">
      <c r="B56" s="9"/>
      <c r="C56" s="11" t="str">
        <f>IFERROR(INDEX(Catalogo!$E$4:$E$1502,_xlfn.IFNA(MATCH(B56,Catalogo!$C$4:$C$1502,0),-1)),"")</f>
        <v/>
      </c>
      <c r="D56" s="12" t="str">
        <f>IFERROR(_xlfn.CONCAT(INDEX(Catalogo!$G$4:$G$1502,_xlfn.IFNA(MATCH(B56,Catalogo!$C$4:$C$1502,0),-1)),"-",INDEX(Catalogo!$H$4:$H$1502,_xlfn.IFNA(MATCH(B56,Catalogo!$C$4:$C$1502,0),-1))),"")</f>
        <v/>
      </c>
    </row>
    <row r="57" spans="2:4" x14ac:dyDescent="0.25">
      <c r="B57" s="8"/>
      <c r="C57" s="11" t="str">
        <f>IFERROR(INDEX(Catalogo!$E$4:$E$1502,_xlfn.IFNA(MATCH(B57,Catalogo!$C$4:$C$1502,0),-1)),"")</f>
        <v/>
      </c>
      <c r="D57" s="12" t="str">
        <f>IFERROR(_xlfn.CONCAT(INDEX(Catalogo!$G$4:$G$1502,_xlfn.IFNA(MATCH(B57,Catalogo!$C$4:$C$1502,0),-1)),"-",INDEX(Catalogo!$H$4:$H$1502,_xlfn.IFNA(MATCH(B57,Catalogo!$C$4:$C$1502,0),-1))),"")</f>
        <v/>
      </c>
    </row>
    <row r="58" spans="2:4" x14ac:dyDescent="0.25">
      <c r="B58" s="9"/>
      <c r="C58" s="11" t="str">
        <f>IFERROR(INDEX(Catalogo!$E$4:$E$1502,_xlfn.IFNA(MATCH(B58,Catalogo!$C$4:$C$1502,0),-1)),"")</f>
        <v/>
      </c>
      <c r="D58" s="12" t="str">
        <f>IFERROR(_xlfn.CONCAT(INDEX(Catalogo!$G$4:$G$1502,_xlfn.IFNA(MATCH(B58,Catalogo!$C$4:$C$1502,0),-1)),"-",INDEX(Catalogo!$H$4:$H$1502,_xlfn.IFNA(MATCH(B58,Catalogo!$C$4:$C$1502,0),-1))),"")</f>
        <v/>
      </c>
    </row>
    <row r="59" spans="2:4" x14ac:dyDescent="0.25">
      <c r="B59" s="9"/>
      <c r="C59" s="11" t="str">
        <f>IFERROR(INDEX(Catalogo!$E$4:$E$1502,_xlfn.IFNA(MATCH(B59,Catalogo!$C$4:$C$1502,0),-1)),"")</f>
        <v/>
      </c>
      <c r="D59" s="12" t="str">
        <f>IFERROR(_xlfn.CONCAT(INDEX(Catalogo!$G$4:$G$1502,_xlfn.IFNA(MATCH(B59,Catalogo!$C$4:$C$1502,0),-1)),"-",INDEX(Catalogo!$H$4:$H$1502,_xlfn.IFNA(MATCH(B59,Catalogo!$C$4:$C$1502,0),-1))),"")</f>
        <v/>
      </c>
    </row>
    <row r="60" spans="2:4" x14ac:dyDescent="0.25">
      <c r="B60" s="9"/>
      <c r="C60" s="11" t="str">
        <f>IFERROR(INDEX(Catalogo!$E$4:$E$1502,_xlfn.IFNA(MATCH(B60,Catalogo!$C$4:$C$1502,0),-1)),"")</f>
        <v/>
      </c>
      <c r="D60" s="12" t="str">
        <f>IFERROR(_xlfn.CONCAT(INDEX(Catalogo!$G$4:$G$1502,_xlfn.IFNA(MATCH(B60,Catalogo!$C$4:$C$1502,0),-1)),"-",INDEX(Catalogo!$H$4:$H$1502,_xlfn.IFNA(MATCH(B60,Catalogo!$C$4:$C$1502,0),-1))),"")</f>
        <v/>
      </c>
    </row>
    <row r="61" spans="2:4" x14ac:dyDescent="0.25">
      <c r="B61" s="9"/>
      <c r="C61" s="11" t="str">
        <f>IFERROR(INDEX(Catalogo!$E$4:$E$1502,_xlfn.IFNA(MATCH(B61,Catalogo!$C$4:$C$1502,0),-1)),"")</f>
        <v/>
      </c>
      <c r="D61" s="12" t="str">
        <f>IFERROR(_xlfn.CONCAT(INDEX(Catalogo!$G$4:$G$1502,_xlfn.IFNA(MATCH(B61,Catalogo!$C$4:$C$1502,0),-1)),"-",INDEX(Catalogo!$H$4:$H$1502,_xlfn.IFNA(MATCH(B61,Catalogo!$C$4:$C$1502,0),-1))),"")</f>
        <v/>
      </c>
    </row>
    <row r="62" spans="2:4" x14ac:dyDescent="0.25">
      <c r="B62" s="8"/>
      <c r="C62" s="11" t="str">
        <f>IFERROR(INDEX(Catalogo!$E$4:$E$1502,_xlfn.IFNA(MATCH(B62,Catalogo!$C$4:$C$1502,0),-1)),"")</f>
        <v/>
      </c>
      <c r="D62" s="12" t="str">
        <f>IFERROR(_xlfn.CONCAT(INDEX(Catalogo!$G$4:$G$1502,_xlfn.IFNA(MATCH(B62,Catalogo!$C$4:$C$1502,0),-1)),"-",INDEX(Catalogo!$H$4:$H$1502,_xlfn.IFNA(MATCH(B62,Catalogo!$C$4:$C$1502,0),-1))),"")</f>
        <v/>
      </c>
    </row>
    <row r="63" spans="2:4" x14ac:dyDescent="0.25">
      <c r="B63" s="9"/>
      <c r="C63" s="11" t="str">
        <f>IFERROR(INDEX(Catalogo!$E$4:$E$1502,_xlfn.IFNA(MATCH(B63,Catalogo!$C$4:$C$1502,0),-1)),"")</f>
        <v/>
      </c>
      <c r="D63" s="12" t="str">
        <f>IFERROR(_xlfn.CONCAT(INDEX(Catalogo!$G$4:$G$1502,_xlfn.IFNA(MATCH(B63,Catalogo!$C$4:$C$1502,0),-1)),"-",INDEX(Catalogo!$H$4:$H$1502,_xlfn.IFNA(MATCH(B63,Catalogo!$C$4:$C$1502,0),-1))),"")</f>
        <v/>
      </c>
    </row>
    <row r="64" spans="2:4" x14ac:dyDescent="0.25">
      <c r="B64" s="9"/>
      <c r="C64" s="11" t="str">
        <f>IFERROR(INDEX(Catalogo!$E$4:$E$1502,_xlfn.IFNA(MATCH(B64,Catalogo!$C$4:$C$1502,0),-1)),"")</f>
        <v/>
      </c>
      <c r="D64" s="12" t="str">
        <f>IFERROR(_xlfn.CONCAT(INDEX(Catalogo!$G$4:$G$1502,_xlfn.IFNA(MATCH(B64,Catalogo!$C$4:$C$1502,0),-1)),"-",INDEX(Catalogo!$H$4:$H$1502,_xlfn.IFNA(MATCH(B64,Catalogo!$C$4:$C$1502,0),-1))),"")</f>
        <v/>
      </c>
    </row>
    <row r="65" spans="2:4" x14ac:dyDescent="0.25">
      <c r="B65" s="9"/>
      <c r="C65" s="11" t="str">
        <f>IFERROR(INDEX(Catalogo!$E$4:$E$1502,_xlfn.IFNA(MATCH(B65,Catalogo!$C$4:$C$1502,0),-1)),"")</f>
        <v/>
      </c>
      <c r="D65" s="12" t="str">
        <f>IFERROR(_xlfn.CONCAT(INDEX(Catalogo!$G$4:$G$1502,_xlfn.IFNA(MATCH(B65,Catalogo!$C$4:$C$1502,0),-1)),"-",INDEX(Catalogo!$H$4:$H$1502,_xlfn.IFNA(MATCH(B65,Catalogo!$C$4:$C$1502,0),-1))),"")</f>
        <v/>
      </c>
    </row>
    <row r="66" spans="2:4" x14ac:dyDescent="0.25">
      <c r="B66" s="9"/>
      <c r="C66" s="11" t="str">
        <f>IFERROR(INDEX(Catalogo!$E$4:$E$1502,_xlfn.IFNA(MATCH(B66,Catalogo!$C$4:$C$1502,0),-1)),"")</f>
        <v/>
      </c>
      <c r="D66" s="12" t="str">
        <f>IFERROR(_xlfn.CONCAT(INDEX(Catalogo!$G$4:$G$1502,_xlfn.IFNA(MATCH(B66,Catalogo!$C$4:$C$1502,0),-1)),"-",INDEX(Catalogo!$H$4:$H$1502,_xlfn.IFNA(MATCH(B66,Catalogo!$C$4:$C$1502,0),-1))),"")</f>
        <v/>
      </c>
    </row>
    <row r="67" spans="2:4" x14ac:dyDescent="0.25">
      <c r="B67" s="8"/>
      <c r="C67" s="11" t="str">
        <f>IFERROR(INDEX(Catalogo!$E$4:$E$1502,_xlfn.IFNA(MATCH(B67,Catalogo!$C$4:$C$1502,0),-1)),"")</f>
        <v/>
      </c>
      <c r="D67" s="12" t="str">
        <f>IFERROR(_xlfn.CONCAT(INDEX(Catalogo!$G$4:$G$1502,_xlfn.IFNA(MATCH(B67,Catalogo!$C$4:$C$1502,0),-1)),"-",INDEX(Catalogo!$H$4:$H$1502,_xlfn.IFNA(MATCH(B67,Catalogo!$C$4:$C$1502,0),-1))),"")</f>
        <v/>
      </c>
    </row>
    <row r="68" spans="2:4" x14ac:dyDescent="0.25">
      <c r="B68" s="9"/>
      <c r="C68" s="11" t="str">
        <f>IFERROR(INDEX(Catalogo!$E$4:$E$1502,_xlfn.IFNA(MATCH(B68,Catalogo!$C$4:$C$1502,0),-1)),"")</f>
        <v/>
      </c>
      <c r="D68" s="12" t="str">
        <f>IFERROR(_xlfn.CONCAT(INDEX(Catalogo!$G$4:$G$1502,_xlfn.IFNA(MATCH(B68,Catalogo!$C$4:$C$1502,0),-1)),"-",INDEX(Catalogo!$H$4:$H$1502,_xlfn.IFNA(MATCH(B68,Catalogo!$C$4:$C$1502,0),-1))),"")</f>
        <v/>
      </c>
    </row>
    <row r="69" spans="2:4" x14ac:dyDescent="0.25">
      <c r="B69" s="9"/>
      <c r="C69" s="11" t="str">
        <f>IFERROR(INDEX(Catalogo!$E$4:$E$1502,_xlfn.IFNA(MATCH(B69,Catalogo!$C$4:$C$1502,0),-1)),"")</f>
        <v/>
      </c>
      <c r="D69" s="12" t="str">
        <f>IFERROR(_xlfn.CONCAT(INDEX(Catalogo!$G$4:$G$1502,_xlfn.IFNA(MATCH(B69,Catalogo!$C$4:$C$1502,0),-1)),"-",INDEX(Catalogo!$H$4:$H$1502,_xlfn.IFNA(MATCH(B69,Catalogo!$C$4:$C$1502,0),-1))),"")</f>
        <v/>
      </c>
    </row>
    <row r="70" spans="2:4" x14ac:dyDescent="0.25">
      <c r="B70" s="9"/>
      <c r="C70" s="11" t="str">
        <f>IFERROR(INDEX(Catalogo!$E$4:$E$1502,_xlfn.IFNA(MATCH(B70,Catalogo!$C$4:$C$1502,0),-1)),"")</f>
        <v/>
      </c>
      <c r="D70" s="12" t="str">
        <f>IFERROR(_xlfn.CONCAT(INDEX(Catalogo!$G$4:$G$1502,_xlfn.IFNA(MATCH(B70,Catalogo!$C$4:$C$1502,0),-1)),"-",INDEX(Catalogo!$H$4:$H$1502,_xlfn.IFNA(MATCH(B70,Catalogo!$C$4:$C$1502,0),-1))),"")</f>
        <v/>
      </c>
    </row>
    <row r="71" spans="2:4" x14ac:dyDescent="0.25">
      <c r="B71" s="9"/>
      <c r="C71" s="11" t="str">
        <f>IFERROR(INDEX(Catalogo!$E$4:$E$1502,_xlfn.IFNA(MATCH(B71,Catalogo!$C$4:$C$1502,0),-1)),"")</f>
        <v/>
      </c>
      <c r="D71" s="12" t="str">
        <f>IFERROR(_xlfn.CONCAT(INDEX(Catalogo!$G$4:$G$1502,_xlfn.IFNA(MATCH(B71,Catalogo!$C$4:$C$1502,0),-1)),"-",INDEX(Catalogo!$H$4:$H$1502,_xlfn.IFNA(MATCH(B71,Catalogo!$C$4:$C$1502,0),-1))),"")</f>
        <v/>
      </c>
    </row>
    <row r="72" spans="2:4" x14ac:dyDescent="0.25">
      <c r="B72" s="8"/>
      <c r="C72" s="11" t="str">
        <f>IFERROR(INDEX(Catalogo!$E$4:$E$1502,_xlfn.IFNA(MATCH(B72,Catalogo!$C$4:$C$1502,0),-1)),"")</f>
        <v/>
      </c>
      <c r="D72" s="12" t="str">
        <f>IFERROR(_xlfn.CONCAT(INDEX(Catalogo!$G$4:$G$1502,_xlfn.IFNA(MATCH(B72,Catalogo!$C$4:$C$1502,0),-1)),"-",INDEX(Catalogo!$H$4:$H$1502,_xlfn.IFNA(MATCH(B72,Catalogo!$C$4:$C$1502,0),-1))),"")</f>
        <v/>
      </c>
    </row>
    <row r="73" spans="2:4" x14ac:dyDescent="0.25">
      <c r="B73" s="9"/>
      <c r="C73" s="11" t="str">
        <f>IFERROR(INDEX(Catalogo!$E$4:$E$1502,_xlfn.IFNA(MATCH(B73,Catalogo!$C$4:$C$1502,0),-1)),"")</f>
        <v/>
      </c>
      <c r="D73" s="12" t="str">
        <f>IFERROR(_xlfn.CONCAT(INDEX(Catalogo!$G$4:$G$1502,_xlfn.IFNA(MATCH(B73,Catalogo!$C$4:$C$1502,0),-1)),"-",INDEX(Catalogo!$H$4:$H$1502,_xlfn.IFNA(MATCH(B73,Catalogo!$C$4:$C$1502,0),-1))),"")</f>
        <v/>
      </c>
    </row>
    <row r="74" spans="2:4" x14ac:dyDescent="0.25">
      <c r="B74" s="9"/>
      <c r="C74" s="11" t="str">
        <f>IFERROR(INDEX(Catalogo!$E$4:$E$1502,_xlfn.IFNA(MATCH(B74,Catalogo!$C$4:$C$1502,0),-1)),"")</f>
        <v/>
      </c>
      <c r="D74" s="12" t="str">
        <f>IFERROR(_xlfn.CONCAT(INDEX(Catalogo!$G$4:$G$1502,_xlfn.IFNA(MATCH(B74,Catalogo!$C$4:$C$1502,0),-1)),"-",INDEX(Catalogo!$H$4:$H$1502,_xlfn.IFNA(MATCH(B74,Catalogo!$C$4:$C$1502,0),-1))),"")</f>
        <v/>
      </c>
    </row>
    <row r="75" spans="2:4" x14ac:dyDescent="0.25">
      <c r="B75" s="9"/>
      <c r="C75" s="11" t="str">
        <f>IFERROR(INDEX(Catalogo!$E$4:$E$1502,_xlfn.IFNA(MATCH(B75,Catalogo!$C$4:$C$1502,0),-1)),"")</f>
        <v/>
      </c>
      <c r="D75" s="12" t="str">
        <f>IFERROR(_xlfn.CONCAT(INDEX(Catalogo!$G$4:$G$1502,_xlfn.IFNA(MATCH(B75,Catalogo!$C$4:$C$1502,0),-1)),"-",INDEX(Catalogo!$H$4:$H$1502,_xlfn.IFNA(MATCH(B75,Catalogo!$C$4:$C$1502,0),-1))),"")</f>
        <v/>
      </c>
    </row>
    <row r="76" spans="2:4" x14ac:dyDescent="0.25">
      <c r="B76" s="17"/>
      <c r="C76" s="11" t="str">
        <f>IFERROR(INDEX(Catalogo!$E$4:$E$1502,_xlfn.IFNA(MATCH(B76,Catalogo!$C$4:$C$1502,0),-1)),"")</f>
        <v/>
      </c>
      <c r="D76" s="12" t="str">
        <f>IFERROR(_xlfn.CONCAT(INDEX(Catalogo!$G$4:$G$1502,_xlfn.IFNA(MATCH(B76,Catalogo!$C$4:$C$1502,0),-1)),"-",INDEX(Catalogo!$H$4:$H$1502,_xlfn.IFNA(MATCH(B76,Catalogo!$C$4:$C$1502,0),-1))),"")</f>
        <v/>
      </c>
    </row>
    <row r="77" spans="2:4" x14ac:dyDescent="0.25">
      <c r="B77" s="9"/>
      <c r="C77" s="11" t="str">
        <f>IFERROR(INDEX(Catalogo!$E$4:$E$1502,_xlfn.IFNA(MATCH(B77,Catalogo!$C$4:$C$1502,0),-1)),"")</f>
        <v/>
      </c>
      <c r="D77" s="12" t="str">
        <f>IFERROR(_xlfn.CONCAT(INDEX(Catalogo!$G$4:$G$1502,_xlfn.IFNA(MATCH(B77,Catalogo!$C$4:$C$1502,0),-1)),"-",INDEX(Catalogo!$H$4:$H$1502,_xlfn.IFNA(MATCH(B77,Catalogo!$C$4:$C$1502,0),-1))),"")</f>
        <v/>
      </c>
    </row>
    <row r="78" spans="2:4" x14ac:dyDescent="0.25">
      <c r="B78" s="9"/>
      <c r="C78" s="11" t="str">
        <f>IFERROR(INDEX(Catalogo!$E$4:$E$1502,_xlfn.IFNA(MATCH(B78,Catalogo!$C$4:$C$1502,0),-1)),"")</f>
        <v/>
      </c>
      <c r="D78" s="12" t="str">
        <f>IFERROR(_xlfn.CONCAT(INDEX(Catalogo!$G$4:$G$1502,_xlfn.IFNA(MATCH(B78,Catalogo!$C$4:$C$1502,0),-1)),"-",INDEX(Catalogo!$H$4:$H$1502,_xlfn.IFNA(MATCH(B78,Catalogo!$C$4:$C$1502,0),-1))),"")</f>
        <v/>
      </c>
    </row>
    <row r="79" spans="2:4" x14ac:dyDescent="0.25">
      <c r="B79" s="9"/>
      <c r="C79" s="11" t="str">
        <f>IFERROR(INDEX(Catalogo!$E$4:$E$1502,_xlfn.IFNA(MATCH(B79,Catalogo!$C$4:$C$1502,0),-1)),"")</f>
        <v/>
      </c>
      <c r="D79" s="12" t="str">
        <f>IFERROR(_xlfn.CONCAT(INDEX(Catalogo!$G$4:$G$1502,_xlfn.IFNA(MATCH(B79,Catalogo!$C$4:$C$1502,0),-1)),"-",INDEX(Catalogo!$H$4:$H$1502,_xlfn.IFNA(MATCH(B79,Catalogo!$C$4:$C$1502,0),-1))),"")</f>
        <v/>
      </c>
    </row>
    <row r="80" spans="2:4" x14ac:dyDescent="0.25">
      <c r="B80" s="17"/>
      <c r="C80" s="11" t="str">
        <f>IFERROR(INDEX(Catalogo!$E$4:$E$1502,_xlfn.IFNA(MATCH(B80,Catalogo!$C$4:$C$1502,0),-1)),"")</f>
        <v/>
      </c>
      <c r="D80" s="12" t="str">
        <f>IFERROR(_xlfn.CONCAT(INDEX(Catalogo!$G$4:$G$1502,_xlfn.IFNA(MATCH(B80,Catalogo!$C$4:$C$1502,0),-1)),"-",INDEX(Catalogo!$H$4:$H$1502,_xlfn.IFNA(MATCH(B80,Catalogo!$C$4:$C$1502,0),-1))),"")</f>
        <v/>
      </c>
    </row>
    <row r="81" spans="2:4" x14ac:dyDescent="0.25">
      <c r="B81" s="8"/>
      <c r="C81" s="11" t="str">
        <f>IFERROR(INDEX(Catalogo!$E$4:$E$1502,_xlfn.IFNA(MATCH(B81,Catalogo!$C$4:$C$1502,0),-1)),"")</f>
        <v/>
      </c>
      <c r="D81" s="12" t="str">
        <f>IFERROR(_xlfn.CONCAT(INDEX(Catalogo!$G$4:$G$1502,_xlfn.IFNA(MATCH(B81,Catalogo!$C$4:$C$1502,0),-1)),"-",INDEX(Catalogo!$H$4:$H$1502,_xlfn.IFNA(MATCH(B81,Catalogo!$C$4:$C$1502,0),-1))),"")</f>
        <v/>
      </c>
    </row>
    <row r="82" spans="2:4" x14ac:dyDescent="0.25">
      <c r="B82" s="9"/>
      <c r="C82" s="11" t="str">
        <f>IFERROR(INDEX(Catalogo!$E$4:$E$1502,_xlfn.IFNA(MATCH(B82,Catalogo!$C$4:$C$1502,0),-1)),"")</f>
        <v/>
      </c>
      <c r="D82" s="12" t="str">
        <f>IFERROR(_xlfn.CONCAT(INDEX(Catalogo!$G$4:$G$1502,_xlfn.IFNA(MATCH(B82,Catalogo!$C$4:$C$1502,0),-1)),"-",INDEX(Catalogo!$H$4:$H$1502,_xlfn.IFNA(MATCH(B82,Catalogo!$C$4:$C$1502,0),-1))),"")</f>
        <v/>
      </c>
    </row>
    <row r="83" spans="2:4" x14ac:dyDescent="0.25">
      <c r="B83" s="8"/>
      <c r="C83" s="11" t="str">
        <f>IFERROR(INDEX(Catalogo!$E$4:$E$1502,_xlfn.IFNA(MATCH(B83,Catalogo!$C$4:$C$1502,0),-1)),"")</f>
        <v/>
      </c>
      <c r="D83" s="12" t="str">
        <f>IFERROR(_xlfn.CONCAT(INDEX(Catalogo!$G$4:$G$1502,_xlfn.IFNA(MATCH(B83,Catalogo!$C$4:$C$1502,0),-1)),"-",INDEX(Catalogo!$H$4:$H$1502,_xlfn.IFNA(MATCH(B83,Catalogo!$C$4:$C$1502,0),-1))),"")</f>
        <v/>
      </c>
    </row>
    <row r="84" spans="2:4" x14ac:dyDescent="0.25">
      <c r="B84" s="8"/>
      <c r="C84" s="11" t="str">
        <f>IFERROR(INDEX(Catalogo!$E$4:$E$1502,_xlfn.IFNA(MATCH(B84,Catalogo!$C$4:$C$1502,0),-1)),"")</f>
        <v/>
      </c>
      <c r="D84" s="12" t="str">
        <f>IFERROR(_xlfn.CONCAT(INDEX(Catalogo!$G$4:$G$1502,_xlfn.IFNA(MATCH(B84,Catalogo!$C$4:$C$1502,0),-1)),"-",INDEX(Catalogo!$H$4:$H$1502,_xlfn.IFNA(MATCH(B84,Catalogo!$C$4:$C$1502,0),-1))),"")</f>
        <v/>
      </c>
    </row>
    <row r="85" spans="2:4" x14ac:dyDescent="0.25">
      <c r="B85" s="9"/>
      <c r="C85" s="11" t="str">
        <f>IFERROR(INDEX(Catalogo!$E$4:$E$1502,_xlfn.IFNA(MATCH(B85,Catalogo!$C$4:$C$1502,0),-1)),"")</f>
        <v/>
      </c>
      <c r="D85" s="12" t="str">
        <f>IFERROR(_xlfn.CONCAT(INDEX(Catalogo!$G$4:$G$1502,_xlfn.IFNA(MATCH(B85,Catalogo!$C$4:$C$1502,0),-1)),"-",INDEX(Catalogo!$H$4:$H$1502,_xlfn.IFNA(MATCH(B85,Catalogo!$C$4:$C$1502,0),-1))),"")</f>
        <v/>
      </c>
    </row>
    <row r="86" spans="2:4" x14ac:dyDescent="0.25">
      <c r="B86" s="9"/>
      <c r="C86" s="11" t="str">
        <f>IFERROR(INDEX(Catalogo!$E$4:$E$1502,_xlfn.IFNA(MATCH(B86,Catalogo!$C$4:$C$1502,0),-1)),"")</f>
        <v/>
      </c>
      <c r="D86" s="12" t="str">
        <f>IFERROR(_xlfn.CONCAT(INDEX(Catalogo!$G$4:$G$1502,_xlfn.IFNA(MATCH(B86,Catalogo!$C$4:$C$1502,0),-1)),"-",INDEX(Catalogo!$H$4:$H$1502,_xlfn.IFNA(MATCH(B86,Catalogo!$C$4:$C$1502,0),-1))),"")</f>
        <v/>
      </c>
    </row>
    <row r="87" spans="2:4" x14ac:dyDescent="0.25">
      <c r="B87" s="9"/>
      <c r="C87" s="11" t="str">
        <f>IFERROR(INDEX(Catalogo!$E$4:$E$1502,_xlfn.IFNA(MATCH(B87,Catalogo!$C$4:$C$1502,0),-1)),"")</f>
        <v/>
      </c>
      <c r="D87" s="12" t="str">
        <f>IFERROR(_xlfn.CONCAT(INDEX(Catalogo!$G$4:$G$1502,_xlfn.IFNA(MATCH(B87,Catalogo!$C$4:$C$1502,0),-1)),"-",INDEX(Catalogo!$H$4:$H$1502,_xlfn.IFNA(MATCH(B87,Catalogo!$C$4:$C$1502,0),-1))),"")</f>
        <v/>
      </c>
    </row>
    <row r="88" spans="2:4" x14ac:dyDescent="0.25">
      <c r="B88" s="8"/>
      <c r="C88" s="11" t="str">
        <f>IFERROR(INDEX(Catalogo!$E$4:$E$1502,_xlfn.IFNA(MATCH(B88,Catalogo!$C$4:$C$1502,0),-1)),"")</f>
        <v/>
      </c>
      <c r="D88" s="12" t="str">
        <f>IFERROR(_xlfn.CONCAT(INDEX(Catalogo!$G$4:$G$1502,_xlfn.IFNA(MATCH(B88,Catalogo!$C$4:$C$1502,0),-1)),"-",INDEX(Catalogo!$H$4:$H$1502,_xlfn.IFNA(MATCH(B88,Catalogo!$C$4:$C$1502,0),-1))),"")</f>
        <v/>
      </c>
    </row>
    <row r="89" spans="2:4" x14ac:dyDescent="0.25">
      <c r="B89" s="8"/>
      <c r="C89" s="11" t="str">
        <f>IFERROR(INDEX(Catalogo!$E$4:$E$1502,_xlfn.IFNA(MATCH(B89,Catalogo!$C$4:$C$1502,0),-1)),"")</f>
        <v/>
      </c>
      <c r="D89" s="12" t="str">
        <f>IFERROR(_xlfn.CONCAT(INDEX(Catalogo!$G$4:$G$1502,_xlfn.IFNA(MATCH(B89,Catalogo!$C$4:$C$1502,0),-1)),"-",INDEX(Catalogo!$H$4:$H$1502,_xlfn.IFNA(MATCH(B89,Catalogo!$C$4:$C$1502,0),-1))),"")</f>
        <v/>
      </c>
    </row>
    <row r="90" spans="2:4" x14ac:dyDescent="0.25">
      <c r="B90" s="9"/>
      <c r="C90" s="11" t="str">
        <f>IFERROR(INDEX(Catalogo!$E$4:$E$1502,_xlfn.IFNA(MATCH(B90,Catalogo!$C$4:$C$1502,0),-1)),"")</f>
        <v/>
      </c>
      <c r="D90" s="12" t="str">
        <f>IFERROR(_xlfn.CONCAT(INDEX(Catalogo!$G$4:$G$1502,_xlfn.IFNA(MATCH(B90,Catalogo!$C$4:$C$1502,0),-1)),"-",INDEX(Catalogo!$H$4:$H$1502,_xlfn.IFNA(MATCH(B90,Catalogo!$C$4:$C$1502,0),-1))),"")</f>
        <v/>
      </c>
    </row>
    <row r="91" spans="2:4" x14ac:dyDescent="0.25">
      <c r="B91" s="8"/>
      <c r="C91" s="11" t="str">
        <f>IFERROR(INDEX(Catalogo!$E$4:$E$1502,_xlfn.IFNA(MATCH(B91,Catalogo!$C$4:$C$1502,0),-1)),"")</f>
        <v/>
      </c>
      <c r="D91" s="12" t="str">
        <f>IFERROR(_xlfn.CONCAT(INDEX(Catalogo!$G$4:$G$1502,_xlfn.IFNA(MATCH(B91,Catalogo!$C$4:$C$1502,0),-1)),"-",INDEX(Catalogo!$H$4:$H$1502,_xlfn.IFNA(MATCH(B91,Catalogo!$C$4:$C$1502,0),-1))),"")</f>
        <v/>
      </c>
    </row>
    <row r="92" spans="2:4" x14ac:dyDescent="0.25">
      <c r="B92" s="8"/>
      <c r="C92" s="11" t="str">
        <f>IFERROR(INDEX(Catalogo!$E$4:$E$1502,_xlfn.IFNA(MATCH(B92,Catalogo!$C$4:$C$1502,0),-1)),"")</f>
        <v/>
      </c>
      <c r="D92" s="12" t="str">
        <f>IFERROR(_xlfn.CONCAT(INDEX(Catalogo!$G$4:$G$1502,_xlfn.IFNA(MATCH(B92,Catalogo!$C$4:$C$1502,0),-1)),"-",INDEX(Catalogo!$H$4:$H$1502,_xlfn.IFNA(MATCH(B92,Catalogo!$C$4:$C$1502,0),-1))),"")</f>
        <v/>
      </c>
    </row>
    <row r="93" spans="2:4" x14ac:dyDescent="0.25">
      <c r="B93" s="8"/>
      <c r="C93" s="11" t="str">
        <f>IFERROR(INDEX(Catalogo!$E$4:$E$1502,_xlfn.IFNA(MATCH(B93,Catalogo!$C$4:$C$1502,0),-1)),"")</f>
        <v/>
      </c>
      <c r="D93" s="12" t="str">
        <f>IFERROR(_xlfn.CONCAT(INDEX(Catalogo!$G$4:$G$1502,_xlfn.IFNA(MATCH(B93,Catalogo!$C$4:$C$1502,0),-1)),"-",INDEX(Catalogo!$H$4:$H$1502,_xlfn.IFNA(MATCH(B93,Catalogo!$C$4:$C$1502,0),-1))),"")</f>
        <v/>
      </c>
    </row>
    <row r="94" spans="2:4" x14ac:dyDescent="0.25">
      <c r="B94" s="8"/>
      <c r="C94" s="11" t="str">
        <f>IFERROR(INDEX(Catalogo!$E$4:$E$1502,_xlfn.IFNA(MATCH(B94,Catalogo!$C$4:$C$1502,0),-1)),"")</f>
        <v/>
      </c>
      <c r="D94" s="12" t="str">
        <f>IFERROR(_xlfn.CONCAT(INDEX(Catalogo!$G$4:$G$1502,_xlfn.IFNA(MATCH(B94,Catalogo!$C$4:$C$1502,0),-1)),"-",INDEX(Catalogo!$H$4:$H$1502,_xlfn.IFNA(MATCH(B94,Catalogo!$C$4:$C$1502,0),-1))),"")</f>
        <v/>
      </c>
    </row>
    <row r="95" spans="2:4" x14ac:dyDescent="0.25">
      <c r="B95" s="8"/>
      <c r="C95" s="11" t="str">
        <f>IFERROR(INDEX(Catalogo!$E$4:$E$1502,_xlfn.IFNA(MATCH(B95,Catalogo!$C$4:$C$1502,0),-1)),"")</f>
        <v/>
      </c>
      <c r="D95" s="12" t="str">
        <f>IFERROR(_xlfn.CONCAT(INDEX(Catalogo!$G$4:$G$1502,_xlfn.IFNA(MATCH(B95,Catalogo!$C$4:$C$1502,0),-1)),"-",INDEX(Catalogo!$H$4:$H$1502,_xlfn.IFNA(MATCH(B95,Catalogo!$C$4:$C$1502,0),-1))),"")</f>
        <v/>
      </c>
    </row>
    <row r="96" spans="2:4" x14ac:dyDescent="0.25">
      <c r="B96" s="8"/>
      <c r="C96" s="11" t="str">
        <f>IFERROR(INDEX(Catalogo!$E$4:$E$1502,_xlfn.IFNA(MATCH(B96,Catalogo!$C$4:$C$1502,0),-1)),"")</f>
        <v/>
      </c>
      <c r="D96" s="12" t="str">
        <f>IFERROR(_xlfn.CONCAT(INDEX(Catalogo!$G$4:$G$1502,_xlfn.IFNA(MATCH(B96,Catalogo!$C$4:$C$1502,0),-1)),"-",INDEX(Catalogo!$H$4:$H$1502,_xlfn.IFNA(MATCH(B96,Catalogo!$C$4:$C$1502,0),-1))),"")</f>
        <v/>
      </c>
    </row>
    <row r="97" spans="2:4" x14ac:dyDescent="0.25">
      <c r="B97" s="9"/>
      <c r="C97" s="11" t="str">
        <f>IFERROR(INDEX(Catalogo!$E$4:$E$1502,_xlfn.IFNA(MATCH(B97,Catalogo!$C$4:$C$1502,0),-1)),"")</f>
        <v/>
      </c>
      <c r="D97" s="12" t="str">
        <f>IFERROR(_xlfn.CONCAT(INDEX(Catalogo!$G$4:$G$1502,_xlfn.IFNA(MATCH(B97,Catalogo!$C$4:$C$1502,0),-1)),"-",INDEX(Catalogo!$H$4:$H$1502,_xlfn.IFNA(MATCH(B97,Catalogo!$C$4:$C$1502,0),-1))),"")</f>
        <v/>
      </c>
    </row>
    <row r="98" spans="2:4" x14ac:dyDescent="0.25">
      <c r="B98" s="9"/>
      <c r="C98" s="11" t="str">
        <f>IFERROR(INDEX(Catalogo!$E$4:$E$1502,_xlfn.IFNA(MATCH(B98,Catalogo!$C$4:$C$1502,0),-1)),"")</f>
        <v/>
      </c>
      <c r="D98" s="12" t="str">
        <f>IFERROR(_xlfn.CONCAT(INDEX(Catalogo!$G$4:$G$1502,_xlfn.IFNA(MATCH(B98,Catalogo!$C$4:$C$1502,0),-1)),"-",INDEX(Catalogo!$H$4:$H$1502,_xlfn.IFNA(MATCH(B98,Catalogo!$C$4:$C$1502,0),-1))),"")</f>
        <v/>
      </c>
    </row>
    <row r="99" spans="2:4" x14ac:dyDescent="0.25">
      <c r="B99" s="9"/>
      <c r="C99" s="11" t="str">
        <f>IFERROR(INDEX(Catalogo!$E$4:$E$1502,_xlfn.IFNA(MATCH(B99,Catalogo!$C$4:$C$1502,0),-1)),"")</f>
        <v/>
      </c>
      <c r="D99" s="12" t="str">
        <f>IFERROR(_xlfn.CONCAT(INDEX(Catalogo!$G$4:$G$1502,_xlfn.IFNA(MATCH(B99,Catalogo!$C$4:$C$1502,0),-1)),"-",INDEX(Catalogo!$H$4:$H$1502,_xlfn.IFNA(MATCH(B99,Catalogo!$C$4:$C$1502,0),-1))),"")</f>
        <v/>
      </c>
    </row>
    <row r="100" spans="2:4" x14ac:dyDescent="0.25">
      <c r="B100" s="9"/>
      <c r="C100" s="11" t="str">
        <f>IFERROR(INDEX(Catalogo!$E$4:$E$1502,_xlfn.IFNA(MATCH(B100,Catalogo!$C$4:$C$1502,0),-1)),"")</f>
        <v/>
      </c>
      <c r="D100" s="12" t="str">
        <f>IFERROR(_xlfn.CONCAT(INDEX(Catalogo!$G$4:$G$1502,_xlfn.IFNA(MATCH(B100,Catalogo!$C$4:$C$1502,0),-1)),"-",INDEX(Catalogo!$H$4:$H$1502,_xlfn.IFNA(MATCH(B100,Catalogo!$C$4:$C$1502,0),-1))),"")</f>
        <v/>
      </c>
    </row>
    <row r="101" spans="2:4" x14ac:dyDescent="0.25">
      <c r="B101" s="9"/>
      <c r="C101" s="11" t="str">
        <f>IFERROR(INDEX(Catalogo!$E$4:$E$1502,_xlfn.IFNA(MATCH(B101,Catalogo!$C$4:$C$1502,0),-1)),"")</f>
        <v/>
      </c>
      <c r="D101" s="12" t="str">
        <f>IFERROR(_xlfn.CONCAT(INDEX(Catalogo!$G$4:$G$1502,_xlfn.IFNA(MATCH(B101,Catalogo!$C$4:$C$1502,0),-1)),"-",INDEX(Catalogo!$H$4:$H$1502,_xlfn.IFNA(MATCH(B101,Catalogo!$C$4:$C$1502,0),-1))),"")</f>
        <v/>
      </c>
    </row>
    <row r="102" spans="2:4" x14ac:dyDescent="0.25">
      <c r="B102" s="9"/>
      <c r="C102" s="11" t="str">
        <f>IFERROR(INDEX(Catalogo!$E$4:$E$1502,_xlfn.IFNA(MATCH(B102,Catalogo!$C$4:$C$1502,0),-1)),"")</f>
        <v/>
      </c>
      <c r="D102" s="12" t="str">
        <f>IFERROR(_xlfn.CONCAT(INDEX(Catalogo!$G$4:$G$1502,_xlfn.IFNA(MATCH(B102,Catalogo!$C$4:$C$1502,0),-1)),"-",INDEX(Catalogo!$H$4:$H$1502,_xlfn.IFNA(MATCH(B102,Catalogo!$C$4:$C$1502,0),-1))),"")</f>
        <v/>
      </c>
    </row>
    <row r="103" spans="2:4" x14ac:dyDescent="0.25">
      <c r="B103" s="9"/>
      <c r="C103" s="11" t="str">
        <f>IFERROR(INDEX(Catalogo!$E$4:$E$1502,_xlfn.IFNA(MATCH(B103,Catalogo!$C$4:$C$1502,0),-1)),"")</f>
        <v/>
      </c>
      <c r="D103" s="12" t="str">
        <f>IFERROR(_xlfn.CONCAT(INDEX(Catalogo!$G$4:$G$1502,_xlfn.IFNA(MATCH(B103,Catalogo!$C$4:$C$1502,0),-1)),"-",INDEX(Catalogo!$H$4:$H$1502,_xlfn.IFNA(MATCH(B103,Catalogo!$C$4:$C$1502,0),-1))),"")</f>
        <v/>
      </c>
    </row>
    <row r="104" spans="2:4" x14ac:dyDescent="0.25">
      <c r="B104" s="9"/>
      <c r="C104" s="11" t="str">
        <f>IFERROR(INDEX(Catalogo!$E$4:$E$1502,_xlfn.IFNA(MATCH(B104,Catalogo!$C$4:$C$1502,0),-1)),"")</f>
        <v/>
      </c>
      <c r="D104" s="12" t="str">
        <f>IFERROR(_xlfn.CONCAT(INDEX(Catalogo!$G$4:$G$1502,_xlfn.IFNA(MATCH(B104,Catalogo!$C$4:$C$1502,0),-1)),"-",INDEX(Catalogo!$H$4:$H$1502,_xlfn.IFNA(MATCH(B104,Catalogo!$C$4:$C$1502,0),-1))),"")</f>
        <v/>
      </c>
    </row>
    <row r="105" spans="2:4" x14ac:dyDescent="0.25">
      <c r="B105" s="9"/>
      <c r="C105" s="11" t="str">
        <f>IFERROR(INDEX(Catalogo!$E$4:$E$1502,_xlfn.IFNA(MATCH(B105,Catalogo!$C$4:$C$1502,0),-1)),"")</f>
        <v/>
      </c>
      <c r="D105" s="12" t="str">
        <f>IFERROR(_xlfn.CONCAT(INDEX(Catalogo!$G$4:$G$1502,_xlfn.IFNA(MATCH(B105,Catalogo!$C$4:$C$1502,0),-1)),"-",INDEX(Catalogo!$H$4:$H$1502,_xlfn.IFNA(MATCH(B105,Catalogo!$C$4:$C$1502,0),-1))),"")</f>
        <v/>
      </c>
    </row>
    <row r="106" spans="2:4" x14ac:dyDescent="0.25">
      <c r="B106" s="9"/>
      <c r="C106" s="11" t="str">
        <f>IFERROR(INDEX(Catalogo!$E$4:$E$1502,_xlfn.IFNA(MATCH(B106,Catalogo!$C$4:$C$1502,0),-1)),"")</f>
        <v/>
      </c>
      <c r="D106" s="12" t="str">
        <f>IFERROR(_xlfn.CONCAT(INDEX(Catalogo!$G$4:$G$1502,_xlfn.IFNA(MATCH(B106,Catalogo!$C$4:$C$1502,0),-1)),"-",INDEX(Catalogo!$H$4:$H$1502,_xlfn.IFNA(MATCH(B106,Catalogo!$C$4:$C$1502,0),-1))),"")</f>
        <v/>
      </c>
    </row>
    <row r="107" spans="2:4" x14ac:dyDescent="0.25">
      <c r="B107" s="9"/>
      <c r="C107" s="11" t="str">
        <f>IFERROR(INDEX(Catalogo!$E$4:$E$1502,_xlfn.IFNA(MATCH(B107,Catalogo!$C$4:$C$1502,0),-1)),"")</f>
        <v/>
      </c>
      <c r="D107" s="12" t="str">
        <f>IFERROR(_xlfn.CONCAT(INDEX(Catalogo!$G$4:$G$1502,_xlfn.IFNA(MATCH(B107,Catalogo!$C$4:$C$1502,0),-1)),"-",INDEX(Catalogo!$H$4:$H$1502,_xlfn.IFNA(MATCH(B107,Catalogo!$C$4:$C$1502,0),-1))),"")</f>
        <v/>
      </c>
    </row>
    <row r="108" spans="2:4" x14ac:dyDescent="0.25">
      <c r="B108" s="9"/>
      <c r="C108" s="11" t="str">
        <f>IFERROR(INDEX(Catalogo!$E$4:$E$1502,_xlfn.IFNA(MATCH(B108,Catalogo!$C$4:$C$1502,0),-1)),"")</f>
        <v/>
      </c>
      <c r="D108" s="12" t="str">
        <f>IFERROR(_xlfn.CONCAT(INDEX(Catalogo!$G$4:$G$1502,_xlfn.IFNA(MATCH(B108,Catalogo!$C$4:$C$1502,0),-1)),"-",INDEX(Catalogo!$H$4:$H$1502,_xlfn.IFNA(MATCH(B108,Catalogo!$C$4:$C$1502,0),-1))),"")</f>
        <v/>
      </c>
    </row>
    <row r="109" spans="2:4" x14ac:dyDescent="0.25">
      <c r="B109" s="9"/>
      <c r="C109" s="11" t="str">
        <f>IFERROR(INDEX(Catalogo!$E$4:$E$1502,_xlfn.IFNA(MATCH(B109,Catalogo!$C$4:$C$1502,0),-1)),"")</f>
        <v/>
      </c>
      <c r="D109" s="12" t="str">
        <f>IFERROR(_xlfn.CONCAT(INDEX(Catalogo!$G$4:$G$1502,_xlfn.IFNA(MATCH(B109,Catalogo!$C$4:$C$1502,0),-1)),"-",INDEX(Catalogo!$H$4:$H$1502,_xlfn.IFNA(MATCH(B109,Catalogo!$C$4:$C$1502,0),-1))),"")</f>
        <v/>
      </c>
    </row>
    <row r="110" spans="2:4" x14ac:dyDescent="0.25">
      <c r="B110" s="9"/>
      <c r="C110" s="11" t="str">
        <f>IFERROR(INDEX(Catalogo!$E$4:$E$1502,_xlfn.IFNA(MATCH(B110,Catalogo!$C$4:$C$1502,0),-1)),"")</f>
        <v/>
      </c>
      <c r="D110" s="12" t="str">
        <f>IFERROR(_xlfn.CONCAT(INDEX(Catalogo!$G$4:$G$1502,_xlfn.IFNA(MATCH(B110,Catalogo!$C$4:$C$1502,0),-1)),"-",INDEX(Catalogo!$H$4:$H$1502,_xlfn.IFNA(MATCH(B110,Catalogo!$C$4:$C$1502,0),-1))),"")</f>
        <v/>
      </c>
    </row>
    <row r="111" spans="2:4" x14ac:dyDescent="0.25">
      <c r="B111" s="19"/>
      <c r="C111" s="11" t="str">
        <f>IFERROR(INDEX(Catalogo!$E$4:$E$1502,_xlfn.IFNA(MATCH(B111,Catalogo!$C$4:$C$1502,0),-1)),"")</f>
        <v/>
      </c>
      <c r="D111" s="12" t="str">
        <f>IFERROR(_xlfn.CONCAT(INDEX(Catalogo!$G$4:$G$1502,_xlfn.IFNA(MATCH(B111,Catalogo!$C$4:$C$1502,0),-1)),"-",INDEX(Catalogo!$H$4:$H$1502,_xlfn.IFNA(MATCH(B111,Catalogo!$C$4:$C$1502,0),-1))),"")</f>
        <v/>
      </c>
    </row>
    <row r="112" spans="2:4" x14ac:dyDescent="0.25">
      <c r="B112" s="16"/>
      <c r="C112" s="11" t="str">
        <f>IFERROR(INDEX(Catalogo!$E$4:$E$1502,_xlfn.IFNA(MATCH(B112,Catalogo!$C$4:$C$1502,0),-1)),"")</f>
        <v/>
      </c>
      <c r="D112" s="12" t="str">
        <f>IFERROR(_xlfn.CONCAT(INDEX(Catalogo!$G$4:$G$1502,_xlfn.IFNA(MATCH(B112,Catalogo!$C$4:$C$1502,0),-1)),"-",INDEX(Catalogo!$H$4:$H$1502,_xlfn.IFNA(MATCH(B112,Catalogo!$C$4:$C$1502,0),-1))),"")</f>
        <v/>
      </c>
    </row>
    <row r="113" spans="2:4" x14ac:dyDescent="0.25">
      <c r="B113" s="16"/>
      <c r="C113" s="11" t="str">
        <f>IFERROR(INDEX(Catalogo!$E$4:$E$1502,_xlfn.IFNA(MATCH(B113,Catalogo!$C$4:$C$1502,0),-1)),"")</f>
        <v/>
      </c>
      <c r="D113" s="12" t="str">
        <f>IFERROR(_xlfn.CONCAT(INDEX(Catalogo!$G$4:$G$1502,_xlfn.IFNA(MATCH(B113,Catalogo!$C$4:$C$1502,0),-1)),"-",INDEX(Catalogo!$H$4:$H$1502,_xlfn.IFNA(MATCH(B113,Catalogo!$C$4:$C$1502,0),-1))),"")</f>
        <v/>
      </c>
    </row>
    <row r="114" spans="2:4" x14ac:dyDescent="0.25">
      <c r="B114" s="16"/>
      <c r="C114" s="11" t="str">
        <f>IFERROR(INDEX(Catalogo!$E$4:$E$1502,_xlfn.IFNA(MATCH(B114,Catalogo!$C$4:$C$1502,0),-1)),"")</f>
        <v/>
      </c>
      <c r="D114" s="12" t="str">
        <f>IFERROR(_xlfn.CONCAT(INDEX(Catalogo!$G$4:$G$1502,_xlfn.IFNA(MATCH(B114,Catalogo!$C$4:$C$1502,0),-1)),"-",INDEX(Catalogo!$H$4:$H$1502,_xlfn.IFNA(MATCH(B114,Catalogo!$C$4:$C$1502,0),-1))),"")</f>
        <v/>
      </c>
    </row>
    <row r="115" spans="2:4" x14ac:dyDescent="0.25">
      <c r="B115" s="16"/>
      <c r="C115" s="11" t="str">
        <f>IFERROR(INDEX(Catalogo!$E$4:$E$1502,_xlfn.IFNA(MATCH(B115,Catalogo!$C$4:$C$1502,0),-1)),"")</f>
        <v/>
      </c>
      <c r="D115" s="12" t="str">
        <f>IFERROR(_xlfn.CONCAT(INDEX(Catalogo!$G$4:$G$1502,_xlfn.IFNA(MATCH(B115,Catalogo!$C$4:$C$1502,0),-1)),"-",INDEX(Catalogo!$H$4:$H$1502,_xlfn.IFNA(MATCH(B115,Catalogo!$C$4:$C$1502,0),-1))),"")</f>
        <v/>
      </c>
    </row>
    <row r="116" spans="2:4" x14ac:dyDescent="0.25">
      <c r="B116" s="16"/>
      <c r="C116" s="11" t="str">
        <f>IFERROR(INDEX(Catalogo!$E$4:$E$1502,_xlfn.IFNA(MATCH(B116,Catalogo!$C$4:$C$1502,0),-1)),"")</f>
        <v/>
      </c>
      <c r="D116" s="12" t="str">
        <f>IFERROR(_xlfn.CONCAT(INDEX(Catalogo!$G$4:$G$1502,_xlfn.IFNA(MATCH(B116,Catalogo!$C$4:$C$1502,0),-1)),"-",INDEX(Catalogo!$H$4:$H$1502,_xlfn.IFNA(MATCH(B116,Catalogo!$C$4:$C$1502,0),-1))),"")</f>
        <v/>
      </c>
    </row>
    <row r="117" spans="2:4" x14ac:dyDescent="0.25">
      <c r="B117" s="16"/>
      <c r="C117" s="11" t="str">
        <f>IFERROR(INDEX(Catalogo!$E$4:$E$1502,_xlfn.IFNA(MATCH(B117,Catalogo!$C$4:$C$1502,0),-1)),"")</f>
        <v/>
      </c>
      <c r="D117" s="12" t="str">
        <f>IFERROR(_xlfn.CONCAT(INDEX(Catalogo!$G$4:$G$1502,_xlfn.IFNA(MATCH(B117,Catalogo!$C$4:$C$1502,0),-1)),"-",INDEX(Catalogo!$H$4:$H$1502,_xlfn.IFNA(MATCH(B117,Catalogo!$C$4:$C$1502,0),-1))),"")</f>
        <v/>
      </c>
    </row>
    <row r="118" spans="2:4" x14ac:dyDescent="0.25">
      <c r="B118" s="16"/>
      <c r="C118" s="11" t="str">
        <f>IFERROR(INDEX(Catalogo!$E$4:$E$1502,_xlfn.IFNA(MATCH(B118,Catalogo!$C$4:$C$1502,0),-1)),"")</f>
        <v/>
      </c>
      <c r="D118" s="12" t="str">
        <f>IFERROR(_xlfn.CONCAT(INDEX(Catalogo!$G$4:$G$1502,_xlfn.IFNA(MATCH(B118,Catalogo!$C$4:$C$1502,0),-1)),"-",INDEX(Catalogo!$H$4:$H$1502,_xlfn.IFNA(MATCH(B118,Catalogo!$C$4:$C$1502,0),-1))),"")</f>
        <v/>
      </c>
    </row>
    <row r="119" spans="2:4" x14ac:dyDescent="0.25">
      <c r="B119" s="16"/>
      <c r="C119" s="11" t="str">
        <f>IFERROR(INDEX(Catalogo!$E$4:$E$1502,_xlfn.IFNA(MATCH(B119,Catalogo!$C$4:$C$1502,0),-1)),"")</f>
        <v/>
      </c>
      <c r="D119" s="12" t="str">
        <f>IFERROR(_xlfn.CONCAT(INDEX(Catalogo!$G$4:$G$1502,_xlfn.IFNA(MATCH(B119,Catalogo!$C$4:$C$1502,0),-1)),"-",INDEX(Catalogo!$H$4:$H$1502,_xlfn.IFNA(MATCH(B119,Catalogo!$C$4:$C$1502,0),-1))),"")</f>
        <v/>
      </c>
    </row>
    <row r="120" spans="2:4" x14ac:dyDescent="0.25">
      <c r="B120" s="16"/>
      <c r="C120" s="11" t="str">
        <f>IFERROR(INDEX(Catalogo!$E$4:$E$1502,_xlfn.IFNA(MATCH(B120,Catalogo!$C$4:$C$1502,0),-1)),"")</f>
        <v/>
      </c>
      <c r="D120" s="12" t="str">
        <f>IFERROR(_xlfn.CONCAT(INDEX(Catalogo!$G$4:$G$1502,_xlfn.IFNA(MATCH(B120,Catalogo!$C$4:$C$1502,0),-1)),"-",INDEX(Catalogo!$H$4:$H$1502,_xlfn.IFNA(MATCH(B120,Catalogo!$C$4:$C$1502,0),-1))),"")</f>
        <v/>
      </c>
    </row>
    <row r="121" spans="2:4" x14ac:dyDescent="0.25">
      <c r="B121" s="16"/>
      <c r="C121" s="11" t="str">
        <f>IFERROR(INDEX(Catalogo!$E$4:$E$1502,_xlfn.IFNA(MATCH(B121,Catalogo!$C$4:$C$1502,0),-1)),"")</f>
        <v/>
      </c>
      <c r="D121" s="12" t="str">
        <f>IFERROR(_xlfn.CONCAT(INDEX(Catalogo!$G$4:$G$1502,_xlfn.IFNA(MATCH(B121,Catalogo!$C$4:$C$1502,0),-1)),"-",INDEX(Catalogo!$H$4:$H$1502,_xlfn.IFNA(MATCH(B121,Catalogo!$C$4:$C$1502,0),-1))),"")</f>
        <v/>
      </c>
    </row>
    <row r="122" spans="2:4" x14ac:dyDescent="0.25">
      <c r="B122" s="16"/>
      <c r="C122" s="11" t="str">
        <f>IFERROR(INDEX(Catalogo!$E$4:$E$1502,_xlfn.IFNA(MATCH(B122,Catalogo!$C$4:$C$1502,0),-1)),"")</f>
        <v/>
      </c>
      <c r="D122" s="12" t="str">
        <f>IFERROR(_xlfn.CONCAT(INDEX(Catalogo!$G$4:$G$1502,_xlfn.IFNA(MATCH(B122,Catalogo!$C$4:$C$1502,0),-1)),"-",INDEX(Catalogo!$H$4:$H$1502,_xlfn.IFNA(MATCH(B122,Catalogo!$C$4:$C$1502,0),-1))),"")</f>
        <v/>
      </c>
    </row>
    <row r="123" spans="2:4" x14ac:dyDescent="0.25">
      <c r="B123" s="9"/>
      <c r="C123" s="11" t="str">
        <f>IFERROR(INDEX(Catalogo!$E$4:$E$1502,_xlfn.IFNA(MATCH(B123,Catalogo!$C$4:$C$1502,0),-1)),"")</f>
        <v/>
      </c>
      <c r="D123" s="12" t="str">
        <f>IFERROR(_xlfn.CONCAT(INDEX(Catalogo!$G$4:$G$1502,_xlfn.IFNA(MATCH(B123,Catalogo!$C$4:$C$1502,0),-1)),"-",INDEX(Catalogo!$H$4:$H$1502,_xlfn.IFNA(MATCH(B123,Catalogo!$C$4:$C$1502,0),-1))),"")</f>
        <v/>
      </c>
    </row>
    <row r="124" spans="2:4" x14ac:dyDescent="0.25">
      <c r="B124" s="9"/>
      <c r="C124" s="11" t="str">
        <f>IFERROR(INDEX(Catalogo!$E$4:$E$1502,_xlfn.IFNA(MATCH(B124,Catalogo!$C$4:$C$1502,0),-1)),"")</f>
        <v/>
      </c>
      <c r="D124" s="12" t="str">
        <f>IFERROR(_xlfn.CONCAT(INDEX(Catalogo!$G$4:$G$1502,_xlfn.IFNA(MATCH(B124,Catalogo!$C$4:$C$1502,0),-1)),"-",INDEX(Catalogo!$H$4:$H$1502,_xlfn.IFNA(MATCH(B124,Catalogo!$C$4:$C$1502,0),-1))),"")</f>
        <v/>
      </c>
    </row>
    <row r="125" spans="2:4" x14ac:dyDescent="0.25">
      <c r="B125" s="17"/>
      <c r="C125" s="11" t="str">
        <f>IFERROR(INDEX(Catalogo!$E$4:$E$1502,_xlfn.IFNA(MATCH(B125,Catalogo!$C$4:$C$1502,0),-1)),"")</f>
        <v/>
      </c>
      <c r="D125" s="12" t="str">
        <f>IFERROR(_xlfn.CONCAT(INDEX(Catalogo!$G$4:$G$1502,_xlfn.IFNA(MATCH(B125,Catalogo!$C$4:$C$1502,0),-1)),"-",INDEX(Catalogo!$H$4:$H$1502,_xlfn.IFNA(MATCH(B125,Catalogo!$C$4:$C$1502,0),-1))),"")</f>
        <v/>
      </c>
    </row>
    <row r="126" spans="2:4" x14ac:dyDescent="0.25">
      <c r="B126" s="17"/>
      <c r="C126" s="11" t="str">
        <f>IFERROR(INDEX(Catalogo!$E$4:$E$1502,_xlfn.IFNA(MATCH(B126,Catalogo!$C$4:$C$1502,0),-1)),"")</f>
        <v/>
      </c>
      <c r="D126" s="12" t="str">
        <f>IFERROR(_xlfn.CONCAT(INDEX(Catalogo!$G$4:$G$1502,_xlfn.IFNA(MATCH(B126,Catalogo!$C$4:$C$1502,0),-1)),"-",INDEX(Catalogo!$H$4:$H$1502,_xlfn.IFNA(MATCH(B126,Catalogo!$C$4:$C$1502,0),-1))),"")</f>
        <v/>
      </c>
    </row>
    <row r="127" spans="2:4" x14ac:dyDescent="0.25">
      <c r="B127" s="9"/>
      <c r="C127" s="11" t="str">
        <f>IFERROR(INDEX(Catalogo!$E$4:$E$1502,_xlfn.IFNA(MATCH(B127,Catalogo!$C$4:$C$1502,0),-1)),"")</f>
        <v/>
      </c>
      <c r="D127" s="12" t="str">
        <f>IFERROR(_xlfn.CONCAT(INDEX(Catalogo!$G$4:$G$1502,_xlfn.IFNA(MATCH(B127,Catalogo!$C$4:$C$1502,0),-1)),"-",INDEX(Catalogo!$H$4:$H$1502,_xlfn.IFNA(MATCH(B127,Catalogo!$C$4:$C$1502,0),-1))),"")</f>
        <v/>
      </c>
    </row>
    <row r="128" spans="2:4" x14ac:dyDescent="0.25">
      <c r="B128" s="9"/>
      <c r="C128" s="11" t="str">
        <f>IFERROR(INDEX(Catalogo!$E$4:$E$1502,_xlfn.IFNA(MATCH(B128,Catalogo!$C$4:$C$1502,0),-1)),"")</f>
        <v/>
      </c>
      <c r="D128" s="12" t="str">
        <f>IFERROR(_xlfn.CONCAT(INDEX(Catalogo!$G$4:$G$1502,_xlfn.IFNA(MATCH(B128,Catalogo!$C$4:$C$1502,0),-1)),"-",INDEX(Catalogo!$H$4:$H$1502,_xlfn.IFNA(MATCH(B128,Catalogo!$C$4:$C$1502,0),-1))),"")</f>
        <v/>
      </c>
    </row>
    <row r="129" spans="2:4" x14ac:dyDescent="0.25">
      <c r="B129" s="17"/>
      <c r="C129" s="11" t="str">
        <f>IFERROR(INDEX(Catalogo!$E$4:$E$1502,_xlfn.IFNA(MATCH(B129,Catalogo!$C$4:$C$1502,0),-1)),"")</f>
        <v/>
      </c>
      <c r="D129" s="12" t="str">
        <f>IFERROR(_xlfn.CONCAT(INDEX(Catalogo!$G$4:$G$1502,_xlfn.IFNA(MATCH(B129,Catalogo!$C$4:$C$1502,0),-1)),"-",INDEX(Catalogo!$H$4:$H$1502,_xlfn.IFNA(MATCH(B129,Catalogo!$C$4:$C$1502,0),-1))),"")</f>
        <v/>
      </c>
    </row>
    <row r="130" spans="2:4" x14ac:dyDescent="0.25">
      <c r="B130" s="17"/>
      <c r="C130" s="11" t="str">
        <f>IFERROR(INDEX(Catalogo!$E$4:$E$1502,_xlfn.IFNA(MATCH(B130,Catalogo!$C$4:$C$1502,0),-1)),"")</f>
        <v/>
      </c>
      <c r="D130" s="12" t="str">
        <f>IFERROR(_xlfn.CONCAT(INDEX(Catalogo!$G$4:$G$1502,_xlfn.IFNA(MATCH(B130,Catalogo!$C$4:$C$1502,0),-1)),"-",INDEX(Catalogo!$H$4:$H$1502,_xlfn.IFNA(MATCH(B130,Catalogo!$C$4:$C$1502,0),-1))),"")</f>
        <v/>
      </c>
    </row>
    <row r="131" spans="2:4" x14ac:dyDescent="0.25">
      <c r="B131" s="9"/>
      <c r="C131" s="11" t="str">
        <f>IFERROR(INDEX(Catalogo!$E$4:$E$1502,_xlfn.IFNA(MATCH(B131,Catalogo!$C$4:$C$1502,0),-1)),"")</f>
        <v/>
      </c>
      <c r="D131" s="12" t="str">
        <f>IFERROR(_xlfn.CONCAT(INDEX(Catalogo!$G$4:$G$1502,_xlfn.IFNA(MATCH(B131,Catalogo!$C$4:$C$1502,0),-1)),"-",INDEX(Catalogo!$H$4:$H$1502,_xlfn.IFNA(MATCH(B131,Catalogo!$C$4:$C$1502,0),-1))),"")</f>
        <v/>
      </c>
    </row>
    <row r="132" spans="2:4" x14ac:dyDescent="0.25">
      <c r="B132" s="17"/>
      <c r="C132" s="11" t="str">
        <f>IFERROR(INDEX(Catalogo!$E$4:$E$1502,_xlfn.IFNA(MATCH(B132,Catalogo!$C$4:$C$1502,0),-1)),"")</f>
        <v/>
      </c>
      <c r="D132" s="12" t="str">
        <f>IFERROR(_xlfn.CONCAT(INDEX(Catalogo!$G$4:$G$1502,_xlfn.IFNA(MATCH(B132,Catalogo!$C$4:$C$1502,0),-1)),"-",INDEX(Catalogo!$H$4:$H$1502,_xlfn.IFNA(MATCH(B132,Catalogo!$C$4:$C$1502,0),-1))),"")</f>
        <v/>
      </c>
    </row>
    <row r="133" spans="2:4" x14ac:dyDescent="0.25">
      <c r="B133" s="9"/>
      <c r="C133" s="11" t="str">
        <f>IFERROR(INDEX(Catalogo!$E$4:$E$1502,_xlfn.IFNA(MATCH(B133,Catalogo!$C$4:$C$1502,0),-1)),"")</f>
        <v/>
      </c>
      <c r="D133" s="12" t="str">
        <f>IFERROR(_xlfn.CONCAT(INDEX(Catalogo!$G$4:$G$1502,_xlfn.IFNA(MATCH(B133,Catalogo!$C$4:$C$1502,0),-1)),"-",INDEX(Catalogo!$H$4:$H$1502,_xlfn.IFNA(MATCH(B133,Catalogo!$C$4:$C$1502,0),-1))),"")</f>
        <v/>
      </c>
    </row>
    <row r="134" spans="2:4" x14ac:dyDescent="0.25">
      <c r="B134" s="9"/>
      <c r="C134" s="11" t="str">
        <f>IFERROR(INDEX(Catalogo!$E$4:$E$1502,_xlfn.IFNA(MATCH(B134,Catalogo!$C$4:$C$1502,0),-1)),"")</f>
        <v/>
      </c>
      <c r="D134" s="12" t="str">
        <f>IFERROR(_xlfn.CONCAT(INDEX(Catalogo!$G$4:$G$1502,_xlfn.IFNA(MATCH(B134,Catalogo!$C$4:$C$1502,0),-1)),"-",INDEX(Catalogo!$H$4:$H$1502,_xlfn.IFNA(MATCH(B134,Catalogo!$C$4:$C$1502,0),-1))),"")</f>
        <v/>
      </c>
    </row>
    <row r="135" spans="2:4" x14ac:dyDescent="0.25">
      <c r="B135" s="9"/>
      <c r="C135" s="11" t="str">
        <f>IFERROR(INDEX(Catalogo!$E$4:$E$1502,_xlfn.IFNA(MATCH(B135,Catalogo!$C$4:$C$1502,0),-1)),"")</f>
        <v/>
      </c>
      <c r="D135" s="12" t="str">
        <f>IFERROR(_xlfn.CONCAT(INDEX(Catalogo!$G$4:$G$1502,_xlfn.IFNA(MATCH(B135,Catalogo!$C$4:$C$1502,0),-1)),"-",INDEX(Catalogo!$H$4:$H$1502,_xlfn.IFNA(MATCH(B135,Catalogo!$C$4:$C$1502,0),-1))),"")</f>
        <v/>
      </c>
    </row>
    <row r="136" spans="2:4" x14ac:dyDescent="0.25">
      <c r="B136" s="9"/>
      <c r="C136" s="11" t="str">
        <f>IFERROR(INDEX(Catalogo!$E$4:$E$1502,_xlfn.IFNA(MATCH(B136,Catalogo!$C$4:$C$1502,0),-1)),"")</f>
        <v/>
      </c>
      <c r="D136" s="12" t="str">
        <f>IFERROR(_xlfn.CONCAT(INDEX(Catalogo!$G$4:$G$1502,_xlfn.IFNA(MATCH(B136,Catalogo!$C$4:$C$1502,0),-1)),"-",INDEX(Catalogo!$H$4:$H$1502,_xlfn.IFNA(MATCH(B136,Catalogo!$C$4:$C$1502,0),-1))),"")</f>
        <v/>
      </c>
    </row>
    <row r="137" spans="2:4" x14ac:dyDescent="0.25">
      <c r="B137" s="9"/>
      <c r="C137" s="11" t="str">
        <f>IFERROR(INDEX(Catalogo!$E$4:$E$1502,_xlfn.IFNA(MATCH(B137,Catalogo!$C$4:$C$1502,0),-1)),"")</f>
        <v/>
      </c>
      <c r="D137" s="12" t="str">
        <f>IFERROR(_xlfn.CONCAT(INDEX(Catalogo!$G$4:$G$1502,_xlfn.IFNA(MATCH(B137,Catalogo!$C$4:$C$1502,0),-1)),"-",INDEX(Catalogo!$H$4:$H$1502,_xlfn.IFNA(MATCH(B137,Catalogo!$C$4:$C$1502,0),-1))),"")</f>
        <v/>
      </c>
    </row>
    <row r="138" spans="2:4" x14ac:dyDescent="0.25">
      <c r="B138" s="17"/>
      <c r="C138" s="11" t="str">
        <f>IFERROR(INDEX(Catalogo!$E$4:$E$1502,_xlfn.IFNA(MATCH(B138,Catalogo!$C$4:$C$1502,0),-1)),"")</f>
        <v/>
      </c>
      <c r="D138" s="12" t="str">
        <f>IFERROR(_xlfn.CONCAT(INDEX(Catalogo!$G$4:$G$1502,_xlfn.IFNA(MATCH(B138,Catalogo!$C$4:$C$1502,0),-1)),"-",INDEX(Catalogo!$H$4:$H$1502,_xlfn.IFNA(MATCH(B138,Catalogo!$C$4:$C$1502,0),-1))),"")</f>
        <v/>
      </c>
    </row>
    <row r="139" spans="2:4" x14ac:dyDescent="0.25">
      <c r="B139" s="17"/>
      <c r="C139" s="11" t="str">
        <f>IFERROR(INDEX(Catalogo!$E$4:$E$1502,_xlfn.IFNA(MATCH(B139,Catalogo!$C$4:$C$1502,0),-1)),"")</f>
        <v/>
      </c>
      <c r="D139" s="12" t="str">
        <f>IFERROR(_xlfn.CONCAT(INDEX(Catalogo!$G$4:$G$1502,_xlfn.IFNA(MATCH(B139,Catalogo!$C$4:$C$1502,0),-1)),"-",INDEX(Catalogo!$H$4:$H$1502,_xlfn.IFNA(MATCH(B139,Catalogo!$C$4:$C$1502,0),-1))),"")</f>
        <v/>
      </c>
    </row>
    <row r="140" spans="2:4" x14ac:dyDescent="0.25">
      <c r="B140" s="9"/>
      <c r="C140" s="11" t="str">
        <f>IFERROR(INDEX(Catalogo!$E$4:$E$1502,_xlfn.IFNA(MATCH(B140,Catalogo!$C$4:$C$1502,0),-1)),"")</f>
        <v/>
      </c>
      <c r="D140" s="12" t="str">
        <f>IFERROR(_xlfn.CONCAT(INDEX(Catalogo!$G$4:$G$1502,_xlfn.IFNA(MATCH(B140,Catalogo!$C$4:$C$1502,0),-1)),"-",INDEX(Catalogo!$H$4:$H$1502,_xlfn.IFNA(MATCH(B140,Catalogo!$C$4:$C$1502,0),-1))),"")</f>
        <v/>
      </c>
    </row>
    <row r="141" spans="2:4" x14ac:dyDescent="0.25">
      <c r="B141" s="9"/>
      <c r="C141" s="11" t="str">
        <f>IFERROR(INDEX(Catalogo!$E$4:$E$1502,_xlfn.IFNA(MATCH(B141,Catalogo!$C$4:$C$1502,0),-1)),"")</f>
        <v/>
      </c>
      <c r="D141" s="12" t="str">
        <f>IFERROR(_xlfn.CONCAT(INDEX(Catalogo!$G$4:$G$1502,_xlfn.IFNA(MATCH(B141,Catalogo!$C$4:$C$1502,0),-1)),"-",INDEX(Catalogo!$H$4:$H$1502,_xlfn.IFNA(MATCH(B141,Catalogo!$C$4:$C$1502,0),-1))),"")</f>
        <v/>
      </c>
    </row>
    <row r="142" spans="2:4" x14ac:dyDescent="0.25">
      <c r="B142" s="9"/>
      <c r="C142" s="11" t="str">
        <f>IFERROR(INDEX(Catalogo!$E$4:$E$1502,_xlfn.IFNA(MATCH(B142,Catalogo!$C$4:$C$1502,0),-1)),"")</f>
        <v/>
      </c>
      <c r="D142" s="12" t="str">
        <f>IFERROR(_xlfn.CONCAT(INDEX(Catalogo!$G$4:$G$1502,_xlfn.IFNA(MATCH(B142,Catalogo!$C$4:$C$1502,0),-1)),"-",INDEX(Catalogo!$H$4:$H$1502,_xlfn.IFNA(MATCH(B142,Catalogo!$C$4:$C$1502,0),-1))),"")</f>
        <v/>
      </c>
    </row>
    <row r="143" spans="2:4" x14ac:dyDescent="0.25">
      <c r="B143" s="17"/>
      <c r="C143" s="11" t="str">
        <f>IFERROR(INDEX(Catalogo!$E$4:$E$1502,_xlfn.IFNA(MATCH(B143,Catalogo!$C$4:$C$1502,0),-1)),"")</f>
        <v/>
      </c>
      <c r="D143" s="12" t="str">
        <f>IFERROR(_xlfn.CONCAT(INDEX(Catalogo!$G$4:$G$1502,_xlfn.IFNA(MATCH(B143,Catalogo!$C$4:$C$1502,0),-1)),"-",INDEX(Catalogo!$H$4:$H$1502,_xlfn.IFNA(MATCH(B143,Catalogo!$C$4:$C$1502,0),-1))),"")</f>
        <v/>
      </c>
    </row>
    <row r="144" spans="2:4" x14ac:dyDescent="0.25">
      <c r="B144" s="17"/>
      <c r="C144" s="11" t="str">
        <f>IFERROR(INDEX(Catalogo!$E$4:$E$1502,_xlfn.IFNA(MATCH(B144,Catalogo!$C$4:$C$1502,0),-1)),"")</f>
        <v/>
      </c>
      <c r="D144" s="12" t="str">
        <f>IFERROR(_xlfn.CONCAT(INDEX(Catalogo!$G$4:$G$1502,_xlfn.IFNA(MATCH(B144,Catalogo!$C$4:$C$1502,0),-1)),"-",INDEX(Catalogo!$H$4:$H$1502,_xlfn.IFNA(MATCH(B144,Catalogo!$C$4:$C$1502,0),-1))),"")</f>
        <v/>
      </c>
    </row>
    <row r="145" spans="2:4" x14ac:dyDescent="0.25">
      <c r="B145" s="9"/>
      <c r="C145" s="11" t="str">
        <f>IFERROR(INDEX(Catalogo!$E$4:$E$1502,_xlfn.IFNA(MATCH(B145,Catalogo!$C$4:$C$1502,0),-1)),"")</f>
        <v/>
      </c>
      <c r="D145" s="12" t="str">
        <f>IFERROR(_xlfn.CONCAT(INDEX(Catalogo!$G$4:$G$1502,_xlfn.IFNA(MATCH(B145,Catalogo!$C$4:$C$1502,0),-1)),"-",INDEX(Catalogo!$H$4:$H$1502,_xlfn.IFNA(MATCH(B145,Catalogo!$C$4:$C$1502,0),-1))),"")</f>
        <v/>
      </c>
    </row>
    <row r="146" spans="2:4" x14ac:dyDescent="0.25">
      <c r="B146" s="9"/>
      <c r="C146" s="11" t="str">
        <f>IFERROR(INDEX(Catalogo!$E$4:$E$1502,_xlfn.IFNA(MATCH(B146,Catalogo!$C$4:$C$1502,0),-1)),"")</f>
        <v/>
      </c>
      <c r="D146" s="12" t="str">
        <f>IFERROR(_xlfn.CONCAT(INDEX(Catalogo!$G$4:$G$1502,_xlfn.IFNA(MATCH(B146,Catalogo!$C$4:$C$1502,0),-1)),"-",INDEX(Catalogo!$H$4:$H$1502,_xlfn.IFNA(MATCH(B146,Catalogo!$C$4:$C$1502,0),-1))),"")</f>
        <v/>
      </c>
    </row>
    <row r="147" spans="2:4" x14ac:dyDescent="0.25">
      <c r="B147" s="9"/>
      <c r="C147" s="11" t="str">
        <f>IFERROR(INDEX(Catalogo!$E$4:$E$1502,_xlfn.IFNA(MATCH(B147,Catalogo!$C$4:$C$1502,0),-1)),"")</f>
        <v/>
      </c>
      <c r="D147" s="12" t="str">
        <f>IFERROR(_xlfn.CONCAT(INDEX(Catalogo!$G$4:$G$1502,_xlfn.IFNA(MATCH(B147,Catalogo!$C$4:$C$1502,0),-1)),"-",INDEX(Catalogo!$H$4:$H$1502,_xlfn.IFNA(MATCH(B147,Catalogo!$C$4:$C$1502,0),-1))),"")</f>
        <v/>
      </c>
    </row>
    <row r="148" spans="2:4" x14ac:dyDescent="0.25">
      <c r="B148" s="8"/>
      <c r="C148" s="11" t="str">
        <f>IFERROR(INDEX(Catalogo!$E$4:$E$1502,_xlfn.IFNA(MATCH(B148,Catalogo!$C$4:$C$1502,0),-1)),"")</f>
        <v/>
      </c>
      <c r="D148" s="12" t="str">
        <f>IFERROR(_xlfn.CONCAT(INDEX(Catalogo!$G$4:$G$1502,_xlfn.IFNA(MATCH(B148,Catalogo!$C$4:$C$1502,0),-1)),"-",INDEX(Catalogo!$H$4:$H$1502,_xlfn.IFNA(MATCH(B148,Catalogo!$C$4:$C$1502,0),-1))),"")</f>
        <v/>
      </c>
    </row>
    <row r="149" spans="2:4" x14ac:dyDescent="0.25">
      <c r="B149" s="9"/>
      <c r="C149" s="11" t="str">
        <f>IFERROR(INDEX(Catalogo!$E$4:$E$1502,_xlfn.IFNA(MATCH(B149,Catalogo!$C$4:$C$1502,0),-1)),"")</f>
        <v/>
      </c>
      <c r="D149" s="12" t="str">
        <f>IFERROR(_xlfn.CONCAT(INDEX(Catalogo!$G$4:$G$1502,_xlfn.IFNA(MATCH(B149,Catalogo!$C$4:$C$1502,0),-1)),"-",INDEX(Catalogo!$H$4:$H$1502,_xlfn.IFNA(MATCH(B149,Catalogo!$C$4:$C$1502,0),-1))),"")</f>
        <v/>
      </c>
    </row>
    <row r="150" spans="2:4" x14ac:dyDescent="0.25">
      <c r="B150" s="17"/>
      <c r="C150" s="11" t="str">
        <f>IFERROR(INDEX(Catalogo!$E$4:$E$1502,_xlfn.IFNA(MATCH(B150,Catalogo!$C$4:$C$1502,0),-1)),"")</f>
        <v/>
      </c>
      <c r="D150" s="12" t="str">
        <f>IFERROR(_xlfn.CONCAT(INDEX(Catalogo!$G$4:$G$1502,_xlfn.IFNA(MATCH(B150,Catalogo!$C$4:$C$1502,0),-1)),"-",INDEX(Catalogo!$H$4:$H$1502,_xlfn.IFNA(MATCH(B150,Catalogo!$C$4:$C$1502,0),-1))),"")</f>
        <v/>
      </c>
    </row>
    <row r="151" spans="2:4" x14ac:dyDescent="0.25">
      <c r="B151" s="18"/>
      <c r="C151" s="11" t="str">
        <f>IFERROR(INDEX(Catalogo!$E$4:$E$1502,_xlfn.IFNA(MATCH(B151,Catalogo!$C$4:$C$1502,0),-1)),"")</f>
        <v/>
      </c>
      <c r="D151" s="12" t="str">
        <f>IFERROR(_xlfn.CONCAT(INDEX(Catalogo!$G$4:$G$1502,_xlfn.IFNA(MATCH(B151,Catalogo!$C$4:$C$1502,0),-1)),"-",INDEX(Catalogo!$H$4:$H$1502,_xlfn.IFNA(MATCH(B151,Catalogo!$C$4:$C$1502,0),-1))),"")</f>
        <v/>
      </c>
    </row>
    <row r="152" spans="2:4" x14ac:dyDescent="0.25">
      <c r="B152" s="17"/>
      <c r="C152" s="11" t="str">
        <f>IFERROR(INDEX(Catalogo!$E$4:$E$1502,_xlfn.IFNA(MATCH(B152,Catalogo!$C$4:$C$1502,0),-1)),"")</f>
        <v/>
      </c>
      <c r="D152" s="12" t="str">
        <f>IFERROR(_xlfn.CONCAT(INDEX(Catalogo!$G$4:$G$1502,_xlfn.IFNA(MATCH(B152,Catalogo!$C$4:$C$1502,0),-1)),"-",INDEX(Catalogo!$H$4:$H$1502,_xlfn.IFNA(MATCH(B152,Catalogo!$C$4:$C$1502,0),-1))),"")</f>
        <v/>
      </c>
    </row>
    <row r="153" spans="2:4" x14ac:dyDescent="0.25">
      <c r="B153" s="9"/>
      <c r="C153" s="11" t="str">
        <f>IFERROR(INDEX(Catalogo!$E$4:$E$1502,_xlfn.IFNA(MATCH(B153,Catalogo!$C$4:$C$1502,0),-1)),"")</f>
        <v/>
      </c>
      <c r="D153" s="12" t="str">
        <f>IFERROR(_xlfn.CONCAT(INDEX(Catalogo!$G$4:$G$1502,_xlfn.IFNA(MATCH(B153,Catalogo!$C$4:$C$1502,0),-1)),"-",INDEX(Catalogo!$H$4:$H$1502,_xlfn.IFNA(MATCH(B153,Catalogo!$C$4:$C$1502,0),-1))),"")</f>
        <v/>
      </c>
    </row>
    <row r="154" spans="2:4" x14ac:dyDescent="0.25">
      <c r="B154" s="9"/>
      <c r="C154" s="11" t="str">
        <f>IFERROR(INDEX(Catalogo!$E$4:$E$1502,_xlfn.IFNA(MATCH(B154,Catalogo!$C$4:$C$1502,0),-1)),"")</f>
        <v/>
      </c>
      <c r="D154" s="12" t="str">
        <f>IFERROR(_xlfn.CONCAT(INDEX(Catalogo!$G$4:$G$1502,_xlfn.IFNA(MATCH(B154,Catalogo!$C$4:$C$1502,0),-1)),"-",INDEX(Catalogo!$H$4:$H$1502,_xlfn.IFNA(MATCH(B154,Catalogo!$C$4:$C$1502,0),-1))),"")</f>
        <v/>
      </c>
    </row>
    <row r="155" spans="2:4" x14ac:dyDescent="0.25">
      <c r="B155" s="18"/>
      <c r="C155" s="11" t="str">
        <f>IFERROR(INDEX(Catalogo!$E$4:$E$1502,_xlfn.IFNA(MATCH(B155,Catalogo!$C$4:$C$1502,0),-1)),"")</f>
        <v/>
      </c>
      <c r="D155" s="12" t="str">
        <f>IFERROR(_xlfn.CONCAT(INDEX(Catalogo!$G$4:$G$1502,_xlfn.IFNA(MATCH(B155,Catalogo!$C$4:$C$1502,0),-1)),"-",INDEX(Catalogo!$H$4:$H$1502,_xlfn.IFNA(MATCH(B155,Catalogo!$C$4:$C$1502,0),-1))),"")</f>
        <v/>
      </c>
    </row>
    <row r="156" spans="2:4" x14ac:dyDescent="0.25">
      <c r="B156" s="17"/>
      <c r="C156" s="11" t="str">
        <f>IFERROR(INDEX(Catalogo!$E$4:$E$1502,_xlfn.IFNA(MATCH(B156,Catalogo!$C$4:$C$1502,0),-1)),"")</f>
        <v/>
      </c>
      <c r="D156" s="12" t="str">
        <f>IFERROR(_xlfn.CONCAT(INDEX(Catalogo!$G$4:$G$1502,_xlfn.IFNA(MATCH(B156,Catalogo!$C$4:$C$1502,0),-1)),"-",INDEX(Catalogo!$H$4:$H$1502,_xlfn.IFNA(MATCH(B156,Catalogo!$C$4:$C$1502,0),-1))),"")</f>
        <v/>
      </c>
    </row>
    <row r="157" spans="2:4" x14ac:dyDescent="0.25">
      <c r="B157" s="9"/>
      <c r="C157" s="11" t="str">
        <f>IFERROR(INDEX(Catalogo!$E$4:$E$1502,_xlfn.IFNA(MATCH(B157,Catalogo!$C$4:$C$1502,0),-1)),"")</f>
        <v/>
      </c>
      <c r="D157" s="12" t="str">
        <f>IFERROR(_xlfn.CONCAT(INDEX(Catalogo!$G$4:$G$1502,_xlfn.IFNA(MATCH(B157,Catalogo!$C$4:$C$1502,0),-1)),"-",INDEX(Catalogo!$H$4:$H$1502,_xlfn.IFNA(MATCH(B157,Catalogo!$C$4:$C$1502,0),-1))),"")</f>
        <v/>
      </c>
    </row>
    <row r="158" spans="2:4" x14ac:dyDescent="0.25">
      <c r="B158" s="18"/>
      <c r="C158" s="11" t="str">
        <f>IFERROR(INDEX(Catalogo!$E$4:$E$1502,_xlfn.IFNA(MATCH(B158,Catalogo!$C$4:$C$1502,0),-1)),"")</f>
        <v/>
      </c>
      <c r="D158" s="12" t="str">
        <f>IFERROR(_xlfn.CONCAT(INDEX(Catalogo!$G$4:$G$1502,_xlfn.IFNA(MATCH(B158,Catalogo!$C$4:$C$1502,0),-1)),"-",INDEX(Catalogo!$H$4:$H$1502,_xlfn.IFNA(MATCH(B158,Catalogo!$C$4:$C$1502,0),-1))),"")</f>
        <v/>
      </c>
    </row>
    <row r="159" spans="2:4" x14ac:dyDescent="0.25">
      <c r="B159" s="17"/>
      <c r="C159" s="11" t="str">
        <f>IFERROR(INDEX(Catalogo!$E$4:$E$1502,_xlfn.IFNA(MATCH(B159,Catalogo!$C$4:$C$1502,0),-1)),"")</f>
        <v/>
      </c>
      <c r="D159" s="12" t="str">
        <f>IFERROR(_xlfn.CONCAT(INDEX(Catalogo!$G$4:$G$1502,_xlfn.IFNA(MATCH(B159,Catalogo!$C$4:$C$1502,0),-1)),"-",INDEX(Catalogo!$H$4:$H$1502,_xlfn.IFNA(MATCH(B159,Catalogo!$C$4:$C$1502,0),-1))),"")</f>
        <v/>
      </c>
    </row>
    <row r="160" spans="2:4" x14ac:dyDescent="0.25">
      <c r="B160" s="9"/>
      <c r="C160" s="11" t="str">
        <f>IFERROR(INDEX(Catalogo!$E$4:$E$1502,_xlfn.IFNA(MATCH(B160,Catalogo!$C$4:$C$1502,0),-1)),"")</f>
        <v/>
      </c>
      <c r="D160" s="12" t="str">
        <f>IFERROR(_xlfn.CONCAT(INDEX(Catalogo!$G$4:$G$1502,_xlfn.IFNA(MATCH(B160,Catalogo!$C$4:$C$1502,0),-1)),"-",INDEX(Catalogo!$H$4:$H$1502,_xlfn.IFNA(MATCH(B160,Catalogo!$C$4:$C$1502,0),-1))),"")</f>
        <v/>
      </c>
    </row>
    <row r="161" spans="2:4" x14ac:dyDescent="0.25">
      <c r="B161" s="9"/>
      <c r="C161" s="11" t="str">
        <f>IFERROR(INDEX(Catalogo!$E$4:$E$1502,_xlfn.IFNA(MATCH(B161,Catalogo!$C$4:$C$1502,0),-1)),"")</f>
        <v/>
      </c>
      <c r="D161" s="12" t="str">
        <f>IFERROR(_xlfn.CONCAT(INDEX(Catalogo!$G$4:$G$1502,_xlfn.IFNA(MATCH(B161,Catalogo!$C$4:$C$1502,0),-1)),"-",INDEX(Catalogo!$H$4:$H$1502,_xlfn.IFNA(MATCH(B161,Catalogo!$C$4:$C$1502,0),-1))),"")</f>
        <v/>
      </c>
    </row>
    <row r="162" spans="2:4" x14ac:dyDescent="0.25">
      <c r="B162" s="9"/>
      <c r="C162" s="11" t="str">
        <f>IFERROR(INDEX(Catalogo!$E$4:$E$1502,_xlfn.IFNA(MATCH(B162,Catalogo!$C$4:$C$1502,0),-1)),"")</f>
        <v/>
      </c>
      <c r="D162" s="12" t="str">
        <f>IFERROR(_xlfn.CONCAT(INDEX(Catalogo!$G$4:$G$1502,_xlfn.IFNA(MATCH(B162,Catalogo!$C$4:$C$1502,0),-1)),"-",INDEX(Catalogo!$H$4:$H$1502,_xlfn.IFNA(MATCH(B162,Catalogo!$C$4:$C$1502,0),-1))),"")</f>
        <v/>
      </c>
    </row>
    <row r="163" spans="2:4" x14ac:dyDescent="0.25">
      <c r="B163" s="8"/>
      <c r="C163" s="11" t="str">
        <f>IFERROR(INDEX(Catalogo!$E$4:$E$1502,_xlfn.IFNA(MATCH(B163,Catalogo!$C$4:$C$1502,0),-1)),"")</f>
        <v/>
      </c>
      <c r="D163" s="12" t="str">
        <f>IFERROR(_xlfn.CONCAT(INDEX(Catalogo!$G$4:$G$1502,_xlfn.IFNA(MATCH(B163,Catalogo!$C$4:$C$1502,0),-1)),"-",INDEX(Catalogo!$H$4:$H$1502,_xlfn.IFNA(MATCH(B163,Catalogo!$C$4:$C$1502,0),-1))),"")</f>
        <v/>
      </c>
    </row>
    <row r="164" spans="2:4" x14ac:dyDescent="0.25">
      <c r="B164" s="9"/>
      <c r="C164" s="11" t="str">
        <f>IFERROR(INDEX(Catalogo!$E$4:$E$1502,_xlfn.IFNA(MATCH(B164,Catalogo!$C$4:$C$1502,0),-1)),"")</f>
        <v/>
      </c>
      <c r="D164" s="12" t="str">
        <f>IFERROR(_xlfn.CONCAT(INDEX(Catalogo!$G$4:$G$1502,_xlfn.IFNA(MATCH(B164,Catalogo!$C$4:$C$1502,0),-1)),"-",INDEX(Catalogo!$H$4:$H$1502,_xlfn.IFNA(MATCH(B164,Catalogo!$C$4:$C$1502,0),-1))),"")</f>
        <v/>
      </c>
    </row>
    <row r="165" spans="2:4" x14ac:dyDescent="0.25">
      <c r="B165" s="9"/>
      <c r="C165" s="11" t="str">
        <f>IFERROR(INDEX(Catalogo!$E$4:$E$1502,_xlfn.IFNA(MATCH(B165,Catalogo!$C$4:$C$1502,0),-1)),"")</f>
        <v/>
      </c>
      <c r="D165" s="12" t="str">
        <f>IFERROR(_xlfn.CONCAT(INDEX(Catalogo!$G$4:$G$1502,_xlfn.IFNA(MATCH(B165,Catalogo!$C$4:$C$1502,0),-1)),"-",INDEX(Catalogo!$H$4:$H$1502,_xlfn.IFNA(MATCH(B165,Catalogo!$C$4:$C$1502,0),-1))),"")</f>
        <v/>
      </c>
    </row>
    <row r="166" spans="2:4" x14ac:dyDescent="0.25">
      <c r="B166" s="9"/>
      <c r="C166" s="11" t="str">
        <f>IFERROR(INDEX(Catalogo!$E$4:$E$1502,_xlfn.IFNA(MATCH(B166,Catalogo!$C$4:$C$1502,0),-1)),"")</f>
        <v/>
      </c>
      <c r="D166" s="12" t="str">
        <f>IFERROR(_xlfn.CONCAT(INDEX(Catalogo!$G$4:$G$1502,_xlfn.IFNA(MATCH(B166,Catalogo!$C$4:$C$1502,0),-1)),"-",INDEX(Catalogo!$H$4:$H$1502,_xlfn.IFNA(MATCH(B166,Catalogo!$C$4:$C$1502,0),-1))),"")</f>
        <v/>
      </c>
    </row>
    <row r="167" spans="2:4" x14ac:dyDescent="0.25">
      <c r="B167" s="17"/>
      <c r="C167" s="11" t="str">
        <f>IFERROR(INDEX(Catalogo!$E$4:$E$1502,_xlfn.IFNA(MATCH(B167,Catalogo!$C$4:$C$1502,0),-1)),"")</f>
        <v/>
      </c>
      <c r="D167" s="12" t="str">
        <f>IFERROR(_xlfn.CONCAT(INDEX(Catalogo!$G$4:$G$1502,_xlfn.IFNA(MATCH(B167,Catalogo!$C$4:$C$1502,0),-1)),"-",INDEX(Catalogo!$H$4:$H$1502,_xlfn.IFNA(MATCH(B167,Catalogo!$C$4:$C$1502,0),-1))),"")</f>
        <v/>
      </c>
    </row>
    <row r="168" spans="2:4" x14ac:dyDescent="0.25">
      <c r="B168" s="9"/>
      <c r="C168" s="11" t="str">
        <f>IFERROR(INDEX(Catalogo!$E$4:$E$1502,_xlfn.IFNA(MATCH(B168,Catalogo!$C$4:$C$1502,0),-1)),"")</f>
        <v/>
      </c>
      <c r="D168" s="12" t="str">
        <f>IFERROR(_xlfn.CONCAT(INDEX(Catalogo!$G$4:$G$1502,_xlfn.IFNA(MATCH(B168,Catalogo!$C$4:$C$1502,0),-1)),"-",INDEX(Catalogo!$H$4:$H$1502,_xlfn.IFNA(MATCH(B168,Catalogo!$C$4:$C$1502,0),-1))),"")</f>
        <v/>
      </c>
    </row>
    <row r="169" spans="2:4" x14ac:dyDescent="0.25">
      <c r="B169" s="9"/>
      <c r="C169" s="11" t="str">
        <f>IFERROR(INDEX(Catalogo!$E$4:$E$1502,_xlfn.IFNA(MATCH(B169,Catalogo!$C$4:$C$1502,0),-1)),"")</f>
        <v/>
      </c>
      <c r="D169" s="12" t="str">
        <f>IFERROR(_xlfn.CONCAT(INDEX(Catalogo!$G$4:$G$1502,_xlfn.IFNA(MATCH(B169,Catalogo!$C$4:$C$1502,0),-1)),"-",INDEX(Catalogo!$H$4:$H$1502,_xlfn.IFNA(MATCH(B169,Catalogo!$C$4:$C$1502,0),-1))),"")</f>
        <v/>
      </c>
    </row>
    <row r="170" spans="2:4" x14ac:dyDescent="0.25">
      <c r="B170" s="9"/>
      <c r="C170" s="11" t="str">
        <f>IFERROR(INDEX(Catalogo!$E$4:$E$1502,_xlfn.IFNA(MATCH(B170,Catalogo!$C$4:$C$1502,0),-1)),"")</f>
        <v/>
      </c>
      <c r="D170" s="12" t="str">
        <f>IFERROR(_xlfn.CONCAT(INDEX(Catalogo!$G$4:$G$1502,_xlfn.IFNA(MATCH(B170,Catalogo!$C$4:$C$1502,0),-1)),"-",INDEX(Catalogo!$H$4:$H$1502,_xlfn.IFNA(MATCH(B170,Catalogo!$C$4:$C$1502,0),-1))),"")</f>
        <v/>
      </c>
    </row>
    <row r="171" spans="2:4" x14ac:dyDescent="0.25">
      <c r="B171" s="9"/>
      <c r="C171" s="11" t="str">
        <f>IFERROR(INDEX(Catalogo!$E$4:$E$1502,_xlfn.IFNA(MATCH(B171,Catalogo!$C$4:$C$1502,0),-1)),"")</f>
        <v/>
      </c>
      <c r="D171" s="12" t="str">
        <f>IFERROR(_xlfn.CONCAT(INDEX(Catalogo!$G$4:$G$1502,_xlfn.IFNA(MATCH(B171,Catalogo!$C$4:$C$1502,0),-1)),"-",INDEX(Catalogo!$H$4:$H$1502,_xlfn.IFNA(MATCH(B171,Catalogo!$C$4:$C$1502,0),-1))),"")</f>
        <v/>
      </c>
    </row>
    <row r="172" spans="2:4" x14ac:dyDescent="0.25">
      <c r="B172" s="9"/>
      <c r="C172" s="11" t="str">
        <f>IFERROR(INDEX(Catalogo!$E$4:$E$1502,_xlfn.IFNA(MATCH(B172,Catalogo!$C$4:$C$1502,0),-1)),"")</f>
        <v/>
      </c>
      <c r="D172" s="12" t="str">
        <f>IFERROR(_xlfn.CONCAT(INDEX(Catalogo!$G$4:$G$1502,_xlfn.IFNA(MATCH(B172,Catalogo!$C$4:$C$1502,0),-1)),"-",INDEX(Catalogo!$H$4:$H$1502,_xlfn.IFNA(MATCH(B172,Catalogo!$C$4:$C$1502,0),-1))),"")</f>
        <v/>
      </c>
    </row>
    <row r="173" spans="2:4" x14ac:dyDescent="0.25">
      <c r="B173" s="18"/>
      <c r="C173" s="11" t="str">
        <f>IFERROR(INDEX(Catalogo!$E$4:$E$1502,_xlfn.IFNA(MATCH(B173,Catalogo!$C$4:$C$1502,0),-1)),"")</f>
        <v/>
      </c>
      <c r="D173" s="12" t="str">
        <f>IFERROR(_xlfn.CONCAT(INDEX(Catalogo!$G$4:$G$1502,_xlfn.IFNA(MATCH(B173,Catalogo!$C$4:$C$1502,0),-1)),"-",INDEX(Catalogo!$H$4:$H$1502,_xlfn.IFNA(MATCH(B173,Catalogo!$C$4:$C$1502,0),-1))),"")</f>
        <v/>
      </c>
    </row>
    <row r="174" spans="2:4" x14ac:dyDescent="0.25">
      <c r="B174" s="9"/>
      <c r="C174" s="11" t="str">
        <f>IFERROR(INDEX(Catalogo!$E$4:$E$1502,_xlfn.IFNA(MATCH(B174,Catalogo!$C$4:$C$1502,0),-1)),"")</f>
        <v/>
      </c>
      <c r="D174" s="12" t="str">
        <f>IFERROR(_xlfn.CONCAT(INDEX(Catalogo!$G$4:$G$1502,_xlfn.IFNA(MATCH(B174,Catalogo!$C$4:$C$1502,0),-1)),"-",INDEX(Catalogo!$H$4:$H$1502,_xlfn.IFNA(MATCH(B174,Catalogo!$C$4:$C$1502,0),-1))),"")</f>
        <v/>
      </c>
    </row>
    <row r="175" spans="2:4" x14ac:dyDescent="0.25">
      <c r="B175" s="9"/>
      <c r="C175" s="11" t="str">
        <f>IFERROR(INDEX(Catalogo!$E$4:$E$1502,_xlfn.IFNA(MATCH(B175,Catalogo!$C$4:$C$1502,0),-1)),"")</f>
        <v/>
      </c>
      <c r="D175" s="12" t="str">
        <f>IFERROR(_xlfn.CONCAT(INDEX(Catalogo!$G$4:$G$1502,_xlfn.IFNA(MATCH(B175,Catalogo!$C$4:$C$1502,0),-1)),"-",INDEX(Catalogo!$H$4:$H$1502,_xlfn.IFNA(MATCH(B175,Catalogo!$C$4:$C$1502,0),-1))),"")</f>
        <v/>
      </c>
    </row>
    <row r="176" spans="2:4" x14ac:dyDescent="0.25">
      <c r="B176" s="9"/>
      <c r="C176" s="11" t="str">
        <f>IFERROR(INDEX(Catalogo!$E$4:$E$1502,_xlfn.IFNA(MATCH(B176,Catalogo!$C$4:$C$1502,0),-1)),"")</f>
        <v/>
      </c>
      <c r="D176" s="12" t="str">
        <f>IFERROR(_xlfn.CONCAT(INDEX(Catalogo!$G$4:$G$1502,_xlfn.IFNA(MATCH(B176,Catalogo!$C$4:$C$1502,0),-1)),"-",INDEX(Catalogo!$H$4:$H$1502,_xlfn.IFNA(MATCH(B176,Catalogo!$C$4:$C$1502,0),-1))),"")</f>
        <v/>
      </c>
    </row>
    <row r="177" spans="2:4" x14ac:dyDescent="0.25">
      <c r="B177" s="9"/>
      <c r="C177" s="11" t="str">
        <f>IFERROR(INDEX(Catalogo!$E$4:$E$1502,_xlfn.IFNA(MATCH(B177,Catalogo!$C$4:$C$1502,0),-1)),"")</f>
        <v/>
      </c>
      <c r="D177" s="12" t="str">
        <f>IFERROR(_xlfn.CONCAT(INDEX(Catalogo!$G$4:$G$1502,_xlfn.IFNA(MATCH(B177,Catalogo!$C$4:$C$1502,0),-1)),"-",INDEX(Catalogo!$H$4:$H$1502,_xlfn.IFNA(MATCH(B177,Catalogo!$C$4:$C$1502,0),-1))),"")</f>
        <v/>
      </c>
    </row>
    <row r="178" spans="2:4" x14ac:dyDescent="0.25">
      <c r="B178" s="9"/>
      <c r="C178" s="11" t="str">
        <f>IFERROR(INDEX(Catalogo!$E$4:$E$1502,_xlfn.IFNA(MATCH(B178,Catalogo!$C$4:$C$1502,0),-1)),"")</f>
        <v/>
      </c>
      <c r="D178" s="12" t="str">
        <f>IFERROR(_xlfn.CONCAT(INDEX(Catalogo!$G$4:$G$1502,_xlfn.IFNA(MATCH(B178,Catalogo!$C$4:$C$1502,0),-1)),"-",INDEX(Catalogo!$H$4:$H$1502,_xlfn.IFNA(MATCH(B178,Catalogo!$C$4:$C$1502,0),-1))),"")</f>
        <v/>
      </c>
    </row>
    <row r="179" spans="2:4" x14ac:dyDescent="0.25">
      <c r="B179" s="9"/>
      <c r="C179" s="11" t="str">
        <f>IFERROR(INDEX(Catalogo!$E$4:$E$1502,_xlfn.IFNA(MATCH(B179,Catalogo!$C$4:$C$1502,0),-1)),"")</f>
        <v/>
      </c>
      <c r="D179" s="12" t="str">
        <f>IFERROR(_xlfn.CONCAT(INDEX(Catalogo!$G$4:$G$1502,_xlfn.IFNA(MATCH(B179,Catalogo!$C$4:$C$1502,0),-1)),"-",INDEX(Catalogo!$H$4:$H$1502,_xlfn.IFNA(MATCH(B179,Catalogo!$C$4:$C$1502,0),-1))),"")</f>
        <v/>
      </c>
    </row>
    <row r="180" spans="2:4" x14ac:dyDescent="0.25">
      <c r="B180" s="9"/>
      <c r="C180" s="11" t="str">
        <f>IFERROR(INDEX(Catalogo!$E$4:$E$1502,_xlfn.IFNA(MATCH(B180,Catalogo!$C$4:$C$1502,0),-1)),"")</f>
        <v/>
      </c>
      <c r="D180" s="12" t="str">
        <f>IFERROR(_xlfn.CONCAT(INDEX(Catalogo!$G$4:$G$1502,_xlfn.IFNA(MATCH(B180,Catalogo!$C$4:$C$1502,0),-1)),"-",INDEX(Catalogo!$H$4:$H$1502,_xlfn.IFNA(MATCH(B180,Catalogo!$C$4:$C$1502,0),-1))),"")</f>
        <v/>
      </c>
    </row>
    <row r="181" spans="2:4" x14ac:dyDescent="0.25">
      <c r="B181" s="9"/>
      <c r="C181" s="11" t="str">
        <f>IFERROR(INDEX(Catalogo!$E$4:$E$1502,_xlfn.IFNA(MATCH(B181,Catalogo!$C$4:$C$1502,0),-1)),"")</f>
        <v/>
      </c>
      <c r="D181" s="12" t="str">
        <f>IFERROR(_xlfn.CONCAT(INDEX(Catalogo!$G$4:$G$1502,_xlfn.IFNA(MATCH(B181,Catalogo!$C$4:$C$1502,0),-1)),"-",INDEX(Catalogo!$H$4:$H$1502,_xlfn.IFNA(MATCH(B181,Catalogo!$C$4:$C$1502,0),-1))),"")</f>
        <v/>
      </c>
    </row>
    <row r="182" spans="2:4" x14ac:dyDescent="0.25">
      <c r="B182" s="16"/>
      <c r="C182" s="11" t="str">
        <f>IFERROR(INDEX(Catalogo!$E$4:$E$1502,_xlfn.IFNA(MATCH(B182,Catalogo!$C$4:$C$1502,0),-1)),"")</f>
        <v/>
      </c>
      <c r="D182" s="12" t="str">
        <f>IFERROR(_xlfn.CONCAT(INDEX(Catalogo!$G$4:$G$1502,_xlfn.IFNA(MATCH(B182,Catalogo!$C$4:$C$1502,0),-1)),"-",INDEX(Catalogo!$H$4:$H$1502,_xlfn.IFNA(MATCH(B182,Catalogo!$C$4:$C$1502,0),-1))),"")</f>
        <v/>
      </c>
    </row>
    <row r="183" spans="2:4" x14ac:dyDescent="0.25">
      <c r="B183" s="9"/>
      <c r="C183" s="11" t="str">
        <f>IFERROR(INDEX(Catalogo!$E$4:$E$1502,_xlfn.IFNA(MATCH(B183,Catalogo!$C$4:$C$1502,0),-1)),"")</f>
        <v/>
      </c>
      <c r="D183" s="12" t="str">
        <f>IFERROR(_xlfn.CONCAT(INDEX(Catalogo!$G$4:$G$1502,_xlfn.IFNA(MATCH(B183,Catalogo!$C$4:$C$1502,0),-1)),"-",INDEX(Catalogo!$H$4:$H$1502,_xlfn.IFNA(MATCH(B183,Catalogo!$C$4:$C$1502,0),-1))),"")</f>
        <v/>
      </c>
    </row>
    <row r="184" spans="2:4" x14ac:dyDescent="0.25">
      <c r="B184" s="9"/>
      <c r="C184" s="11" t="str">
        <f>IFERROR(INDEX(Catalogo!$E$4:$E$1502,_xlfn.IFNA(MATCH(B184,Catalogo!$C$4:$C$1502,0),-1)),"")</f>
        <v/>
      </c>
      <c r="D184" s="12" t="str">
        <f>IFERROR(_xlfn.CONCAT(INDEX(Catalogo!$G$4:$G$1502,_xlfn.IFNA(MATCH(B184,Catalogo!$C$4:$C$1502,0),-1)),"-",INDEX(Catalogo!$H$4:$H$1502,_xlfn.IFNA(MATCH(B184,Catalogo!$C$4:$C$1502,0),-1))),"")</f>
        <v/>
      </c>
    </row>
    <row r="185" spans="2:4" x14ac:dyDescent="0.25">
      <c r="B185" s="18"/>
      <c r="C185" s="11" t="str">
        <f>IFERROR(INDEX(Catalogo!$E$4:$E$1502,_xlfn.IFNA(MATCH(B185,Catalogo!$C$4:$C$1502,0),-1)),"")</f>
        <v/>
      </c>
      <c r="D185" s="12" t="str">
        <f>IFERROR(_xlfn.CONCAT(INDEX(Catalogo!$G$4:$G$1502,_xlfn.IFNA(MATCH(B185,Catalogo!$C$4:$C$1502,0),-1)),"-",INDEX(Catalogo!$H$4:$H$1502,_xlfn.IFNA(MATCH(B185,Catalogo!$C$4:$C$1502,0),-1))),"")</f>
        <v/>
      </c>
    </row>
    <row r="186" spans="2:4" x14ac:dyDescent="0.25">
      <c r="B186" s="17"/>
      <c r="C186" s="11" t="str">
        <f>IFERROR(INDEX(Catalogo!$E$4:$E$1502,_xlfn.IFNA(MATCH(B186,Catalogo!$C$4:$C$1502,0),-1)),"")</f>
        <v/>
      </c>
      <c r="D186" s="12" t="str">
        <f>IFERROR(_xlfn.CONCAT(INDEX(Catalogo!$G$4:$G$1502,_xlfn.IFNA(MATCH(B186,Catalogo!$C$4:$C$1502,0),-1)),"-",INDEX(Catalogo!$H$4:$H$1502,_xlfn.IFNA(MATCH(B186,Catalogo!$C$4:$C$1502,0),-1))),"")</f>
        <v/>
      </c>
    </row>
    <row r="187" spans="2:4" x14ac:dyDescent="0.25">
      <c r="B187" s="18"/>
      <c r="C187" s="11" t="str">
        <f>IFERROR(INDEX(Catalogo!$E$4:$E$1502,_xlfn.IFNA(MATCH(B187,Catalogo!$C$4:$C$1502,0),-1)),"")</f>
        <v/>
      </c>
      <c r="D187" s="12" t="str">
        <f>IFERROR(_xlfn.CONCAT(INDEX(Catalogo!$G$4:$G$1502,_xlfn.IFNA(MATCH(B187,Catalogo!$C$4:$C$1502,0),-1)),"-",INDEX(Catalogo!$H$4:$H$1502,_xlfn.IFNA(MATCH(B187,Catalogo!$C$4:$C$1502,0),-1))),"")</f>
        <v/>
      </c>
    </row>
    <row r="188" spans="2:4" x14ac:dyDescent="0.25">
      <c r="B188" s="18"/>
      <c r="C188" s="11" t="str">
        <f>IFERROR(INDEX(Catalogo!$E$4:$E$1502,_xlfn.IFNA(MATCH(B188,Catalogo!$C$4:$C$1502,0),-1)),"")</f>
        <v/>
      </c>
      <c r="D188" s="12" t="str">
        <f>IFERROR(_xlfn.CONCAT(INDEX(Catalogo!$G$4:$G$1502,_xlfn.IFNA(MATCH(B188,Catalogo!$C$4:$C$1502,0),-1)),"-",INDEX(Catalogo!$H$4:$H$1502,_xlfn.IFNA(MATCH(B188,Catalogo!$C$4:$C$1502,0),-1))),"")</f>
        <v/>
      </c>
    </row>
    <row r="189" spans="2:4" x14ac:dyDescent="0.25">
      <c r="B189" s="9"/>
      <c r="C189" s="11" t="str">
        <f>IFERROR(INDEX(Catalogo!$E$4:$E$1502,_xlfn.IFNA(MATCH(B189,Catalogo!$C$4:$C$1502,0),-1)),"")</f>
        <v/>
      </c>
      <c r="D189" s="12" t="str">
        <f>IFERROR(_xlfn.CONCAT(INDEX(Catalogo!$G$4:$G$1502,_xlfn.IFNA(MATCH(B189,Catalogo!$C$4:$C$1502,0),-1)),"-",INDEX(Catalogo!$H$4:$H$1502,_xlfn.IFNA(MATCH(B189,Catalogo!$C$4:$C$1502,0),-1))),"")</f>
        <v/>
      </c>
    </row>
    <row r="190" spans="2:4" x14ac:dyDescent="0.25">
      <c r="B190" s="9"/>
      <c r="C190" s="11" t="str">
        <f>IFERROR(INDEX(Catalogo!$E$4:$E$1502,_xlfn.IFNA(MATCH(B190,Catalogo!$C$4:$C$1502,0),-1)),"")</f>
        <v/>
      </c>
      <c r="D190" s="12" t="str">
        <f>IFERROR(_xlfn.CONCAT(INDEX(Catalogo!$G$4:$G$1502,_xlfn.IFNA(MATCH(B190,Catalogo!$C$4:$C$1502,0),-1)),"-",INDEX(Catalogo!$H$4:$H$1502,_xlfn.IFNA(MATCH(B190,Catalogo!$C$4:$C$1502,0),-1))),"")</f>
        <v/>
      </c>
    </row>
    <row r="191" spans="2:4" x14ac:dyDescent="0.25">
      <c r="B191" s="9"/>
      <c r="C191" s="11" t="str">
        <f>IFERROR(INDEX(Catalogo!$E$4:$E$1502,_xlfn.IFNA(MATCH(B191,Catalogo!$C$4:$C$1502,0),-1)),"")</f>
        <v/>
      </c>
      <c r="D191" s="12" t="str">
        <f>IFERROR(_xlfn.CONCAT(INDEX(Catalogo!$G$4:$G$1502,_xlfn.IFNA(MATCH(B191,Catalogo!$C$4:$C$1502,0),-1)),"-",INDEX(Catalogo!$H$4:$H$1502,_xlfn.IFNA(MATCH(B191,Catalogo!$C$4:$C$1502,0),-1))),"")</f>
        <v/>
      </c>
    </row>
    <row r="192" spans="2:4" x14ac:dyDescent="0.25">
      <c r="B192" s="9"/>
      <c r="C192" s="11" t="str">
        <f>IFERROR(INDEX(Catalogo!$E$4:$E$1502,_xlfn.IFNA(MATCH(B192,Catalogo!$C$4:$C$1502,0),-1)),"")</f>
        <v/>
      </c>
      <c r="D192" s="12" t="str">
        <f>IFERROR(_xlfn.CONCAT(INDEX(Catalogo!$G$4:$G$1502,_xlfn.IFNA(MATCH(B192,Catalogo!$C$4:$C$1502,0),-1)),"-",INDEX(Catalogo!$H$4:$H$1502,_xlfn.IFNA(MATCH(B192,Catalogo!$C$4:$C$1502,0),-1))),"")</f>
        <v/>
      </c>
    </row>
    <row r="193" spans="2:4" x14ac:dyDescent="0.25">
      <c r="B193" s="9"/>
      <c r="C193" s="11" t="str">
        <f>IFERROR(INDEX(Catalogo!$E$4:$E$1502,_xlfn.IFNA(MATCH(B193,Catalogo!$C$4:$C$1502,0),-1)),"")</f>
        <v/>
      </c>
      <c r="D193" s="12" t="str">
        <f>IFERROR(_xlfn.CONCAT(INDEX(Catalogo!$G$4:$G$1502,_xlfn.IFNA(MATCH(B193,Catalogo!$C$4:$C$1502,0),-1)),"-",INDEX(Catalogo!$H$4:$H$1502,_xlfn.IFNA(MATCH(B193,Catalogo!$C$4:$C$1502,0),-1))),"")</f>
        <v/>
      </c>
    </row>
    <row r="194" spans="2:4" x14ac:dyDescent="0.25">
      <c r="B194" s="9"/>
      <c r="C194" s="11" t="str">
        <f>IFERROR(INDEX(Catalogo!$E$4:$E$1502,_xlfn.IFNA(MATCH(B194,Catalogo!$C$4:$C$1502,0),-1)),"")</f>
        <v/>
      </c>
      <c r="D194" s="12" t="str">
        <f>IFERROR(_xlfn.CONCAT(INDEX(Catalogo!$G$4:$G$1502,_xlfn.IFNA(MATCH(B194,Catalogo!$C$4:$C$1502,0),-1)),"-",INDEX(Catalogo!$H$4:$H$1502,_xlfn.IFNA(MATCH(B194,Catalogo!$C$4:$C$1502,0),-1))),"")</f>
        <v/>
      </c>
    </row>
    <row r="195" spans="2:4" x14ac:dyDescent="0.25">
      <c r="B195" s="17"/>
      <c r="C195" s="11" t="str">
        <f>IFERROR(INDEX(Catalogo!$E$4:$E$1502,_xlfn.IFNA(MATCH(B195,Catalogo!$C$4:$C$1502,0),-1)),"")</f>
        <v/>
      </c>
      <c r="D195" s="12" t="str">
        <f>IFERROR(_xlfn.CONCAT(INDEX(Catalogo!$G$4:$G$1502,_xlfn.IFNA(MATCH(B195,Catalogo!$C$4:$C$1502,0),-1)),"-",INDEX(Catalogo!$H$4:$H$1502,_xlfn.IFNA(MATCH(B195,Catalogo!$C$4:$C$1502,0),-1))),"")</f>
        <v/>
      </c>
    </row>
    <row r="196" spans="2:4" x14ac:dyDescent="0.25">
      <c r="B196" s="18"/>
      <c r="C196" s="11" t="str">
        <f>IFERROR(INDEX(Catalogo!$E$4:$E$1502,_xlfn.IFNA(MATCH(B196,Catalogo!$C$4:$C$1502,0),-1)),"")</f>
        <v/>
      </c>
      <c r="D196" s="12" t="str">
        <f>IFERROR(_xlfn.CONCAT(INDEX(Catalogo!$G$4:$G$1502,_xlfn.IFNA(MATCH(B196,Catalogo!$C$4:$C$1502,0),-1)),"-",INDEX(Catalogo!$H$4:$H$1502,_xlfn.IFNA(MATCH(B196,Catalogo!$C$4:$C$1502,0),-1))),"")</f>
        <v/>
      </c>
    </row>
    <row r="197" spans="2:4" x14ac:dyDescent="0.25">
      <c r="B197" s="17"/>
      <c r="C197" s="11" t="str">
        <f>IFERROR(INDEX(Catalogo!$E$4:$E$1502,_xlfn.IFNA(MATCH(B197,Catalogo!$C$4:$C$1502,0),-1)),"")</f>
        <v/>
      </c>
      <c r="D197" s="12" t="str">
        <f>IFERROR(_xlfn.CONCAT(INDEX(Catalogo!$G$4:$G$1502,_xlfn.IFNA(MATCH(B197,Catalogo!$C$4:$C$1502,0),-1)),"-",INDEX(Catalogo!$H$4:$H$1502,_xlfn.IFNA(MATCH(B197,Catalogo!$C$4:$C$1502,0),-1))),"")</f>
        <v/>
      </c>
    </row>
    <row r="198" spans="2:4" x14ac:dyDescent="0.25">
      <c r="B198" s="17"/>
      <c r="C198" s="11" t="str">
        <f>IFERROR(INDEX(Catalogo!$E$4:$E$1502,_xlfn.IFNA(MATCH(B198,Catalogo!$C$4:$C$1502,0),-1)),"")</f>
        <v/>
      </c>
      <c r="D198" s="12" t="str">
        <f>IFERROR(_xlfn.CONCAT(INDEX(Catalogo!$G$4:$G$1502,_xlfn.IFNA(MATCH(B198,Catalogo!$C$4:$C$1502,0),-1)),"-",INDEX(Catalogo!$H$4:$H$1502,_xlfn.IFNA(MATCH(B198,Catalogo!$C$4:$C$1502,0),-1))),"")</f>
        <v/>
      </c>
    </row>
    <row r="199" spans="2:4" x14ac:dyDescent="0.25">
      <c r="B199" s="9"/>
      <c r="C199" s="11" t="str">
        <f>IFERROR(INDEX(Catalogo!$E$4:$E$1502,_xlfn.IFNA(MATCH(B199,Catalogo!$C$4:$C$1502,0),-1)),"")</f>
        <v/>
      </c>
      <c r="D199" s="12" t="str">
        <f>IFERROR(_xlfn.CONCAT(INDEX(Catalogo!$G$4:$G$1502,_xlfn.IFNA(MATCH(B199,Catalogo!$C$4:$C$1502,0),-1)),"-",INDEX(Catalogo!$H$4:$H$1502,_xlfn.IFNA(MATCH(B199,Catalogo!$C$4:$C$1502,0),-1))),"")</f>
        <v/>
      </c>
    </row>
    <row r="200" spans="2:4" x14ac:dyDescent="0.25">
      <c r="B200" s="9"/>
      <c r="C200" s="11" t="str">
        <f>IFERROR(INDEX(Catalogo!$E$4:$E$1502,_xlfn.IFNA(MATCH(B200,Catalogo!$C$4:$C$1502,0),-1)),"")</f>
        <v/>
      </c>
      <c r="D200" s="12" t="str">
        <f>IFERROR(_xlfn.CONCAT(INDEX(Catalogo!$G$4:$G$1502,_xlfn.IFNA(MATCH(B200,Catalogo!$C$4:$C$1502,0),-1)),"-",INDEX(Catalogo!$H$4:$H$1502,_xlfn.IFNA(MATCH(B200,Catalogo!$C$4:$C$1502,0),-1))),"")</f>
        <v/>
      </c>
    </row>
    <row r="201" spans="2:4" x14ac:dyDescent="0.25">
      <c r="B201" s="9"/>
      <c r="C201" s="11" t="str">
        <f>IFERROR(INDEX(Catalogo!$E$4:$E$1502,_xlfn.IFNA(MATCH(B201,Catalogo!$C$4:$C$1502,0),-1)),"")</f>
        <v/>
      </c>
      <c r="D201" s="12" t="str">
        <f>IFERROR(_xlfn.CONCAT(INDEX(Catalogo!$G$4:$G$1502,_xlfn.IFNA(MATCH(B201,Catalogo!$C$4:$C$1502,0),-1)),"-",INDEX(Catalogo!$H$4:$H$1502,_xlfn.IFNA(MATCH(B201,Catalogo!$C$4:$C$1502,0),-1))),"")</f>
        <v/>
      </c>
    </row>
    <row r="202" spans="2:4" x14ac:dyDescent="0.25">
      <c r="B202" s="9"/>
      <c r="C202" s="11" t="str">
        <f>IFERROR(INDEX(Catalogo!$E$4:$E$1502,_xlfn.IFNA(MATCH(B202,Catalogo!$C$4:$C$1502,0),-1)),"")</f>
        <v/>
      </c>
      <c r="D202" s="12" t="str">
        <f>IFERROR(_xlfn.CONCAT(INDEX(Catalogo!$G$4:$G$1502,_xlfn.IFNA(MATCH(B202,Catalogo!$C$4:$C$1502,0),-1)),"-",INDEX(Catalogo!$H$4:$H$1502,_xlfn.IFNA(MATCH(B202,Catalogo!$C$4:$C$1502,0),-1))),"")</f>
        <v/>
      </c>
    </row>
    <row r="203" spans="2:4" x14ac:dyDescent="0.25">
      <c r="B203" s="20"/>
      <c r="C203" s="11" t="str">
        <f>IFERROR(INDEX(Catalogo!$E$4:$E$1502,_xlfn.IFNA(MATCH(B203,Catalogo!$C$4:$C$1502,0),-1)),"")</f>
        <v/>
      </c>
      <c r="D203" s="12" t="str">
        <f>IFERROR(_xlfn.CONCAT(INDEX(Catalogo!$G$4:$G$1502,_xlfn.IFNA(MATCH(B203,Catalogo!$C$4:$C$1502,0),-1)),"-",INDEX(Catalogo!$H$4:$H$1502,_xlfn.IFNA(MATCH(B203,Catalogo!$C$4:$C$1502,0),-1))),"")</f>
        <v/>
      </c>
    </row>
    <row r="204" spans="2:4" x14ac:dyDescent="0.25">
      <c r="B204" s="9"/>
      <c r="C204" s="11" t="str">
        <f>IFERROR(INDEX(Catalogo!$E$4:$E$1502,_xlfn.IFNA(MATCH(B204,Catalogo!$C$4:$C$1502,0),-1)),"")</f>
        <v/>
      </c>
      <c r="D204" s="12" t="str">
        <f>IFERROR(_xlfn.CONCAT(INDEX(Catalogo!$G$4:$G$1502,_xlfn.IFNA(MATCH(B204,Catalogo!$C$4:$C$1502,0),-1)),"-",INDEX(Catalogo!$H$4:$H$1502,_xlfn.IFNA(MATCH(B204,Catalogo!$C$4:$C$1502,0),-1))),"")</f>
        <v/>
      </c>
    </row>
    <row r="205" spans="2:4" x14ac:dyDescent="0.25">
      <c r="B205" s="9"/>
      <c r="C205" s="11" t="str">
        <f>IFERROR(INDEX(Catalogo!$E$4:$E$1502,_xlfn.IFNA(MATCH(B205,Catalogo!$C$4:$C$1502,0),-1)),"")</f>
        <v/>
      </c>
      <c r="D205" s="12" t="str">
        <f>IFERROR(_xlfn.CONCAT(INDEX(Catalogo!$G$4:$G$1502,_xlfn.IFNA(MATCH(B205,Catalogo!$C$4:$C$1502,0),-1)),"-",INDEX(Catalogo!$H$4:$H$1502,_xlfn.IFNA(MATCH(B205,Catalogo!$C$4:$C$1502,0),-1))),"")</f>
        <v/>
      </c>
    </row>
    <row r="206" spans="2:4" x14ac:dyDescent="0.25">
      <c r="B206" s="9"/>
      <c r="C206" s="11" t="str">
        <f>IFERROR(INDEX(Catalogo!$E$4:$E$1502,_xlfn.IFNA(MATCH(B206,Catalogo!$C$4:$C$1502,0),-1)),"")</f>
        <v/>
      </c>
      <c r="D206" s="12" t="str">
        <f>IFERROR(_xlfn.CONCAT(INDEX(Catalogo!$G$4:$G$1502,_xlfn.IFNA(MATCH(B206,Catalogo!$C$4:$C$1502,0),-1)),"-",INDEX(Catalogo!$H$4:$H$1502,_xlfn.IFNA(MATCH(B206,Catalogo!$C$4:$C$1502,0),-1))),"")</f>
        <v/>
      </c>
    </row>
    <row r="207" spans="2:4" x14ac:dyDescent="0.25">
      <c r="B207" s="9"/>
      <c r="C207" s="11" t="str">
        <f>IFERROR(INDEX(Catalogo!$E$4:$E$1502,_xlfn.IFNA(MATCH(B207,Catalogo!$C$4:$C$1502,0),-1)),"")</f>
        <v/>
      </c>
      <c r="D207" s="12" t="str">
        <f>IFERROR(_xlfn.CONCAT(INDEX(Catalogo!$G$4:$G$1502,_xlfn.IFNA(MATCH(B207,Catalogo!$C$4:$C$1502,0),-1)),"-",INDEX(Catalogo!$H$4:$H$1502,_xlfn.IFNA(MATCH(B207,Catalogo!$C$4:$C$1502,0),-1))),"")</f>
        <v/>
      </c>
    </row>
    <row r="208" spans="2:4" x14ac:dyDescent="0.25">
      <c r="B208" s="9"/>
      <c r="C208" s="11" t="str">
        <f>IFERROR(INDEX(Catalogo!$E$4:$E$1502,_xlfn.IFNA(MATCH(B208,Catalogo!$C$4:$C$1502,0),-1)),"")</f>
        <v/>
      </c>
      <c r="D208" s="12" t="str">
        <f>IFERROR(_xlfn.CONCAT(INDEX(Catalogo!$G$4:$G$1502,_xlfn.IFNA(MATCH(B208,Catalogo!$C$4:$C$1502,0),-1)),"-",INDEX(Catalogo!$H$4:$H$1502,_xlfn.IFNA(MATCH(B208,Catalogo!$C$4:$C$1502,0),-1))),"")</f>
        <v/>
      </c>
    </row>
    <row r="209" spans="2:4" x14ac:dyDescent="0.25">
      <c r="B209" s="9"/>
      <c r="C209" s="11" t="str">
        <f>IFERROR(INDEX(Catalogo!$E$4:$E$1502,_xlfn.IFNA(MATCH(B209,Catalogo!$C$4:$C$1502,0),-1)),"")</f>
        <v/>
      </c>
      <c r="D209" s="12" t="str">
        <f>IFERROR(_xlfn.CONCAT(INDEX(Catalogo!$G$4:$G$1502,_xlfn.IFNA(MATCH(B209,Catalogo!$C$4:$C$1502,0),-1)),"-",INDEX(Catalogo!$H$4:$H$1502,_xlfn.IFNA(MATCH(B209,Catalogo!$C$4:$C$1502,0),-1))),"")</f>
        <v/>
      </c>
    </row>
    <row r="210" spans="2:4" x14ac:dyDescent="0.25">
      <c r="B210" s="9"/>
      <c r="C210" s="11" t="str">
        <f>IFERROR(INDEX(Catalogo!$E$4:$E$1502,_xlfn.IFNA(MATCH(B210,Catalogo!$C$4:$C$1502,0),-1)),"")</f>
        <v/>
      </c>
      <c r="D210" s="12" t="str">
        <f>IFERROR(_xlfn.CONCAT(INDEX(Catalogo!$G$4:$G$1502,_xlfn.IFNA(MATCH(B210,Catalogo!$C$4:$C$1502,0),-1)),"-",INDEX(Catalogo!$H$4:$H$1502,_xlfn.IFNA(MATCH(B210,Catalogo!$C$4:$C$1502,0),-1))),"")</f>
        <v/>
      </c>
    </row>
    <row r="211" spans="2:4" x14ac:dyDescent="0.25">
      <c r="B211" s="9"/>
      <c r="C211" s="11" t="str">
        <f>IFERROR(INDEX(Catalogo!$E$4:$E$1502,_xlfn.IFNA(MATCH(B211,Catalogo!$C$4:$C$1502,0),-1)),"")</f>
        <v/>
      </c>
      <c r="D211" s="12" t="str">
        <f>IFERROR(_xlfn.CONCAT(INDEX(Catalogo!$G$4:$G$1502,_xlfn.IFNA(MATCH(B211,Catalogo!$C$4:$C$1502,0),-1)),"-",INDEX(Catalogo!$H$4:$H$1502,_xlfn.IFNA(MATCH(B211,Catalogo!$C$4:$C$1502,0),-1))),"")</f>
        <v/>
      </c>
    </row>
    <row r="212" spans="2:4" x14ac:dyDescent="0.25">
      <c r="B212" s="9"/>
      <c r="C212" s="11" t="str">
        <f>IFERROR(INDEX(Catalogo!$E$4:$E$1502,_xlfn.IFNA(MATCH(B212,Catalogo!$C$4:$C$1502,0),-1)),"")</f>
        <v/>
      </c>
      <c r="D212" s="12" t="str">
        <f>IFERROR(_xlfn.CONCAT(INDEX(Catalogo!$G$4:$G$1502,_xlfn.IFNA(MATCH(B212,Catalogo!$C$4:$C$1502,0),-1)),"-",INDEX(Catalogo!$H$4:$H$1502,_xlfn.IFNA(MATCH(B212,Catalogo!$C$4:$C$1502,0),-1))),"")</f>
        <v/>
      </c>
    </row>
    <row r="213" spans="2:4" x14ac:dyDescent="0.25">
      <c r="B213" s="9"/>
      <c r="C213" s="11" t="str">
        <f>IFERROR(INDEX(Catalogo!$E$4:$E$1502,_xlfn.IFNA(MATCH(B213,Catalogo!$C$4:$C$1502,0),-1)),"")</f>
        <v/>
      </c>
      <c r="D213" s="12" t="str">
        <f>IFERROR(_xlfn.CONCAT(INDEX(Catalogo!$G$4:$G$1502,_xlfn.IFNA(MATCH(B213,Catalogo!$C$4:$C$1502,0),-1)),"-",INDEX(Catalogo!$H$4:$H$1502,_xlfn.IFNA(MATCH(B213,Catalogo!$C$4:$C$1502,0),-1))),"")</f>
        <v/>
      </c>
    </row>
    <row r="214" spans="2:4" x14ac:dyDescent="0.25">
      <c r="B214" s="16"/>
      <c r="C214" s="11" t="str">
        <f>IFERROR(INDEX(Catalogo!$E$4:$E$1502,_xlfn.IFNA(MATCH(B214,Catalogo!$C$4:$C$1502,0),-1)),"")</f>
        <v/>
      </c>
      <c r="D214" s="12" t="str">
        <f>IFERROR(_xlfn.CONCAT(INDEX(Catalogo!$G$4:$G$1502,_xlfn.IFNA(MATCH(B214,Catalogo!$C$4:$C$1502,0),-1)),"-",INDEX(Catalogo!$H$4:$H$1502,_xlfn.IFNA(MATCH(B214,Catalogo!$C$4:$C$1502,0),-1))),"")</f>
        <v/>
      </c>
    </row>
    <row r="215" spans="2:4" x14ac:dyDescent="0.25">
      <c r="B215" s="9"/>
      <c r="C215" s="11" t="str">
        <f>IFERROR(INDEX(Catalogo!$E$4:$E$1502,_xlfn.IFNA(MATCH(B215,Catalogo!$C$4:$C$1502,0),-1)),"")</f>
        <v/>
      </c>
      <c r="D215" s="12" t="str">
        <f>IFERROR(_xlfn.CONCAT(INDEX(Catalogo!$G$4:$G$1502,_xlfn.IFNA(MATCH(B215,Catalogo!$C$4:$C$1502,0),-1)),"-",INDEX(Catalogo!$H$4:$H$1502,_xlfn.IFNA(MATCH(B215,Catalogo!$C$4:$C$1502,0),-1))),"")</f>
        <v/>
      </c>
    </row>
    <row r="216" spans="2:4" x14ac:dyDescent="0.25">
      <c r="B216" s="9"/>
      <c r="C216" s="11" t="str">
        <f>IFERROR(INDEX(Catalogo!$E$4:$E$1502,_xlfn.IFNA(MATCH(B216,Catalogo!$C$4:$C$1502,0),-1)),"")</f>
        <v/>
      </c>
      <c r="D216" s="12" t="str">
        <f>IFERROR(_xlfn.CONCAT(INDEX(Catalogo!$G$4:$G$1502,_xlfn.IFNA(MATCH(B216,Catalogo!$C$4:$C$1502,0),-1)),"-",INDEX(Catalogo!$H$4:$H$1502,_xlfn.IFNA(MATCH(B216,Catalogo!$C$4:$C$1502,0),-1))),"")</f>
        <v/>
      </c>
    </row>
    <row r="217" spans="2:4" x14ac:dyDescent="0.25">
      <c r="B217" s="9"/>
      <c r="C217" s="11" t="str">
        <f>IFERROR(INDEX(Catalogo!$E$4:$E$1502,_xlfn.IFNA(MATCH(B217,Catalogo!$C$4:$C$1502,0),-1)),"")</f>
        <v/>
      </c>
      <c r="D217" s="12" t="str">
        <f>IFERROR(_xlfn.CONCAT(INDEX(Catalogo!$G$4:$G$1502,_xlfn.IFNA(MATCH(B217,Catalogo!$C$4:$C$1502,0),-1)),"-",INDEX(Catalogo!$H$4:$H$1502,_xlfn.IFNA(MATCH(B217,Catalogo!$C$4:$C$1502,0),-1))),"")</f>
        <v/>
      </c>
    </row>
    <row r="218" spans="2:4" x14ac:dyDescent="0.25">
      <c r="B218" s="9"/>
      <c r="C218" s="11" t="str">
        <f>IFERROR(INDEX(Catalogo!$E$4:$E$1502,_xlfn.IFNA(MATCH(B218,Catalogo!$C$4:$C$1502,0),-1)),"")</f>
        <v/>
      </c>
      <c r="D218" s="12" t="str">
        <f>IFERROR(_xlfn.CONCAT(INDEX(Catalogo!$G$4:$G$1502,_xlfn.IFNA(MATCH(B218,Catalogo!$C$4:$C$1502,0),-1)),"-",INDEX(Catalogo!$H$4:$H$1502,_xlfn.IFNA(MATCH(B218,Catalogo!$C$4:$C$1502,0),-1))),"")</f>
        <v/>
      </c>
    </row>
    <row r="219" spans="2:4" x14ac:dyDescent="0.25">
      <c r="B219" s="17"/>
      <c r="C219" s="11" t="str">
        <f>IFERROR(INDEX(Catalogo!$E$4:$E$1502,_xlfn.IFNA(MATCH(B219,Catalogo!$C$4:$C$1502,0),-1)),"")</f>
        <v/>
      </c>
      <c r="D219" s="12" t="str">
        <f>IFERROR(_xlfn.CONCAT(INDEX(Catalogo!$G$4:$G$1502,_xlfn.IFNA(MATCH(B219,Catalogo!$C$4:$C$1502,0),-1)),"-",INDEX(Catalogo!$H$4:$H$1502,_xlfn.IFNA(MATCH(B219,Catalogo!$C$4:$C$1502,0),-1))),"")</f>
        <v/>
      </c>
    </row>
    <row r="220" spans="2:4" x14ac:dyDescent="0.25">
      <c r="B220" s="9"/>
      <c r="C220" s="11" t="str">
        <f>IFERROR(INDEX(Catalogo!$E$4:$E$1502,_xlfn.IFNA(MATCH(B220,Catalogo!$C$4:$C$1502,0),-1)),"")</f>
        <v/>
      </c>
      <c r="D220" s="12" t="str">
        <f>IFERROR(_xlfn.CONCAT(INDEX(Catalogo!$G$4:$G$1502,_xlfn.IFNA(MATCH(B220,Catalogo!$C$4:$C$1502,0),-1)),"-",INDEX(Catalogo!$H$4:$H$1502,_xlfn.IFNA(MATCH(B220,Catalogo!$C$4:$C$1502,0),-1))),"")</f>
        <v/>
      </c>
    </row>
    <row r="221" spans="2:4" x14ac:dyDescent="0.25">
      <c r="B221" s="9"/>
      <c r="C221" s="11" t="str">
        <f>IFERROR(INDEX(Catalogo!$E$4:$E$1502,_xlfn.IFNA(MATCH(B221,Catalogo!$C$4:$C$1502,0),-1)),"")</f>
        <v/>
      </c>
      <c r="D221" s="12" t="str">
        <f>IFERROR(_xlfn.CONCAT(INDEX(Catalogo!$G$4:$G$1502,_xlfn.IFNA(MATCH(B221,Catalogo!$C$4:$C$1502,0),-1)),"-",INDEX(Catalogo!$H$4:$H$1502,_xlfn.IFNA(MATCH(B221,Catalogo!$C$4:$C$1502,0),-1))),"")</f>
        <v/>
      </c>
    </row>
    <row r="222" spans="2:4" x14ac:dyDescent="0.25">
      <c r="B222" s="9"/>
      <c r="C222" s="11" t="str">
        <f>IFERROR(INDEX(Catalogo!$E$4:$E$1502,_xlfn.IFNA(MATCH(B222,Catalogo!$C$4:$C$1502,0),-1)),"")</f>
        <v/>
      </c>
      <c r="D222" s="12" t="str">
        <f>IFERROR(_xlfn.CONCAT(INDEX(Catalogo!$G$4:$G$1502,_xlfn.IFNA(MATCH(B222,Catalogo!$C$4:$C$1502,0),-1)),"-",INDEX(Catalogo!$H$4:$H$1502,_xlfn.IFNA(MATCH(B222,Catalogo!$C$4:$C$1502,0),-1))),"")</f>
        <v/>
      </c>
    </row>
    <row r="223" spans="2:4" x14ac:dyDescent="0.25">
      <c r="B223" s="9"/>
      <c r="C223" s="11" t="str">
        <f>IFERROR(INDEX(Catalogo!$E$4:$E$1502,_xlfn.IFNA(MATCH(B223,Catalogo!$C$4:$C$1502,0),-1)),"")</f>
        <v/>
      </c>
      <c r="D223" s="12" t="str">
        <f>IFERROR(_xlfn.CONCAT(INDEX(Catalogo!$G$4:$G$1502,_xlfn.IFNA(MATCH(B223,Catalogo!$C$4:$C$1502,0),-1)),"-",INDEX(Catalogo!$H$4:$H$1502,_xlfn.IFNA(MATCH(B223,Catalogo!$C$4:$C$1502,0),-1))),"")</f>
        <v/>
      </c>
    </row>
    <row r="224" spans="2:4" x14ac:dyDescent="0.25">
      <c r="B224" s="16"/>
      <c r="C224" s="11" t="str">
        <f>IFERROR(INDEX(Catalogo!$E$4:$E$1502,_xlfn.IFNA(MATCH(B224,Catalogo!$C$4:$C$1502,0),-1)),"")</f>
        <v/>
      </c>
      <c r="D224" s="12" t="str">
        <f>IFERROR(_xlfn.CONCAT(INDEX(Catalogo!$G$4:$G$1502,_xlfn.IFNA(MATCH(B224,Catalogo!$C$4:$C$1502,0),-1)),"-",INDEX(Catalogo!$H$4:$H$1502,_xlfn.IFNA(MATCH(B224,Catalogo!$C$4:$C$1502,0),-1))),"")</f>
        <v/>
      </c>
    </row>
    <row r="225" spans="2:4" x14ac:dyDescent="0.25">
      <c r="B225" s="9"/>
      <c r="C225" s="11" t="str">
        <f>IFERROR(INDEX(Catalogo!$E$4:$E$1502,_xlfn.IFNA(MATCH(B225,Catalogo!$C$4:$C$1502,0),-1)),"")</f>
        <v/>
      </c>
      <c r="D225" s="12" t="str">
        <f>IFERROR(_xlfn.CONCAT(INDEX(Catalogo!$G$4:$G$1502,_xlfn.IFNA(MATCH(B225,Catalogo!$C$4:$C$1502,0),-1)),"-",INDEX(Catalogo!$H$4:$H$1502,_xlfn.IFNA(MATCH(B225,Catalogo!$C$4:$C$1502,0),-1))),"")</f>
        <v/>
      </c>
    </row>
    <row r="226" spans="2:4" x14ac:dyDescent="0.25">
      <c r="B226" s="9"/>
      <c r="C226" s="11" t="str">
        <f>IFERROR(INDEX(Catalogo!$E$4:$E$1502,_xlfn.IFNA(MATCH(B226,Catalogo!$C$4:$C$1502,0),-1)),"")</f>
        <v/>
      </c>
      <c r="D226" s="12" t="str">
        <f>IFERROR(_xlfn.CONCAT(INDEX(Catalogo!$G$4:$G$1502,_xlfn.IFNA(MATCH(B226,Catalogo!$C$4:$C$1502,0),-1)),"-",INDEX(Catalogo!$H$4:$H$1502,_xlfn.IFNA(MATCH(B226,Catalogo!$C$4:$C$1502,0),-1))),"")</f>
        <v/>
      </c>
    </row>
    <row r="227" spans="2:4" x14ac:dyDescent="0.25">
      <c r="B227" s="9"/>
      <c r="C227" s="11" t="str">
        <f>IFERROR(INDEX(Catalogo!$E$4:$E$1502,_xlfn.IFNA(MATCH(B227,Catalogo!$C$4:$C$1502,0),-1)),"")</f>
        <v/>
      </c>
      <c r="D227" s="12" t="str">
        <f>IFERROR(_xlfn.CONCAT(INDEX(Catalogo!$G$4:$G$1502,_xlfn.IFNA(MATCH(B227,Catalogo!$C$4:$C$1502,0),-1)),"-",INDEX(Catalogo!$H$4:$H$1502,_xlfn.IFNA(MATCH(B227,Catalogo!$C$4:$C$1502,0),-1))),"")</f>
        <v/>
      </c>
    </row>
    <row r="228" spans="2:4" x14ac:dyDescent="0.25">
      <c r="B228" s="9"/>
      <c r="C228" s="11" t="str">
        <f>IFERROR(INDEX(Catalogo!$E$4:$E$1502,_xlfn.IFNA(MATCH(B228,Catalogo!$C$4:$C$1502,0),-1)),"")</f>
        <v/>
      </c>
      <c r="D228" s="12" t="str">
        <f>IFERROR(_xlfn.CONCAT(INDEX(Catalogo!$G$4:$G$1502,_xlfn.IFNA(MATCH(B228,Catalogo!$C$4:$C$1502,0),-1)),"-",INDEX(Catalogo!$H$4:$H$1502,_xlfn.IFNA(MATCH(B228,Catalogo!$C$4:$C$1502,0),-1))),"")</f>
        <v/>
      </c>
    </row>
    <row r="229" spans="2:4" x14ac:dyDescent="0.25">
      <c r="B229" s="9"/>
      <c r="C229" s="11" t="str">
        <f>IFERROR(INDEX(Catalogo!$E$4:$E$1502,_xlfn.IFNA(MATCH(B229,Catalogo!$C$4:$C$1502,0),-1)),"")</f>
        <v/>
      </c>
      <c r="D229" s="12" t="str">
        <f>IFERROR(_xlfn.CONCAT(INDEX(Catalogo!$G$4:$G$1502,_xlfn.IFNA(MATCH(B229,Catalogo!$C$4:$C$1502,0),-1)),"-",INDEX(Catalogo!$H$4:$H$1502,_xlfn.IFNA(MATCH(B229,Catalogo!$C$4:$C$1502,0),-1))),"")</f>
        <v/>
      </c>
    </row>
    <row r="230" spans="2:4" x14ac:dyDescent="0.25">
      <c r="B230" s="8"/>
      <c r="C230" s="11" t="str">
        <f>IFERROR(INDEX(Catalogo!$E$4:$E$1502,_xlfn.IFNA(MATCH(B230,Catalogo!$C$4:$C$1502,0),-1)),"")</f>
        <v/>
      </c>
      <c r="D230" s="12" t="str">
        <f>IFERROR(_xlfn.CONCAT(INDEX(Catalogo!$G$4:$G$1502,_xlfn.IFNA(MATCH(B230,Catalogo!$C$4:$C$1502,0),-1)),"-",INDEX(Catalogo!$H$4:$H$1502,_xlfn.IFNA(MATCH(B230,Catalogo!$C$4:$C$1502,0),-1))),"")</f>
        <v/>
      </c>
    </row>
    <row r="231" spans="2:4" x14ac:dyDescent="0.25">
      <c r="B231" s="9"/>
      <c r="C231" s="11" t="str">
        <f>IFERROR(INDEX(Catalogo!$E$4:$E$1502,_xlfn.IFNA(MATCH(B231,Catalogo!$C$4:$C$1502,0),-1)),"")</f>
        <v/>
      </c>
      <c r="D231" s="12" t="str">
        <f>IFERROR(_xlfn.CONCAT(INDEX(Catalogo!$G$4:$G$1502,_xlfn.IFNA(MATCH(B231,Catalogo!$C$4:$C$1502,0),-1)),"-",INDEX(Catalogo!$H$4:$H$1502,_xlfn.IFNA(MATCH(B231,Catalogo!$C$4:$C$1502,0),-1))),"")</f>
        <v/>
      </c>
    </row>
    <row r="232" spans="2:4" x14ac:dyDescent="0.25">
      <c r="B232" s="9"/>
      <c r="C232" s="11" t="str">
        <f>IFERROR(INDEX(Catalogo!$E$4:$E$1502,_xlfn.IFNA(MATCH(B232,Catalogo!$C$4:$C$1502,0),-1)),"")</f>
        <v/>
      </c>
      <c r="D232" s="12" t="str">
        <f>IFERROR(_xlfn.CONCAT(INDEX(Catalogo!$G$4:$G$1502,_xlfn.IFNA(MATCH(B232,Catalogo!$C$4:$C$1502,0),-1)),"-",INDEX(Catalogo!$H$4:$H$1502,_xlfn.IFNA(MATCH(B232,Catalogo!$C$4:$C$1502,0),-1))),"")</f>
        <v/>
      </c>
    </row>
    <row r="233" spans="2:4" x14ac:dyDescent="0.25">
      <c r="B233" s="9"/>
      <c r="C233" s="11" t="str">
        <f>IFERROR(INDEX(Catalogo!$E$4:$E$1502,_xlfn.IFNA(MATCH(B233,Catalogo!$C$4:$C$1502,0),-1)),"")</f>
        <v/>
      </c>
      <c r="D233" s="12" t="str">
        <f>IFERROR(_xlfn.CONCAT(INDEX(Catalogo!$G$4:$G$1502,_xlfn.IFNA(MATCH(B233,Catalogo!$C$4:$C$1502,0),-1)),"-",INDEX(Catalogo!$H$4:$H$1502,_xlfn.IFNA(MATCH(B233,Catalogo!$C$4:$C$1502,0),-1))),"")</f>
        <v/>
      </c>
    </row>
    <row r="234" spans="2:4" x14ac:dyDescent="0.25">
      <c r="B234" s="9"/>
      <c r="C234" s="11" t="str">
        <f>IFERROR(INDEX(Catalogo!$E$4:$E$1502,_xlfn.IFNA(MATCH(B234,Catalogo!$C$4:$C$1502,0),-1)),"")</f>
        <v/>
      </c>
      <c r="D234" s="12" t="str">
        <f>IFERROR(_xlfn.CONCAT(INDEX(Catalogo!$G$4:$G$1502,_xlfn.IFNA(MATCH(B234,Catalogo!$C$4:$C$1502,0),-1)),"-",INDEX(Catalogo!$H$4:$H$1502,_xlfn.IFNA(MATCH(B234,Catalogo!$C$4:$C$1502,0),-1))),"")</f>
        <v/>
      </c>
    </row>
    <row r="235" spans="2:4" x14ac:dyDescent="0.25">
      <c r="B235" s="9"/>
      <c r="C235" s="11" t="str">
        <f>IFERROR(INDEX(Catalogo!$E$4:$E$1502,_xlfn.IFNA(MATCH(B235,Catalogo!$C$4:$C$1502,0),-1)),"")</f>
        <v/>
      </c>
      <c r="D235" s="12" t="str">
        <f>IFERROR(_xlfn.CONCAT(INDEX(Catalogo!$G$4:$G$1502,_xlfn.IFNA(MATCH(B235,Catalogo!$C$4:$C$1502,0),-1)),"-",INDEX(Catalogo!$H$4:$H$1502,_xlfn.IFNA(MATCH(B235,Catalogo!$C$4:$C$1502,0),-1))),"")</f>
        <v/>
      </c>
    </row>
    <row r="236" spans="2:4" x14ac:dyDescent="0.25">
      <c r="B236" s="17"/>
      <c r="C236" s="11" t="str">
        <f>IFERROR(INDEX(Catalogo!$E$4:$E$1502,_xlfn.IFNA(MATCH(B236,Catalogo!$C$4:$C$1502,0),-1)),"")</f>
        <v/>
      </c>
      <c r="D236" s="12" t="str">
        <f>IFERROR(_xlfn.CONCAT(INDEX(Catalogo!$G$4:$G$1502,_xlfn.IFNA(MATCH(B236,Catalogo!$C$4:$C$1502,0),-1)),"-",INDEX(Catalogo!$H$4:$H$1502,_xlfn.IFNA(MATCH(B236,Catalogo!$C$4:$C$1502,0),-1))),"")</f>
        <v/>
      </c>
    </row>
    <row r="237" spans="2:4" x14ac:dyDescent="0.25">
      <c r="B237" s="9"/>
      <c r="C237" s="11" t="str">
        <f>IFERROR(INDEX(Catalogo!$E$4:$E$1502,_xlfn.IFNA(MATCH(B237,Catalogo!$C$4:$C$1502,0),-1)),"")</f>
        <v/>
      </c>
      <c r="D237" s="12" t="str">
        <f>IFERROR(_xlfn.CONCAT(INDEX(Catalogo!$G$4:$G$1502,_xlfn.IFNA(MATCH(B237,Catalogo!$C$4:$C$1502,0),-1)),"-",INDEX(Catalogo!$H$4:$H$1502,_xlfn.IFNA(MATCH(B237,Catalogo!$C$4:$C$1502,0),-1))),"")</f>
        <v/>
      </c>
    </row>
    <row r="238" spans="2:4" x14ac:dyDescent="0.25">
      <c r="B238" s="9"/>
      <c r="C238" s="11" t="str">
        <f>IFERROR(INDEX(Catalogo!$E$4:$E$1502,_xlfn.IFNA(MATCH(B238,Catalogo!$C$4:$C$1502,0),-1)),"")</f>
        <v/>
      </c>
      <c r="D238" s="12" t="str">
        <f>IFERROR(_xlfn.CONCAT(INDEX(Catalogo!$G$4:$G$1502,_xlfn.IFNA(MATCH(B238,Catalogo!$C$4:$C$1502,0),-1)),"-",INDEX(Catalogo!$H$4:$H$1502,_xlfn.IFNA(MATCH(B238,Catalogo!$C$4:$C$1502,0),-1))),"")</f>
        <v/>
      </c>
    </row>
    <row r="239" spans="2:4" x14ac:dyDescent="0.25">
      <c r="B239" s="9"/>
      <c r="C239" s="11" t="str">
        <f>IFERROR(INDEX(Catalogo!$E$4:$E$1502,_xlfn.IFNA(MATCH(B239,Catalogo!$C$4:$C$1502,0),-1)),"")</f>
        <v/>
      </c>
      <c r="D239" s="12" t="str">
        <f>IFERROR(_xlfn.CONCAT(INDEX(Catalogo!$G$4:$G$1502,_xlfn.IFNA(MATCH(B239,Catalogo!$C$4:$C$1502,0),-1)),"-",INDEX(Catalogo!$H$4:$H$1502,_xlfn.IFNA(MATCH(B239,Catalogo!$C$4:$C$1502,0),-1))),"")</f>
        <v/>
      </c>
    </row>
    <row r="240" spans="2:4" x14ac:dyDescent="0.25">
      <c r="B240" s="9"/>
      <c r="C240" s="11" t="str">
        <f>IFERROR(INDEX(Catalogo!$E$4:$E$1502,_xlfn.IFNA(MATCH(B240,Catalogo!$C$4:$C$1502,0),-1)),"")</f>
        <v/>
      </c>
      <c r="D240" s="12" t="str">
        <f>IFERROR(_xlfn.CONCAT(INDEX(Catalogo!$G$4:$G$1502,_xlfn.IFNA(MATCH(B240,Catalogo!$C$4:$C$1502,0),-1)),"-",INDEX(Catalogo!$H$4:$H$1502,_xlfn.IFNA(MATCH(B240,Catalogo!$C$4:$C$1502,0),-1))),"")</f>
        <v/>
      </c>
    </row>
    <row r="241" spans="2:4" x14ac:dyDescent="0.25">
      <c r="B241" s="9"/>
      <c r="C241" s="11" t="str">
        <f>IFERROR(INDEX(Catalogo!$E$4:$E$1502,_xlfn.IFNA(MATCH(B241,Catalogo!$C$4:$C$1502,0),-1)),"")</f>
        <v/>
      </c>
      <c r="D241" s="12" t="str">
        <f>IFERROR(_xlfn.CONCAT(INDEX(Catalogo!$G$4:$G$1502,_xlfn.IFNA(MATCH(B241,Catalogo!$C$4:$C$1502,0),-1)),"-",INDEX(Catalogo!$H$4:$H$1502,_xlfn.IFNA(MATCH(B241,Catalogo!$C$4:$C$1502,0),-1))),"")</f>
        <v/>
      </c>
    </row>
    <row r="242" spans="2:4" x14ac:dyDescent="0.25">
      <c r="B242" s="9"/>
      <c r="C242" s="11" t="str">
        <f>IFERROR(INDEX(Catalogo!$E$4:$E$1502,_xlfn.IFNA(MATCH(B242,Catalogo!$C$4:$C$1502,0),-1)),"")</f>
        <v/>
      </c>
      <c r="D242" s="12" t="str">
        <f>IFERROR(_xlfn.CONCAT(INDEX(Catalogo!$G$4:$G$1502,_xlfn.IFNA(MATCH(B242,Catalogo!$C$4:$C$1502,0),-1)),"-",INDEX(Catalogo!$H$4:$H$1502,_xlfn.IFNA(MATCH(B242,Catalogo!$C$4:$C$1502,0),-1))),"")</f>
        <v/>
      </c>
    </row>
    <row r="243" spans="2:4" x14ac:dyDescent="0.25">
      <c r="B243" s="9"/>
      <c r="C243" s="11" t="str">
        <f>IFERROR(INDEX(Catalogo!$E$4:$E$1502,_xlfn.IFNA(MATCH(B243,Catalogo!$C$4:$C$1502,0),-1)),"")</f>
        <v/>
      </c>
      <c r="D243" s="12" t="str">
        <f>IFERROR(_xlfn.CONCAT(INDEX(Catalogo!$G$4:$G$1502,_xlfn.IFNA(MATCH(B243,Catalogo!$C$4:$C$1502,0),-1)),"-",INDEX(Catalogo!$H$4:$H$1502,_xlfn.IFNA(MATCH(B243,Catalogo!$C$4:$C$1502,0),-1))),"")</f>
        <v/>
      </c>
    </row>
    <row r="244" spans="2:4" x14ac:dyDescent="0.25">
      <c r="B244" s="9"/>
      <c r="C244" s="11" t="str">
        <f>IFERROR(INDEX(Catalogo!$E$4:$E$1502,_xlfn.IFNA(MATCH(B244,Catalogo!$C$4:$C$1502,0),-1)),"")</f>
        <v/>
      </c>
      <c r="D244" s="12" t="str">
        <f>IFERROR(_xlfn.CONCAT(INDEX(Catalogo!$G$4:$G$1502,_xlfn.IFNA(MATCH(B244,Catalogo!$C$4:$C$1502,0),-1)),"-",INDEX(Catalogo!$H$4:$H$1502,_xlfn.IFNA(MATCH(B244,Catalogo!$C$4:$C$1502,0),-1))),"")</f>
        <v/>
      </c>
    </row>
    <row r="245" spans="2:4" x14ac:dyDescent="0.25">
      <c r="B245" s="9"/>
      <c r="C245" s="11" t="str">
        <f>IFERROR(INDEX(Catalogo!$E$4:$E$1502,_xlfn.IFNA(MATCH(B245,Catalogo!$C$4:$C$1502,0),-1)),"")</f>
        <v/>
      </c>
      <c r="D245" s="12" t="str">
        <f>IFERROR(_xlfn.CONCAT(INDEX(Catalogo!$G$4:$G$1502,_xlfn.IFNA(MATCH(B245,Catalogo!$C$4:$C$1502,0),-1)),"-",INDEX(Catalogo!$H$4:$H$1502,_xlfn.IFNA(MATCH(B245,Catalogo!$C$4:$C$1502,0),-1))),"")</f>
        <v/>
      </c>
    </row>
    <row r="246" spans="2:4" x14ac:dyDescent="0.25">
      <c r="B246" s="9"/>
      <c r="C246" s="11" t="str">
        <f>IFERROR(INDEX(Catalogo!$E$4:$E$1502,_xlfn.IFNA(MATCH(B246,Catalogo!$C$4:$C$1502,0),-1)),"")</f>
        <v/>
      </c>
      <c r="D246" s="12" t="str">
        <f>IFERROR(_xlfn.CONCAT(INDEX(Catalogo!$G$4:$G$1502,_xlfn.IFNA(MATCH(B246,Catalogo!$C$4:$C$1502,0),-1)),"-",INDEX(Catalogo!$H$4:$H$1502,_xlfn.IFNA(MATCH(B246,Catalogo!$C$4:$C$1502,0),-1))),"")</f>
        <v/>
      </c>
    </row>
    <row r="247" spans="2:4" x14ac:dyDescent="0.25">
      <c r="B247" s="16"/>
      <c r="C247" s="11" t="str">
        <f>IFERROR(INDEX(Catalogo!$E$4:$E$1502,_xlfn.IFNA(MATCH(B247,Catalogo!$C$4:$C$1502,0),-1)),"")</f>
        <v/>
      </c>
      <c r="D247" s="12" t="str">
        <f>IFERROR(_xlfn.CONCAT(INDEX(Catalogo!$G$4:$G$1502,_xlfn.IFNA(MATCH(B247,Catalogo!$C$4:$C$1502,0),-1)),"-",INDEX(Catalogo!$H$4:$H$1502,_xlfn.IFNA(MATCH(B247,Catalogo!$C$4:$C$1502,0),-1))),"")</f>
        <v/>
      </c>
    </row>
    <row r="248" spans="2:4" x14ac:dyDescent="0.25">
      <c r="B248" s="9"/>
      <c r="C248" s="11" t="str">
        <f>IFERROR(INDEX(Catalogo!$E$4:$E$1502,_xlfn.IFNA(MATCH(B248,Catalogo!$C$4:$C$1502,0),-1)),"")</f>
        <v/>
      </c>
      <c r="D248" s="12" t="str">
        <f>IFERROR(_xlfn.CONCAT(INDEX(Catalogo!$G$4:$G$1502,_xlfn.IFNA(MATCH(B248,Catalogo!$C$4:$C$1502,0),-1)),"-",INDEX(Catalogo!$H$4:$H$1502,_xlfn.IFNA(MATCH(B248,Catalogo!$C$4:$C$1502,0),-1))),"")</f>
        <v/>
      </c>
    </row>
    <row r="249" spans="2:4" x14ac:dyDescent="0.25">
      <c r="B249" s="17"/>
      <c r="C249" s="11" t="str">
        <f>IFERROR(INDEX(Catalogo!$E$4:$E$1502,_xlfn.IFNA(MATCH(B249,Catalogo!$C$4:$C$1502,0),-1)),"")</f>
        <v/>
      </c>
      <c r="D249" s="12" t="str">
        <f>IFERROR(_xlfn.CONCAT(INDEX(Catalogo!$G$4:$G$1502,_xlfn.IFNA(MATCH(B249,Catalogo!$C$4:$C$1502,0),-1)),"-",INDEX(Catalogo!$H$4:$H$1502,_xlfn.IFNA(MATCH(B249,Catalogo!$C$4:$C$1502,0),-1))),"")</f>
        <v/>
      </c>
    </row>
    <row r="250" spans="2:4" x14ac:dyDescent="0.25">
      <c r="B250" s="9"/>
      <c r="C250" s="11" t="str">
        <f>IFERROR(INDEX(Catalogo!$E$4:$E$1502,_xlfn.IFNA(MATCH(B250,Catalogo!$C$4:$C$1502,0),-1)),"")</f>
        <v/>
      </c>
      <c r="D250" s="12" t="str">
        <f>IFERROR(_xlfn.CONCAT(INDEX(Catalogo!$G$4:$G$1502,_xlfn.IFNA(MATCH(B250,Catalogo!$C$4:$C$1502,0),-1)),"-",INDEX(Catalogo!$H$4:$H$1502,_xlfn.IFNA(MATCH(B250,Catalogo!$C$4:$C$1502,0),-1))),"")</f>
        <v/>
      </c>
    </row>
    <row r="251" spans="2:4" x14ac:dyDescent="0.25">
      <c r="B251" s="9"/>
      <c r="C251" s="11" t="str">
        <f>IFERROR(INDEX(Catalogo!$E$4:$E$1502,_xlfn.IFNA(MATCH(B251,Catalogo!$C$4:$C$1502,0),-1)),"")</f>
        <v/>
      </c>
      <c r="D251" s="12" t="str">
        <f>IFERROR(_xlfn.CONCAT(INDEX(Catalogo!$G$4:$G$1502,_xlfn.IFNA(MATCH(B251,Catalogo!$C$4:$C$1502,0),-1)),"-",INDEX(Catalogo!$H$4:$H$1502,_xlfn.IFNA(MATCH(B251,Catalogo!$C$4:$C$1502,0),-1))),"")</f>
        <v/>
      </c>
    </row>
    <row r="252" spans="2:4" x14ac:dyDescent="0.25">
      <c r="B252" s="9"/>
      <c r="C252" s="11" t="str">
        <f>IFERROR(INDEX(Catalogo!$E$4:$E$1502,_xlfn.IFNA(MATCH(B252,Catalogo!$C$4:$C$1502,0),-1)),"")</f>
        <v/>
      </c>
      <c r="D252" s="12" t="str">
        <f>IFERROR(_xlfn.CONCAT(INDEX(Catalogo!$G$4:$G$1502,_xlfn.IFNA(MATCH(B252,Catalogo!$C$4:$C$1502,0),-1)),"-",INDEX(Catalogo!$H$4:$H$1502,_xlfn.IFNA(MATCH(B252,Catalogo!$C$4:$C$1502,0),-1))),"")</f>
        <v/>
      </c>
    </row>
    <row r="253" spans="2:4" x14ac:dyDescent="0.25">
      <c r="B253" s="8"/>
      <c r="C253" s="11" t="str">
        <f>IFERROR(INDEX(Catalogo!$E$4:$E$1502,_xlfn.IFNA(MATCH(B253,Catalogo!$C$4:$C$1502,0),-1)),"")</f>
        <v/>
      </c>
      <c r="D253" s="12" t="str">
        <f>IFERROR(_xlfn.CONCAT(INDEX(Catalogo!$G$4:$G$1502,_xlfn.IFNA(MATCH(B253,Catalogo!$C$4:$C$1502,0),-1)),"-",INDEX(Catalogo!$H$4:$H$1502,_xlfn.IFNA(MATCH(B253,Catalogo!$C$4:$C$1502,0),-1))),"")</f>
        <v/>
      </c>
    </row>
    <row r="254" spans="2:4" x14ac:dyDescent="0.25">
      <c r="B254" s="9"/>
      <c r="C254" s="11" t="str">
        <f>IFERROR(INDEX(Catalogo!$E$4:$E$1502,_xlfn.IFNA(MATCH(B254,Catalogo!$C$4:$C$1502,0),-1)),"")</f>
        <v/>
      </c>
      <c r="D254" s="12" t="str">
        <f>IFERROR(_xlfn.CONCAT(INDEX(Catalogo!$G$4:$G$1502,_xlfn.IFNA(MATCH(B254,Catalogo!$C$4:$C$1502,0),-1)),"-",INDEX(Catalogo!$H$4:$H$1502,_xlfn.IFNA(MATCH(B254,Catalogo!$C$4:$C$1502,0),-1))),"")</f>
        <v/>
      </c>
    </row>
    <row r="255" spans="2:4" x14ac:dyDescent="0.25">
      <c r="B255" s="9"/>
      <c r="C255" s="11" t="str">
        <f>IFERROR(INDEX(Catalogo!$E$4:$E$1502,_xlfn.IFNA(MATCH(B255,Catalogo!$C$4:$C$1502,0),-1)),"")</f>
        <v/>
      </c>
      <c r="D255" s="12" t="str">
        <f>IFERROR(_xlfn.CONCAT(INDEX(Catalogo!$G$4:$G$1502,_xlfn.IFNA(MATCH(B255,Catalogo!$C$4:$C$1502,0),-1)),"-",INDEX(Catalogo!$H$4:$H$1502,_xlfn.IFNA(MATCH(B255,Catalogo!$C$4:$C$1502,0),-1))),"")</f>
        <v/>
      </c>
    </row>
    <row r="256" spans="2:4" x14ac:dyDescent="0.25">
      <c r="B256" s="9"/>
      <c r="C256" s="11" t="str">
        <f>IFERROR(INDEX(Catalogo!$E$4:$E$1502,_xlfn.IFNA(MATCH(B256,Catalogo!$C$4:$C$1502,0),-1)),"")</f>
        <v/>
      </c>
      <c r="D256" s="12" t="str">
        <f>IFERROR(_xlfn.CONCAT(INDEX(Catalogo!$G$4:$G$1502,_xlfn.IFNA(MATCH(B256,Catalogo!$C$4:$C$1502,0),-1)),"-",INDEX(Catalogo!$H$4:$H$1502,_xlfn.IFNA(MATCH(B256,Catalogo!$C$4:$C$1502,0),-1))),"")</f>
        <v/>
      </c>
    </row>
    <row r="257" spans="2:4" x14ac:dyDescent="0.25">
      <c r="B257" s="9"/>
      <c r="C257" s="11" t="str">
        <f>IFERROR(INDEX(Catalogo!$E$4:$E$1502,_xlfn.IFNA(MATCH(B257,Catalogo!$C$4:$C$1502,0),-1)),"")</f>
        <v/>
      </c>
      <c r="D257" s="12" t="str">
        <f>IFERROR(_xlfn.CONCAT(INDEX(Catalogo!$G$4:$G$1502,_xlfn.IFNA(MATCH(B257,Catalogo!$C$4:$C$1502,0),-1)),"-",INDEX(Catalogo!$H$4:$H$1502,_xlfn.IFNA(MATCH(B257,Catalogo!$C$4:$C$1502,0),-1))),"")</f>
        <v/>
      </c>
    </row>
    <row r="258" spans="2:4" x14ac:dyDescent="0.25">
      <c r="B258" s="9"/>
      <c r="C258" s="11" t="str">
        <f>IFERROR(INDEX(Catalogo!$E$4:$E$1502,_xlfn.IFNA(MATCH(B258,Catalogo!$C$4:$C$1502,0),-1)),"")</f>
        <v/>
      </c>
      <c r="D258" s="12" t="str">
        <f>IFERROR(_xlfn.CONCAT(INDEX(Catalogo!$G$4:$G$1502,_xlfn.IFNA(MATCH(B258,Catalogo!$C$4:$C$1502,0),-1)),"-",INDEX(Catalogo!$H$4:$H$1502,_xlfn.IFNA(MATCH(B258,Catalogo!$C$4:$C$1502,0),-1))),"")</f>
        <v/>
      </c>
    </row>
    <row r="259" spans="2:4" x14ac:dyDescent="0.25">
      <c r="B259" s="9"/>
      <c r="C259" s="11" t="str">
        <f>IFERROR(INDEX(Catalogo!$E$4:$E$1502,_xlfn.IFNA(MATCH(B259,Catalogo!$C$4:$C$1502,0),-1)),"")</f>
        <v/>
      </c>
      <c r="D259" s="12" t="str">
        <f>IFERROR(_xlfn.CONCAT(INDEX(Catalogo!$G$4:$G$1502,_xlfn.IFNA(MATCH(B259,Catalogo!$C$4:$C$1502,0),-1)),"-",INDEX(Catalogo!$H$4:$H$1502,_xlfn.IFNA(MATCH(B259,Catalogo!$C$4:$C$1502,0),-1))),"")</f>
        <v/>
      </c>
    </row>
    <row r="260" spans="2:4" x14ac:dyDescent="0.25">
      <c r="B260" s="9"/>
      <c r="C260" s="11" t="str">
        <f>IFERROR(INDEX(Catalogo!$E$4:$E$1502,_xlfn.IFNA(MATCH(B260,Catalogo!$C$4:$C$1502,0),-1)),"")</f>
        <v/>
      </c>
      <c r="D260" s="12" t="str">
        <f>IFERROR(_xlfn.CONCAT(INDEX(Catalogo!$G$4:$G$1502,_xlfn.IFNA(MATCH(B260,Catalogo!$C$4:$C$1502,0),-1)),"-",INDEX(Catalogo!$H$4:$H$1502,_xlfn.IFNA(MATCH(B260,Catalogo!$C$4:$C$1502,0),-1))),"")</f>
        <v/>
      </c>
    </row>
    <row r="261" spans="2:4" x14ac:dyDescent="0.25">
      <c r="B261" s="8"/>
      <c r="C261" s="11" t="str">
        <f>IFERROR(INDEX(Catalogo!$E$4:$E$1502,_xlfn.IFNA(MATCH(B261,Catalogo!$C$4:$C$1502,0),-1)),"")</f>
        <v/>
      </c>
      <c r="D261" s="12" t="str">
        <f>IFERROR(_xlfn.CONCAT(INDEX(Catalogo!$G$4:$G$1502,_xlfn.IFNA(MATCH(B261,Catalogo!$C$4:$C$1502,0),-1)),"-",INDEX(Catalogo!$H$4:$H$1502,_xlfn.IFNA(MATCH(B261,Catalogo!$C$4:$C$1502,0),-1))),"")</f>
        <v/>
      </c>
    </row>
    <row r="262" spans="2:4" x14ac:dyDescent="0.25">
      <c r="B262" s="9"/>
      <c r="C262" s="11" t="str">
        <f>IFERROR(INDEX(Catalogo!$E$4:$E$1502,_xlfn.IFNA(MATCH(B262,Catalogo!$C$4:$C$1502,0),-1)),"")</f>
        <v/>
      </c>
      <c r="D262" s="12" t="str">
        <f>IFERROR(_xlfn.CONCAT(INDEX(Catalogo!$G$4:$G$1502,_xlfn.IFNA(MATCH(B262,Catalogo!$C$4:$C$1502,0),-1)),"-",INDEX(Catalogo!$H$4:$H$1502,_xlfn.IFNA(MATCH(B262,Catalogo!$C$4:$C$1502,0),-1))),"")</f>
        <v/>
      </c>
    </row>
    <row r="263" spans="2:4" x14ac:dyDescent="0.25">
      <c r="B263" s="9"/>
      <c r="C263" s="11" t="str">
        <f>IFERROR(INDEX(Catalogo!$E$4:$E$1502,_xlfn.IFNA(MATCH(B263,Catalogo!$C$4:$C$1502,0),-1)),"")</f>
        <v/>
      </c>
      <c r="D263" s="12" t="str">
        <f>IFERROR(_xlfn.CONCAT(INDEX(Catalogo!$G$4:$G$1502,_xlfn.IFNA(MATCH(B263,Catalogo!$C$4:$C$1502,0),-1)),"-",INDEX(Catalogo!$H$4:$H$1502,_xlfn.IFNA(MATCH(B263,Catalogo!$C$4:$C$1502,0),-1))),"")</f>
        <v/>
      </c>
    </row>
    <row r="264" spans="2:4" x14ac:dyDescent="0.25">
      <c r="B264" s="9"/>
      <c r="C264" s="11" t="str">
        <f>IFERROR(INDEX(Catalogo!$E$4:$E$1502,_xlfn.IFNA(MATCH(B264,Catalogo!$C$4:$C$1502,0),-1)),"")</f>
        <v/>
      </c>
      <c r="D264" s="12" t="str">
        <f>IFERROR(_xlfn.CONCAT(INDEX(Catalogo!$G$4:$G$1502,_xlfn.IFNA(MATCH(B264,Catalogo!$C$4:$C$1502,0),-1)),"-",INDEX(Catalogo!$H$4:$H$1502,_xlfn.IFNA(MATCH(B264,Catalogo!$C$4:$C$1502,0),-1))),"")</f>
        <v/>
      </c>
    </row>
    <row r="265" spans="2:4" x14ac:dyDescent="0.25">
      <c r="B265" s="9"/>
      <c r="C265" s="11"/>
      <c r="D265" s="12"/>
    </row>
    <row r="266" spans="2:4" x14ac:dyDescent="0.25">
      <c r="B266" s="9"/>
      <c r="C266" s="11"/>
      <c r="D266" s="12"/>
    </row>
    <row r="267" spans="2:4" x14ac:dyDescent="0.25">
      <c r="B267" s="9"/>
      <c r="C267" s="11"/>
      <c r="D267" s="12"/>
    </row>
    <row r="268" spans="2:4" x14ac:dyDescent="0.25">
      <c r="B268" s="9"/>
      <c r="C268" s="11"/>
      <c r="D268" s="12"/>
    </row>
    <row r="269" spans="2:4" x14ac:dyDescent="0.25">
      <c r="B269" s="9"/>
      <c r="C269" s="11"/>
      <c r="D269" s="12"/>
    </row>
    <row r="270" spans="2:4" x14ac:dyDescent="0.25">
      <c r="B270" s="9"/>
      <c r="C270" s="11"/>
      <c r="D270" s="12"/>
    </row>
    <row r="271" spans="2:4" x14ac:dyDescent="0.25">
      <c r="B271" s="8"/>
      <c r="C271" s="11"/>
      <c r="D271" s="12"/>
    </row>
    <row r="272" spans="2:4" x14ac:dyDescent="0.25">
      <c r="B272" s="8"/>
      <c r="C272" s="11"/>
      <c r="D272" s="12"/>
    </row>
    <row r="273" spans="2:4" x14ac:dyDescent="0.25">
      <c r="B273" s="9"/>
      <c r="C273" s="11"/>
      <c r="D273" s="12"/>
    </row>
    <row r="274" spans="2:4" x14ac:dyDescent="0.25">
      <c r="B274" s="9"/>
      <c r="C274" s="11"/>
      <c r="D274" s="12"/>
    </row>
    <row r="275" spans="2:4" x14ac:dyDescent="0.25">
      <c r="B275" s="9"/>
      <c r="C275" s="11"/>
      <c r="D275" s="12"/>
    </row>
    <row r="276" spans="2:4" x14ac:dyDescent="0.25">
      <c r="B276" s="9"/>
      <c r="C276" s="11"/>
      <c r="D276" s="12"/>
    </row>
    <row r="277" spans="2:4" x14ac:dyDescent="0.25">
      <c r="B277" s="9"/>
      <c r="C277" s="11"/>
      <c r="D277" s="12"/>
    </row>
    <row r="278" spans="2:4" x14ac:dyDescent="0.25">
      <c r="B278" s="9"/>
      <c r="C278" s="11"/>
      <c r="D278" s="12"/>
    </row>
    <row r="279" spans="2:4" x14ac:dyDescent="0.25">
      <c r="B279" s="8"/>
      <c r="C279" s="11"/>
      <c r="D279" s="12"/>
    </row>
    <row r="280" spans="2:4" x14ac:dyDescent="0.25">
      <c r="B280" s="9"/>
      <c r="C280" s="11"/>
      <c r="D280" s="12"/>
    </row>
    <row r="281" spans="2:4" x14ac:dyDescent="0.25">
      <c r="B281" s="9"/>
      <c r="C281" s="11"/>
      <c r="D281" s="12"/>
    </row>
    <row r="282" spans="2:4" x14ac:dyDescent="0.25">
      <c r="B282" s="8"/>
      <c r="C282" s="11"/>
      <c r="D282" s="12"/>
    </row>
    <row r="283" spans="2:4" x14ac:dyDescent="0.25">
      <c r="B283" s="9"/>
      <c r="C283" s="11"/>
      <c r="D283" s="12"/>
    </row>
    <row r="284" spans="2:4" x14ac:dyDescent="0.25">
      <c r="B284" s="9"/>
      <c r="C284" s="11"/>
      <c r="D284" s="12"/>
    </row>
    <row r="285" spans="2:4" x14ac:dyDescent="0.25">
      <c r="B285" s="9"/>
      <c r="C285" s="11"/>
      <c r="D285" s="12"/>
    </row>
    <row r="286" spans="2:4" x14ac:dyDescent="0.25">
      <c r="B286" s="9"/>
      <c r="C286" s="11"/>
      <c r="D286" s="12"/>
    </row>
    <row r="287" spans="2:4" x14ac:dyDescent="0.25">
      <c r="B287" s="9"/>
      <c r="C287" s="11"/>
      <c r="D287" s="12"/>
    </row>
    <row r="288" spans="2:4" x14ac:dyDescent="0.25">
      <c r="B288" s="9"/>
      <c r="C288" s="11"/>
      <c r="D288" s="12"/>
    </row>
    <row r="289" spans="2:4" x14ac:dyDescent="0.25">
      <c r="B289" s="9"/>
      <c r="C289" s="11"/>
      <c r="D289" s="12"/>
    </row>
    <row r="290" spans="2:4" x14ac:dyDescent="0.25">
      <c r="B290" s="9"/>
      <c r="C290" s="11"/>
      <c r="D290" s="12"/>
    </row>
    <row r="291" spans="2:4" x14ac:dyDescent="0.25">
      <c r="B291" s="9"/>
      <c r="C291" s="11"/>
      <c r="D291" s="12"/>
    </row>
    <row r="292" spans="2:4" x14ac:dyDescent="0.25">
      <c r="B292" s="9"/>
      <c r="C292" s="11"/>
      <c r="D292" s="12"/>
    </row>
    <row r="293" spans="2:4" x14ac:dyDescent="0.25">
      <c r="B293" s="9"/>
      <c r="C293" s="11"/>
      <c r="D293" s="12"/>
    </row>
    <row r="294" spans="2:4" x14ac:dyDescent="0.25">
      <c r="B294" s="18"/>
      <c r="C294" s="11"/>
      <c r="D294" s="12"/>
    </row>
    <row r="295" spans="2:4" x14ac:dyDescent="0.25">
      <c r="B295" s="9"/>
      <c r="C295" s="11"/>
      <c r="D295" s="12"/>
    </row>
    <row r="296" spans="2:4" x14ac:dyDescent="0.25">
      <c r="B296" s="9"/>
      <c r="C296" s="11"/>
      <c r="D296" s="12"/>
    </row>
    <row r="297" spans="2:4" x14ac:dyDescent="0.25">
      <c r="B297" s="9"/>
      <c r="C297" s="11"/>
      <c r="D297" s="12"/>
    </row>
    <row r="298" spans="2:4" x14ac:dyDescent="0.25">
      <c r="B298" s="9"/>
      <c r="C298" s="11"/>
      <c r="D298" s="12"/>
    </row>
    <row r="299" spans="2:4" x14ac:dyDescent="0.25">
      <c r="B299" s="9"/>
      <c r="C299" s="11"/>
      <c r="D299" s="12"/>
    </row>
    <row r="300" spans="2:4" x14ac:dyDescent="0.25">
      <c r="B300" s="9"/>
      <c r="C300" s="11"/>
      <c r="D300" s="12"/>
    </row>
    <row r="301" spans="2:4" x14ac:dyDescent="0.25">
      <c r="B301" s="9"/>
      <c r="C301" s="11"/>
      <c r="D301" s="12"/>
    </row>
    <row r="302" spans="2:4" x14ac:dyDescent="0.25">
      <c r="B302" s="9"/>
      <c r="C302" s="11"/>
      <c r="D302" s="12"/>
    </row>
    <row r="303" spans="2:4" x14ac:dyDescent="0.25">
      <c r="B303" s="9"/>
      <c r="C303" s="11"/>
      <c r="D303" s="12"/>
    </row>
    <row r="304" spans="2:4" x14ac:dyDescent="0.25">
      <c r="B304" s="9"/>
      <c r="C304" s="11"/>
      <c r="D304" s="12"/>
    </row>
    <row r="305" spans="2:4" x14ac:dyDescent="0.25">
      <c r="B305" s="17"/>
      <c r="C305" s="11"/>
      <c r="D305" s="12"/>
    </row>
    <row r="306" spans="2:4" x14ac:dyDescent="0.25">
      <c r="B306" s="9"/>
      <c r="C306" s="11"/>
      <c r="D306" s="12"/>
    </row>
    <row r="307" spans="2:4" x14ac:dyDescent="0.25">
      <c r="B307" s="17"/>
      <c r="C307" s="11"/>
      <c r="D307" s="12"/>
    </row>
    <row r="308" spans="2:4" x14ac:dyDescent="0.25">
      <c r="B308" s="8"/>
      <c r="C308" s="11"/>
      <c r="D308" s="12"/>
    </row>
    <row r="309" spans="2:4" x14ac:dyDescent="0.25">
      <c r="B309" s="9"/>
      <c r="C309" s="11"/>
      <c r="D309" s="12"/>
    </row>
    <row r="310" spans="2:4" x14ac:dyDescent="0.25">
      <c r="B310" s="9"/>
      <c r="C310" s="11"/>
      <c r="D310" s="12"/>
    </row>
    <row r="311" spans="2:4" x14ac:dyDescent="0.25">
      <c r="B311" s="9"/>
      <c r="C311" s="11"/>
      <c r="D311" s="12"/>
    </row>
    <row r="312" spans="2:4" x14ac:dyDescent="0.25">
      <c r="B312" s="9"/>
      <c r="C312" s="11"/>
      <c r="D312" s="12"/>
    </row>
    <row r="313" spans="2:4" x14ac:dyDescent="0.25">
      <c r="B313" s="18"/>
      <c r="C313" s="11"/>
      <c r="D313" s="12"/>
    </row>
    <row r="314" spans="2:4" x14ac:dyDescent="0.25">
      <c r="B314" s="9"/>
      <c r="C314" s="11"/>
      <c r="D314" s="12"/>
    </row>
    <row r="315" spans="2:4" x14ac:dyDescent="0.25">
      <c r="B315" s="8"/>
      <c r="C315" s="11"/>
      <c r="D315" s="12"/>
    </row>
    <row r="316" spans="2:4" x14ac:dyDescent="0.25">
      <c r="B316" s="9"/>
      <c r="C316" s="11"/>
      <c r="D316" s="12"/>
    </row>
    <row r="317" spans="2:4" x14ac:dyDescent="0.25">
      <c r="B317" s="9"/>
      <c r="C317" s="11"/>
      <c r="D317" s="12"/>
    </row>
    <row r="318" spans="2:4" x14ac:dyDescent="0.25">
      <c r="B318" s="17"/>
      <c r="C318" s="11"/>
      <c r="D318" s="12"/>
    </row>
    <row r="319" spans="2:4" x14ac:dyDescent="0.25">
      <c r="B319" s="8"/>
      <c r="C319" s="11"/>
      <c r="D319" s="12"/>
    </row>
    <row r="320" spans="2:4" x14ac:dyDescent="0.25">
      <c r="B320" s="9"/>
      <c r="C320" s="11"/>
      <c r="D320" s="12"/>
    </row>
    <row r="321" spans="2:4" x14ac:dyDescent="0.25">
      <c r="B321" s="8"/>
      <c r="C321" s="11"/>
      <c r="D321" s="12"/>
    </row>
    <row r="322" spans="2:4" x14ac:dyDescent="0.25">
      <c r="B322" s="17"/>
      <c r="C322" s="11"/>
      <c r="D322" s="12"/>
    </row>
    <row r="323" spans="2:4" x14ac:dyDescent="0.25">
      <c r="B323" s="9"/>
      <c r="C323" s="11"/>
      <c r="D323" s="12"/>
    </row>
    <row r="324" spans="2:4" x14ac:dyDescent="0.25">
      <c r="B324" s="18"/>
      <c r="C324" s="11"/>
      <c r="D324" s="12"/>
    </row>
    <row r="325" spans="2:4" x14ac:dyDescent="0.25">
      <c r="B325" s="9"/>
      <c r="C325" s="11"/>
      <c r="D325" s="12"/>
    </row>
    <row r="326" spans="2:4" x14ac:dyDescent="0.25">
      <c r="B326" s="9"/>
      <c r="C326" s="11"/>
      <c r="D326" s="12"/>
    </row>
    <row r="327" spans="2:4" x14ac:dyDescent="0.25">
      <c r="B327" s="17"/>
      <c r="C327" s="11"/>
      <c r="D327" s="12"/>
    </row>
    <row r="328" spans="2:4" x14ac:dyDescent="0.25">
      <c r="B328" s="9"/>
      <c r="C328" s="11"/>
      <c r="D328" s="12"/>
    </row>
    <row r="329" spans="2:4" x14ac:dyDescent="0.25">
      <c r="B329" s="9"/>
      <c r="C329" s="11"/>
      <c r="D329" s="12"/>
    </row>
    <row r="330" spans="2:4" x14ac:dyDescent="0.25">
      <c r="B330" s="9"/>
      <c r="C330" s="11"/>
      <c r="D330" s="12"/>
    </row>
    <row r="331" spans="2:4" x14ac:dyDescent="0.25">
      <c r="B331" s="9"/>
      <c r="C331" s="11"/>
      <c r="D331" s="12"/>
    </row>
    <row r="332" spans="2:4" x14ac:dyDescent="0.25">
      <c r="B332" s="17"/>
      <c r="C332" s="11"/>
      <c r="D332" s="12"/>
    </row>
    <row r="333" spans="2:4" x14ac:dyDescent="0.25">
      <c r="B333" s="9"/>
      <c r="C333" s="11"/>
      <c r="D333" s="12"/>
    </row>
    <row r="334" spans="2:4" x14ac:dyDescent="0.25">
      <c r="B334" s="9"/>
      <c r="C334" s="11"/>
      <c r="D334" s="12"/>
    </row>
    <row r="335" spans="2:4" x14ac:dyDescent="0.25">
      <c r="B335" s="8"/>
      <c r="C335" s="11"/>
      <c r="D335" s="12"/>
    </row>
    <row r="336" spans="2:4" x14ac:dyDescent="0.25">
      <c r="B336" s="9"/>
      <c r="C336" s="11"/>
      <c r="D336" s="12"/>
    </row>
    <row r="337" spans="2:4" x14ac:dyDescent="0.25">
      <c r="B337" s="9"/>
      <c r="C337" s="11"/>
      <c r="D337" s="12"/>
    </row>
    <row r="338" spans="2:4" x14ac:dyDescent="0.25">
      <c r="B338" s="17"/>
      <c r="C338" s="11"/>
      <c r="D338" s="12"/>
    </row>
    <row r="339" spans="2:4" x14ac:dyDescent="0.25">
      <c r="B339" s="9"/>
      <c r="C339" s="11"/>
      <c r="D339" s="12"/>
    </row>
    <row r="340" spans="2:4" x14ac:dyDescent="0.25">
      <c r="B340" s="17"/>
      <c r="C340" s="11"/>
      <c r="D340" s="12"/>
    </row>
    <row r="341" spans="2:4" x14ac:dyDescent="0.25">
      <c r="B341" s="9"/>
      <c r="C341" s="11"/>
      <c r="D341" s="12"/>
    </row>
    <row r="342" spans="2:4" x14ac:dyDescent="0.25">
      <c r="B342" s="17"/>
      <c r="C342" s="11"/>
      <c r="D342" s="12"/>
    </row>
    <row r="343" spans="2:4" x14ac:dyDescent="0.25">
      <c r="B343" s="8"/>
      <c r="C343" s="11"/>
      <c r="D343" s="12"/>
    </row>
    <row r="344" spans="2:4" x14ac:dyDescent="0.25">
      <c r="B344" s="9"/>
      <c r="C344" s="11"/>
      <c r="D344" s="12"/>
    </row>
    <row r="345" spans="2:4" x14ac:dyDescent="0.25">
      <c r="B345" s="9"/>
      <c r="C345" s="11"/>
      <c r="D345" s="12"/>
    </row>
    <row r="346" spans="2:4" x14ac:dyDescent="0.25">
      <c r="B346" s="9"/>
      <c r="C346" s="11"/>
      <c r="D346" s="12"/>
    </row>
    <row r="347" spans="2:4" x14ac:dyDescent="0.25">
      <c r="B347" s="8"/>
      <c r="C347" s="11"/>
      <c r="D347" s="12"/>
    </row>
    <row r="348" spans="2:4" x14ac:dyDescent="0.25">
      <c r="B348" s="9"/>
      <c r="C348" s="11"/>
      <c r="D348" s="12"/>
    </row>
    <row r="349" spans="2:4" x14ac:dyDescent="0.25">
      <c r="B349" s="10"/>
      <c r="C349" s="11"/>
      <c r="D349" s="12"/>
    </row>
    <row r="350" spans="2:4" x14ac:dyDescent="0.25">
      <c r="B350" s="9"/>
      <c r="C350" s="11"/>
      <c r="D350" s="12"/>
    </row>
    <row r="351" spans="2:4" x14ac:dyDescent="0.25">
      <c r="B351" s="17"/>
      <c r="C351" s="11"/>
      <c r="D351" s="12"/>
    </row>
    <row r="352" spans="2:4" x14ac:dyDescent="0.25">
      <c r="B352" s="18"/>
      <c r="C352" s="11"/>
      <c r="D352" s="12"/>
    </row>
    <row r="353" spans="2:4" x14ac:dyDescent="0.25">
      <c r="B353" s="17"/>
      <c r="C353" s="11"/>
      <c r="D353" s="12"/>
    </row>
    <row r="354" spans="2:4" x14ac:dyDescent="0.25">
      <c r="B354" s="9"/>
      <c r="C354" s="11"/>
      <c r="D354" s="12"/>
    </row>
    <row r="355" spans="2:4" x14ac:dyDescent="0.25">
      <c r="B355" s="17"/>
      <c r="C355" s="11"/>
      <c r="D355" s="12"/>
    </row>
    <row r="356" spans="2:4" x14ac:dyDescent="0.25">
      <c r="B356" s="9"/>
      <c r="C356" s="11"/>
      <c r="D356" s="12"/>
    </row>
    <row r="357" spans="2:4" x14ac:dyDescent="0.25">
      <c r="B357" s="9"/>
      <c r="C357" s="11"/>
      <c r="D357" s="12"/>
    </row>
    <row r="358" spans="2:4" x14ac:dyDescent="0.25">
      <c r="B358" s="9"/>
      <c r="C358" s="11"/>
      <c r="D358" s="12"/>
    </row>
    <row r="359" spans="2:4" x14ac:dyDescent="0.25">
      <c r="B359" s="9"/>
      <c r="C359" s="11"/>
      <c r="D359" s="12"/>
    </row>
    <row r="360" spans="2:4" x14ac:dyDescent="0.25">
      <c r="B360" s="9"/>
      <c r="C360" s="11"/>
      <c r="D360" s="12"/>
    </row>
    <row r="361" spans="2:4" x14ac:dyDescent="0.25">
      <c r="B361" s="9"/>
      <c r="C361" s="11"/>
      <c r="D361" s="12"/>
    </row>
    <row r="362" spans="2:4" x14ac:dyDescent="0.25">
      <c r="B362" s="18"/>
      <c r="C362" s="11"/>
      <c r="D362" s="12"/>
    </row>
    <row r="363" spans="2:4" x14ac:dyDescent="0.25">
      <c r="B363" s="9"/>
      <c r="C363" s="11"/>
      <c r="D363" s="12"/>
    </row>
    <row r="364" spans="2:4" x14ac:dyDescent="0.25">
      <c r="B364" s="8"/>
      <c r="C364" s="11"/>
      <c r="D364" s="12"/>
    </row>
    <row r="365" spans="2:4" x14ac:dyDescent="0.25">
      <c r="B365" s="9"/>
      <c r="C365" s="11"/>
      <c r="D365" s="12"/>
    </row>
    <row r="366" spans="2:4" x14ac:dyDescent="0.25">
      <c r="B366" s="17"/>
      <c r="C366" s="11"/>
      <c r="D366" s="12"/>
    </row>
    <row r="367" spans="2:4" x14ac:dyDescent="0.25">
      <c r="B367" s="18"/>
      <c r="C367" s="11"/>
      <c r="D367" s="12"/>
    </row>
    <row r="368" spans="2:4" x14ac:dyDescent="0.25">
      <c r="B368" s="8"/>
      <c r="C368" s="11"/>
      <c r="D368" s="12"/>
    </row>
    <row r="369" spans="2:4" x14ac:dyDescent="0.25">
      <c r="B369" s="17"/>
      <c r="C369" s="11"/>
      <c r="D369" s="12"/>
    </row>
    <row r="370" spans="2:4" x14ac:dyDescent="0.25">
      <c r="B370" s="9"/>
      <c r="C370" s="11"/>
      <c r="D370" s="12"/>
    </row>
    <row r="371" spans="2:4" x14ac:dyDescent="0.25">
      <c r="B371" s="17"/>
      <c r="C371" s="11"/>
      <c r="D371" s="12"/>
    </row>
    <row r="372" spans="2:4" x14ac:dyDescent="0.25">
      <c r="B372" s="9"/>
      <c r="C372" s="11"/>
      <c r="D372" s="12"/>
    </row>
    <row r="373" spans="2:4" x14ac:dyDescent="0.25">
      <c r="B373" s="17"/>
      <c r="C373" s="11"/>
      <c r="D373" s="12"/>
    </row>
    <row r="374" spans="2:4" x14ac:dyDescent="0.25">
      <c r="B374" s="8"/>
      <c r="C374" s="11"/>
      <c r="D374" s="12"/>
    </row>
    <row r="375" spans="2:4" x14ac:dyDescent="0.25">
      <c r="B375" s="8"/>
      <c r="C375" s="11"/>
      <c r="D375" s="12"/>
    </row>
    <row r="376" spans="2:4" x14ac:dyDescent="0.25">
      <c r="B376" s="8"/>
      <c r="C376" s="11"/>
      <c r="D376" s="12"/>
    </row>
    <row r="377" spans="2:4" x14ac:dyDescent="0.25">
      <c r="B377" s="9"/>
      <c r="C377" s="11"/>
      <c r="D377" s="12"/>
    </row>
    <row r="378" spans="2:4" x14ac:dyDescent="0.25">
      <c r="B378" s="9"/>
      <c r="C378" s="11"/>
      <c r="D378" s="12"/>
    </row>
    <row r="379" spans="2:4" x14ac:dyDescent="0.25">
      <c r="B379" s="9"/>
      <c r="C379" s="11"/>
      <c r="D379" s="12"/>
    </row>
    <row r="380" spans="2:4" x14ac:dyDescent="0.25">
      <c r="B380" s="9"/>
      <c r="C380" s="11"/>
      <c r="D380" s="12"/>
    </row>
    <row r="381" spans="2:4" x14ac:dyDescent="0.25">
      <c r="B381" s="8"/>
      <c r="C381" s="11"/>
      <c r="D381" s="12"/>
    </row>
    <row r="382" spans="2:4" x14ac:dyDescent="0.25">
      <c r="B382" s="8"/>
      <c r="C382" s="11"/>
      <c r="D382" s="12"/>
    </row>
    <row r="383" spans="2:4" x14ac:dyDescent="0.25">
      <c r="B383" s="8"/>
      <c r="C383" s="11"/>
      <c r="D383" s="12"/>
    </row>
    <row r="384" spans="2:4" x14ac:dyDescent="0.25">
      <c r="B384" s="9"/>
      <c r="C384" s="11"/>
      <c r="D384" s="12"/>
    </row>
    <row r="385" spans="2:4" x14ac:dyDescent="0.25">
      <c r="B385" s="9"/>
      <c r="C385" s="11"/>
      <c r="D385" s="12"/>
    </row>
    <row r="386" spans="2:4" x14ac:dyDescent="0.25">
      <c r="B386" s="9"/>
      <c r="C386" s="11"/>
      <c r="D386" s="12"/>
    </row>
    <row r="387" spans="2:4" x14ac:dyDescent="0.25">
      <c r="B387" s="8"/>
      <c r="C387" s="11"/>
      <c r="D387" s="12"/>
    </row>
    <row r="388" spans="2:4" x14ac:dyDescent="0.25">
      <c r="B388" s="8"/>
      <c r="C388" s="11"/>
      <c r="D388" s="12"/>
    </row>
    <row r="389" spans="2:4" x14ac:dyDescent="0.25">
      <c r="B389" s="9"/>
      <c r="C389" s="11"/>
      <c r="D389" s="12"/>
    </row>
    <row r="390" spans="2:4" x14ac:dyDescent="0.25">
      <c r="B390" s="8"/>
      <c r="C390" s="11"/>
      <c r="D390" s="12"/>
    </row>
    <row r="391" spans="2:4" x14ac:dyDescent="0.25">
      <c r="B391" s="8"/>
      <c r="C391" s="11"/>
      <c r="D391" s="12"/>
    </row>
    <row r="392" spans="2:4" x14ac:dyDescent="0.25">
      <c r="B392" s="9"/>
      <c r="C392" s="11"/>
      <c r="D392" s="12"/>
    </row>
    <row r="393" spans="2:4" x14ac:dyDescent="0.25">
      <c r="B393" s="8"/>
      <c r="C393" s="11"/>
      <c r="D393" s="12"/>
    </row>
    <row r="394" spans="2:4" x14ac:dyDescent="0.25">
      <c r="B394" s="9"/>
      <c r="C394" s="11"/>
      <c r="D394" s="12"/>
    </row>
    <row r="395" spans="2:4" x14ac:dyDescent="0.25">
      <c r="B395" s="9"/>
      <c r="C395" s="11"/>
      <c r="D395" s="12"/>
    </row>
    <row r="396" spans="2:4" x14ac:dyDescent="0.25">
      <c r="B396" s="9"/>
      <c r="C396" s="11"/>
      <c r="D396" s="12"/>
    </row>
    <row r="397" spans="2:4" x14ac:dyDescent="0.25">
      <c r="B397" s="8"/>
      <c r="C397" s="11"/>
      <c r="D397" s="12"/>
    </row>
    <row r="398" spans="2:4" x14ac:dyDescent="0.25">
      <c r="B398" s="8"/>
      <c r="C398" s="11"/>
      <c r="D398" s="12"/>
    </row>
    <row r="399" spans="2:4" x14ac:dyDescent="0.25">
      <c r="B399" s="8"/>
      <c r="C399" s="11"/>
      <c r="D399" s="12"/>
    </row>
    <row r="400" spans="2:4" x14ac:dyDescent="0.25">
      <c r="B400" s="8"/>
      <c r="C400" s="11"/>
      <c r="D400" s="12"/>
    </row>
    <row r="401" spans="2:4" x14ac:dyDescent="0.25">
      <c r="B401" s="9"/>
      <c r="C401" s="11"/>
      <c r="D401" s="12"/>
    </row>
    <row r="402" spans="2:4" x14ac:dyDescent="0.25">
      <c r="B402" s="9"/>
      <c r="C402" s="11"/>
      <c r="D402" s="12"/>
    </row>
    <row r="403" spans="2:4" x14ac:dyDescent="0.25">
      <c r="B403" s="8"/>
      <c r="C403" s="11"/>
      <c r="D403" s="12"/>
    </row>
    <row r="404" spans="2:4" x14ac:dyDescent="0.25">
      <c r="B404" s="9"/>
      <c r="C404" s="11"/>
      <c r="D404" s="12"/>
    </row>
    <row r="405" spans="2:4" x14ac:dyDescent="0.25">
      <c r="B405" s="8"/>
      <c r="C405" s="11"/>
      <c r="D405" s="12"/>
    </row>
    <row r="406" spans="2:4" x14ac:dyDescent="0.25">
      <c r="B406" s="9"/>
      <c r="C406" s="11"/>
      <c r="D406" s="12"/>
    </row>
    <row r="407" spans="2:4" x14ac:dyDescent="0.25">
      <c r="B407" s="8"/>
      <c r="C407" s="11"/>
      <c r="D407" s="12"/>
    </row>
    <row r="408" spans="2:4" x14ac:dyDescent="0.25">
      <c r="B408" s="9"/>
      <c r="C408" s="11"/>
      <c r="D408" s="12"/>
    </row>
    <row r="409" spans="2:4" x14ac:dyDescent="0.25">
      <c r="B409" s="9"/>
      <c r="C409" s="11"/>
      <c r="D409" s="12"/>
    </row>
    <row r="410" spans="2:4" x14ac:dyDescent="0.25">
      <c r="B410" s="9"/>
      <c r="C410" s="11"/>
      <c r="D410" s="12"/>
    </row>
    <row r="411" spans="2:4" x14ac:dyDescent="0.25">
      <c r="B411" s="8"/>
      <c r="C411" s="11"/>
      <c r="D411" s="12"/>
    </row>
    <row r="412" spans="2:4" x14ac:dyDescent="0.25">
      <c r="B412" s="8"/>
      <c r="C412" s="11"/>
      <c r="D412" s="12"/>
    </row>
    <row r="413" spans="2:4" x14ac:dyDescent="0.25">
      <c r="B413" s="9"/>
      <c r="C413" s="11"/>
      <c r="D413" s="12"/>
    </row>
    <row r="414" spans="2:4" x14ac:dyDescent="0.25">
      <c r="B414" s="8"/>
      <c r="C414" s="11"/>
      <c r="D414" s="12"/>
    </row>
    <row r="415" spans="2:4" x14ac:dyDescent="0.25">
      <c r="B415" s="8"/>
      <c r="C415" s="11"/>
      <c r="D415" s="12"/>
    </row>
    <row r="416" spans="2:4" x14ac:dyDescent="0.25">
      <c r="B416" s="8"/>
      <c r="C416" s="11"/>
      <c r="D416" s="12"/>
    </row>
    <row r="417" spans="2:4" x14ac:dyDescent="0.25">
      <c r="B417" s="8"/>
      <c r="C417" s="11"/>
      <c r="D417" s="12"/>
    </row>
    <row r="418" spans="2:4" x14ac:dyDescent="0.25">
      <c r="B418" s="8"/>
      <c r="C418" s="11"/>
      <c r="D418" s="12"/>
    </row>
    <row r="419" spans="2:4" x14ac:dyDescent="0.25">
      <c r="B419" s="8"/>
      <c r="C419" s="11"/>
      <c r="D419" s="12"/>
    </row>
    <row r="420" spans="2:4" x14ac:dyDescent="0.25">
      <c r="B420" s="9"/>
      <c r="C420" s="11"/>
      <c r="D420" s="12"/>
    </row>
    <row r="421" spans="2:4" x14ac:dyDescent="0.25">
      <c r="B421" s="8"/>
      <c r="C421" s="11"/>
      <c r="D421" s="12"/>
    </row>
    <row r="422" spans="2:4" x14ac:dyDescent="0.25">
      <c r="B422" s="8"/>
      <c r="C422" s="11"/>
      <c r="D422" s="12"/>
    </row>
    <row r="423" spans="2:4" x14ac:dyDescent="0.25">
      <c r="B423" s="8"/>
      <c r="C423" s="11"/>
      <c r="D423" s="12"/>
    </row>
    <row r="424" spans="2:4" x14ac:dyDescent="0.25">
      <c r="B424" s="9"/>
      <c r="C424" s="11"/>
      <c r="D424" s="12"/>
    </row>
    <row r="425" spans="2:4" x14ac:dyDescent="0.25">
      <c r="B425" s="9"/>
      <c r="C425" s="11"/>
      <c r="D425" s="12"/>
    </row>
    <row r="426" spans="2:4" x14ac:dyDescent="0.25">
      <c r="B426" s="9"/>
      <c r="C426" s="11"/>
      <c r="D426" s="12"/>
    </row>
    <row r="427" spans="2:4" x14ac:dyDescent="0.25">
      <c r="B427" s="9"/>
      <c r="C427" s="11"/>
      <c r="D427" s="12"/>
    </row>
    <row r="428" spans="2:4" x14ac:dyDescent="0.25">
      <c r="B428" s="8"/>
      <c r="C428" s="11"/>
      <c r="D428" s="12"/>
    </row>
    <row r="429" spans="2:4" x14ac:dyDescent="0.25">
      <c r="B429" s="9"/>
      <c r="C429" s="11"/>
      <c r="D429" s="12"/>
    </row>
    <row r="430" spans="2:4" x14ac:dyDescent="0.25">
      <c r="B430" s="9"/>
      <c r="C430" s="11"/>
      <c r="D430" s="12"/>
    </row>
    <row r="431" spans="2:4" x14ac:dyDescent="0.25">
      <c r="B431" s="8"/>
      <c r="C431" s="11"/>
      <c r="D431" s="12"/>
    </row>
    <row r="432" spans="2:4" x14ac:dyDescent="0.25">
      <c r="B432" s="8"/>
      <c r="C432" s="11"/>
      <c r="D432" s="12"/>
    </row>
    <row r="433" spans="2:4" x14ac:dyDescent="0.25">
      <c r="B433" s="8"/>
      <c r="C433" s="11"/>
      <c r="D433" s="12"/>
    </row>
    <row r="434" spans="2:4" x14ac:dyDescent="0.25">
      <c r="B434" s="9"/>
      <c r="C434" s="11"/>
      <c r="D434" s="12"/>
    </row>
    <row r="435" spans="2:4" x14ac:dyDescent="0.25">
      <c r="B435" s="9"/>
      <c r="C435" s="11"/>
      <c r="D435" s="12"/>
    </row>
    <row r="436" spans="2:4" x14ac:dyDescent="0.25">
      <c r="B436" s="8"/>
      <c r="C436" s="11"/>
      <c r="D436" s="12"/>
    </row>
    <row r="437" spans="2:4" x14ac:dyDescent="0.25">
      <c r="B437" s="8"/>
      <c r="C437" s="11"/>
      <c r="D437" s="12"/>
    </row>
    <row r="438" spans="2:4" x14ac:dyDescent="0.25">
      <c r="B438" s="8"/>
      <c r="C438" s="11"/>
      <c r="D438" s="12"/>
    </row>
    <row r="439" spans="2:4" x14ac:dyDescent="0.25">
      <c r="B439" s="9"/>
      <c r="C439" s="11"/>
      <c r="D439" s="12"/>
    </row>
    <row r="440" spans="2:4" x14ac:dyDescent="0.25">
      <c r="B440" s="8"/>
      <c r="C440" s="11"/>
      <c r="D440" s="12"/>
    </row>
    <row r="441" spans="2:4" x14ac:dyDescent="0.25">
      <c r="B441" s="8"/>
      <c r="C441" s="11"/>
      <c r="D441" s="12"/>
    </row>
    <row r="442" spans="2:4" x14ac:dyDescent="0.25">
      <c r="B442" s="8"/>
      <c r="C442" s="11"/>
      <c r="D442" s="12"/>
    </row>
    <row r="443" spans="2:4" x14ac:dyDescent="0.25">
      <c r="B443" s="8"/>
      <c r="C443" s="11"/>
      <c r="D443" s="12"/>
    </row>
    <row r="444" spans="2:4" x14ac:dyDescent="0.25">
      <c r="B444" s="9"/>
      <c r="C444" s="11"/>
      <c r="D444" s="12"/>
    </row>
    <row r="445" spans="2:4" x14ac:dyDescent="0.25">
      <c r="B445" s="8"/>
      <c r="C445" s="11"/>
      <c r="D445" s="12"/>
    </row>
    <row r="446" spans="2:4" x14ac:dyDescent="0.25">
      <c r="B446" s="8"/>
      <c r="C446" s="11"/>
      <c r="D446" s="12"/>
    </row>
    <row r="447" spans="2:4" x14ac:dyDescent="0.25">
      <c r="B447" s="8"/>
      <c r="C447" s="11"/>
      <c r="D447" s="12"/>
    </row>
    <row r="448" spans="2:4" x14ac:dyDescent="0.25">
      <c r="B448" s="9"/>
      <c r="C448" s="11"/>
      <c r="D448" s="12"/>
    </row>
    <row r="449" spans="2:4" x14ac:dyDescent="0.25">
      <c r="B449" s="9"/>
      <c r="C449" s="11"/>
      <c r="D449" s="12"/>
    </row>
    <row r="450" spans="2:4" x14ac:dyDescent="0.25">
      <c r="B450" s="9"/>
      <c r="C450" s="11"/>
      <c r="D450" s="12"/>
    </row>
    <row r="451" spans="2:4" x14ac:dyDescent="0.25">
      <c r="B451" s="9"/>
      <c r="C451" s="11"/>
      <c r="D451" s="12"/>
    </row>
    <row r="452" spans="2:4" x14ac:dyDescent="0.25">
      <c r="B452" s="9"/>
      <c r="C452" s="11"/>
      <c r="D452" s="12"/>
    </row>
    <row r="453" spans="2:4" x14ac:dyDescent="0.25">
      <c r="B453" s="9"/>
      <c r="C453" s="11"/>
      <c r="D453" s="12"/>
    </row>
    <row r="454" spans="2:4" x14ac:dyDescent="0.25">
      <c r="B454" s="9"/>
      <c r="C454" s="11"/>
      <c r="D454" s="12"/>
    </row>
    <row r="455" spans="2:4" x14ac:dyDescent="0.25">
      <c r="B455" s="9"/>
      <c r="C455" s="11"/>
      <c r="D455" s="12"/>
    </row>
    <row r="456" spans="2:4" x14ac:dyDescent="0.25">
      <c r="B456" s="9"/>
      <c r="C456" s="11"/>
      <c r="D456" s="12"/>
    </row>
    <row r="457" spans="2:4" x14ac:dyDescent="0.25">
      <c r="B457" s="9"/>
      <c r="C457" s="11"/>
      <c r="D457" s="12"/>
    </row>
    <row r="458" spans="2:4" x14ac:dyDescent="0.25">
      <c r="B458" s="9"/>
      <c r="C458" s="11"/>
      <c r="D458" s="12"/>
    </row>
    <row r="459" spans="2:4" x14ac:dyDescent="0.25">
      <c r="B459" s="9"/>
      <c r="C459" s="11"/>
      <c r="D459" s="12"/>
    </row>
    <row r="460" spans="2:4" x14ac:dyDescent="0.25">
      <c r="B460" s="9"/>
      <c r="C460" s="11"/>
      <c r="D460" s="12"/>
    </row>
    <row r="461" spans="2:4" x14ac:dyDescent="0.25">
      <c r="B461" s="9"/>
      <c r="C461" s="11"/>
      <c r="D461" s="12"/>
    </row>
    <row r="462" spans="2:4" x14ac:dyDescent="0.25">
      <c r="B462" s="9"/>
      <c r="C462" s="11"/>
      <c r="D462" s="12"/>
    </row>
    <row r="463" spans="2:4" x14ac:dyDescent="0.25">
      <c r="B463" s="9"/>
      <c r="C463" s="11"/>
      <c r="D463" s="12"/>
    </row>
    <row r="464" spans="2:4" x14ac:dyDescent="0.25">
      <c r="B464" s="9"/>
      <c r="C464" s="11"/>
      <c r="D464" s="12"/>
    </row>
    <row r="465" spans="2:4" x14ac:dyDescent="0.25">
      <c r="B465" s="9"/>
      <c r="C465" s="11"/>
      <c r="D465" s="12"/>
    </row>
    <row r="466" spans="2:4" x14ac:dyDescent="0.25">
      <c r="B466" s="9"/>
      <c r="C466" s="11"/>
      <c r="D466" s="12"/>
    </row>
    <row r="467" spans="2:4" x14ac:dyDescent="0.25">
      <c r="B467" s="9"/>
      <c r="C467" s="11"/>
      <c r="D467" s="12"/>
    </row>
    <row r="468" spans="2:4" x14ac:dyDescent="0.25">
      <c r="B468" s="9"/>
      <c r="C468" s="11"/>
      <c r="D468" s="12"/>
    </row>
    <row r="469" spans="2:4" x14ac:dyDescent="0.25">
      <c r="B469" s="9"/>
      <c r="C469" s="11"/>
      <c r="D469" s="12"/>
    </row>
    <row r="470" spans="2:4" x14ac:dyDescent="0.25">
      <c r="B470" s="9"/>
      <c r="C470" s="11"/>
      <c r="D470" s="12"/>
    </row>
    <row r="471" spans="2:4" x14ac:dyDescent="0.25">
      <c r="B471" s="9"/>
      <c r="C471" s="11"/>
      <c r="D471" s="12"/>
    </row>
    <row r="472" spans="2:4" x14ac:dyDescent="0.25">
      <c r="B472" s="9"/>
      <c r="C472" s="11"/>
      <c r="D472" s="12"/>
    </row>
    <row r="473" spans="2:4" x14ac:dyDescent="0.25">
      <c r="B473" s="9"/>
      <c r="C473" s="11"/>
      <c r="D473" s="12"/>
    </row>
    <row r="474" spans="2:4" x14ac:dyDescent="0.25">
      <c r="B474" s="9"/>
      <c r="C474" s="11"/>
      <c r="D474" s="12"/>
    </row>
    <row r="475" spans="2:4" x14ac:dyDescent="0.25">
      <c r="B475" s="9"/>
      <c r="C475" s="11"/>
      <c r="D475" s="12"/>
    </row>
    <row r="476" spans="2:4" x14ac:dyDescent="0.25">
      <c r="B476" s="9"/>
      <c r="C476" s="11"/>
      <c r="D476" s="12"/>
    </row>
    <row r="477" spans="2:4" x14ac:dyDescent="0.25">
      <c r="B477" s="9"/>
      <c r="C477" s="11"/>
      <c r="D477" s="12"/>
    </row>
    <row r="478" spans="2:4" x14ac:dyDescent="0.25">
      <c r="B478" s="9"/>
      <c r="C478" s="11"/>
      <c r="D478" s="12"/>
    </row>
    <row r="479" spans="2:4" x14ac:dyDescent="0.25">
      <c r="B479" s="9"/>
      <c r="C479" s="11"/>
      <c r="D479" s="12"/>
    </row>
    <row r="480" spans="2:4" x14ac:dyDescent="0.25">
      <c r="B480" s="9"/>
      <c r="C480" s="11"/>
      <c r="D480" s="12"/>
    </row>
    <row r="481" spans="2:4" x14ac:dyDescent="0.25">
      <c r="B481" s="9"/>
      <c r="C481" s="11"/>
      <c r="D481" s="12"/>
    </row>
    <row r="482" spans="2:4" x14ac:dyDescent="0.25">
      <c r="B482" s="9"/>
      <c r="C482" s="11"/>
      <c r="D482" s="12"/>
    </row>
    <row r="483" spans="2:4" x14ac:dyDescent="0.25">
      <c r="B483" s="9"/>
      <c r="C483" s="11"/>
      <c r="D483" s="12"/>
    </row>
    <row r="484" spans="2:4" x14ac:dyDescent="0.25">
      <c r="B484" s="9"/>
      <c r="C484" s="11"/>
      <c r="D484" s="12"/>
    </row>
    <row r="485" spans="2:4" x14ac:dyDescent="0.25">
      <c r="B485" s="9"/>
      <c r="C485" s="11"/>
      <c r="D485" s="12"/>
    </row>
    <row r="486" spans="2:4" x14ac:dyDescent="0.25">
      <c r="B486" s="9"/>
      <c r="C486" s="11"/>
      <c r="D486" s="12"/>
    </row>
    <row r="487" spans="2:4" x14ac:dyDescent="0.25">
      <c r="B487" s="9"/>
      <c r="C487" s="11"/>
      <c r="D487" s="12"/>
    </row>
    <row r="488" spans="2:4" x14ac:dyDescent="0.25">
      <c r="B488" s="9"/>
      <c r="C488" s="11"/>
      <c r="D488" s="12"/>
    </row>
    <row r="489" spans="2:4" x14ac:dyDescent="0.25">
      <c r="B489" s="9"/>
      <c r="C489" s="11"/>
      <c r="D489" s="12"/>
    </row>
    <row r="490" spans="2:4" x14ac:dyDescent="0.25">
      <c r="B490" s="9"/>
      <c r="C490" s="11"/>
      <c r="D490" s="12"/>
    </row>
    <row r="491" spans="2:4" x14ac:dyDescent="0.25">
      <c r="B491" s="9"/>
      <c r="C491" s="11"/>
      <c r="D491" s="12"/>
    </row>
    <row r="492" spans="2:4" x14ac:dyDescent="0.25">
      <c r="B492" s="9"/>
      <c r="C492" s="11"/>
      <c r="D492" s="12"/>
    </row>
    <row r="493" spans="2:4" x14ac:dyDescent="0.25">
      <c r="B493" s="9"/>
      <c r="C493" s="11"/>
      <c r="D493" s="12"/>
    </row>
    <row r="494" spans="2:4" x14ac:dyDescent="0.25">
      <c r="B494" s="9"/>
      <c r="C494" s="11"/>
      <c r="D494" s="12"/>
    </row>
    <row r="495" spans="2:4" x14ac:dyDescent="0.25">
      <c r="B495" s="9"/>
      <c r="C495" s="11"/>
      <c r="D495" s="12"/>
    </row>
    <row r="496" spans="2:4" x14ac:dyDescent="0.25">
      <c r="B496" s="9"/>
      <c r="C496" s="11"/>
      <c r="D496" s="12"/>
    </row>
    <row r="497" spans="2:4" x14ac:dyDescent="0.25">
      <c r="B497" s="9"/>
      <c r="C497" s="11"/>
      <c r="D497" s="12"/>
    </row>
    <row r="498" spans="2:4" x14ac:dyDescent="0.25">
      <c r="B498" s="9"/>
      <c r="C498" s="11"/>
      <c r="D498" s="12"/>
    </row>
    <row r="499" spans="2:4" x14ac:dyDescent="0.25">
      <c r="B499" s="9"/>
      <c r="C499" s="11"/>
      <c r="D499" s="12"/>
    </row>
    <row r="500" spans="2:4" x14ac:dyDescent="0.25">
      <c r="B500" s="9"/>
      <c r="C500" s="11"/>
      <c r="D500" s="12"/>
    </row>
    <row r="501" spans="2:4" x14ac:dyDescent="0.25">
      <c r="B501" s="9"/>
      <c r="C501" s="11"/>
      <c r="D501" s="12"/>
    </row>
    <row r="502" spans="2:4" x14ac:dyDescent="0.25">
      <c r="B502" s="9"/>
      <c r="C502" s="11"/>
      <c r="D502" s="12"/>
    </row>
    <row r="503" spans="2:4" x14ac:dyDescent="0.25">
      <c r="B503" s="9"/>
      <c r="C503" s="11"/>
      <c r="D503" s="12"/>
    </row>
    <row r="504" spans="2:4" x14ac:dyDescent="0.25">
      <c r="B504" s="9"/>
      <c r="C504" s="11"/>
      <c r="D504" s="12"/>
    </row>
    <row r="505" spans="2:4" x14ac:dyDescent="0.25">
      <c r="B505" s="9"/>
      <c r="C505" s="11"/>
      <c r="D505" s="12"/>
    </row>
    <row r="506" spans="2:4" x14ac:dyDescent="0.25">
      <c r="B506" s="9"/>
      <c r="C506" s="11"/>
      <c r="D506" s="12"/>
    </row>
    <row r="507" spans="2:4" x14ac:dyDescent="0.25">
      <c r="B507" s="9"/>
      <c r="C507" s="11"/>
      <c r="D507" s="12"/>
    </row>
    <row r="508" spans="2:4" x14ac:dyDescent="0.25">
      <c r="B508" s="9"/>
      <c r="C508" s="11"/>
      <c r="D508" s="12"/>
    </row>
    <row r="509" spans="2:4" x14ac:dyDescent="0.25">
      <c r="B509" s="9"/>
      <c r="C509" s="11"/>
      <c r="D509" s="12"/>
    </row>
    <row r="510" spans="2:4" x14ac:dyDescent="0.25">
      <c r="B510" s="9"/>
      <c r="C510" s="11"/>
      <c r="D510" s="12"/>
    </row>
    <row r="511" spans="2:4" x14ac:dyDescent="0.25">
      <c r="B511" s="9"/>
      <c r="C511" s="11"/>
      <c r="D511" s="12"/>
    </row>
    <row r="512" spans="2:4" x14ac:dyDescent="0.25">
      <c r="B512" s="9"/>
      <c r="C512" s="11"/>
      <c r="D512" s="12"/>
    </row>
    <row r="513" spans="2:4" x14ac:dyDescent="0.25">
      <c r="B513" s="9"/>
      <c r="C513" s="11"/>
      <c r="D513" s="12"/>
    </row>
    <row r="514" spans="2:4" x14ac:dyDescent="0.25">
      <c r="B514" s="9"/>
      <c r="C514" s="11"/>
      <c r="D514" s="12"/>
    </row>
    <row r="515" spans="2:4" x14ac:dyDescent="0.25">
      <c r="B515" s="9"/>
      <c r="C515" s="11"/>
      <c r="D515" s="12"/>
    </row>
    <row r="516" spans="2:4" x14ac:dyDescent="0.25">
      <c r="B516" s="9"/>
      <c r="C516" s="11"/>
      <c r="D516" s="12"/>
    </row>
    <row r="517" spans="2:4" x14ac:dyDescent="0.25">
      <c r="B517" s="21"/>
      <c r="C517" s="11"/>
      <c r="D517" s="12"/>
    </row>
    <row r="518" spans="2:4" x14ac:dyDescent="0.25">
      <c r="B518" s="9"/>
      <c r="C518" s="11"/>
      <c r="D518" s="12"/>
    </row>
    <row r="519" spans="2:4" x14ac:dyDescent="0.25">
      <c r="B519" s="8"/>
      <c r="C519" s="11"/>
      <c r="D519" s="12"/>
    </row>
    <row r="520" spans="2:4" x14ac:dyDescent="0.25">
      <c r="B520" s="9"/>
      <c r="C520" s="11"/>
      <c r="D520" s="12"/>
    </row>
    <row r="521" spans="2:4" x14ac:dyDescent="0.25">
      <c r="B521" s="9"/>
      <c r="C521" s="11"/>
      <c r="D521" s="12"/>
    </row>
    <row r="522" spans="2:4" x14ac:dyDescent="0.25">
      <c r="B522" s="8"/>
      <c r="C522" s="11"/>
      <c r="D522" s="12"/>
    </row>
    <row r="523" spans="2:4" x14ac:dyDescent="0.25">
      <c r="B523" s="8"/>
      <c r="C523" s="11"/>
      <c r="D523" s="12"/>
    </row>
    <row r="524" spans="2:4" x14ac:dyDescent="0.25">
      <c r="B524" s="9"/>
      <c r="C524" s="11"/>
      <c r="D524" s="12"/>
    </row>
    <row r="525" spans="2:4" x14ac:dyDescent="0.25">
      <c r="B525" s="9"/>
      <c r="C525" s="11"/>
      <c r="D525" s="12"/>
    </row>
    <row r="526" spans="2:4" x14ac:dyDescent="0.25">
      <c r="B526" s="9"/>
      <c r="C526" s="11"/>
      <c r="D526" s="12"/>
    </row>
    <row r="527" spans="2:4" x14ac:dyDescent="0.25">
      <c r="B527" s="17"/>
      <c r="C527" s="11"/>
      <c r="D527" s="12"/>
    </row>
    <row r="528" spans="2:4" x14ac:dyDescent="0.25">
      <c r="B528" s="17"/>
      <c r="C528" s="11"/>
      <c r="D528" s="12"/>
    </row>
    <row r="529" spans="2:4" x14ac:dyDescent="0.25">
      <c r="B529" s="9"/>
      <c r="C529" s="11"/>
      <c r="D529" s="12"/>
    </row>
    <row r="530" spans="2:4" x14ac:dyDescent="0.25">
      <c r="B530" s="17"/>
      <c r="C530" s="11"/>
      <c r="D530" s="12"/>
    </row>
    <row r="531" spans="2:4" x14ac:dyDescent="0.25">
      <c r="B531" s="9"/>
      <c r="C531" s="11"/>
      <c r="D531" s="12"/>
    </row>
    <row r="532" spans="2:4" x14ac:dyDescent="0.25">
      <c r="B532" s="9"/>
      <c r="C532" s="11"/>
      <c r="D532" s="12"/>
    </row>
    <row r="533" spans="2:4" x14ac:dyDescent="0.25">
      <c r="B533" s="9"/>
      <c r="C533" s="11"/>
      <c r="D533" s="12"/>
    </row>
    <row r="534" spans="2:4" x14ac:dyDescent="0.25">
      <c r="B534" s="9"/>
      <c r="C534" s="11"/>
      <c r="D534" s="12"/>
    </row>
    <row r="535" spans="2:4" x14ac:dyDescent="0.25">
      <c r="B535" s="9"/>
      <c r="C535" s="11"/>
      <c r="D535" s="12"/>
    </row>
    <row r="536" spans="2:4" x14ac:dyDescent="0.25">
      <c r="B536" s="9"/>
      <c r="C536" s="11"/>
      <c r="D536" s="12"/>
    </row>
    <row r="537" spans="2:4" x14ac:dyDescent="0.25">
      <c r="B537" s="17"/>
      <c r="C537" s="11"/>
      <c r="D537" s="12"/>
    </row>
    <row r="538" spans="2:4" x14ac:dyDescent="0.25">
      <c r="B538" s="9"/>
      <c r="C538" s="11"/>
      <c r="D538" s="12"/>
    </row>
    <row r="539" spans="2:4" x14ac:dyDescent="0.25">
      <c r="B539" s="9"/>
      <c r="C539" s="11"/>
      <c r="D539" s="12"/>
    </row>
    <row r="540" spans="2:4" x14ac:dyDescent="0.25">
      <c r="B540" s="9"/>
      <c r="C540" s="11"/>
      <c r="D540" s="12"/>
    </row>
    <row r="541" spans="2:4" x14ac:dyDescent="0.25">
      <c r="B541" s="17"/>
      <c r="C541" s="11"/>
      <c r="D541" s="12"/>
    </row>
    <row r="542" spans="2:4" x14ac:dyDescent="0.25">
      <c r="B542" s="8"/>
      <c r="C542" s="11"/>
      <c r="D542" s="12"/>
    </row>
    <row r="543" spans="2:4" x14ac:dyDescent="0.25">
      <c r="B543" s="18"/>
      <c r="C543" s="11"/>
      <c r="D543" s="12"/>
    </row>
    <row r="544" spans="2:4" x14ac:dyDescent="0.25">
      <c r="B544" s="18"/>
      <c r="C544" s="11"/>
      <c r="D544" s="12"/>
    </row>
    <row r="545" spans="2:4" x14ac:dyDescent="0.25">
      <c r="B545" s="9"/>
      <c r="C545" s="11"/>
      <c r="D545" s="12"/>
    </row>
    <row r="546" spans="2:4" x14ac:dyDescent="0.25">
      <c r="B546" s="16"/>
      <c r="C546" s="11"/>
      <c r="D546" s="12"/>
    </row>
    <row r="547" spans="2:4" x14ac:dyDescent="0.25">
      <c r="B547" s="9"/>
      <c r="C547" s="11"/>
      <c r="D547" s="12"/>
    </row>
    <row r="548" spans="2:4" x14ac:dyDescent="0.25">
      <c r="B548" s="9"/>
      <c r="C548" s="11"/>
      <c r="D548" s="12"/>
    </row>
    <row r="549" spans="2:4" x14ac:dyDescent="0.25">
      <c r="B549" s="9"/>
      <c r="C549" s="11"/>
      <c r="D549" s="12"/>
    </row>
    <row r="550" spans="2:4" x14ac:dyDescent="0.25">
      <c r="B550" s="9"/>
      <c r="C550" s="11"/>
      <c r="D550" s="12"/>
    </row>
    <row r="551" spans="2:4" x14ac:dyDescent="0.25">
      <c r="B551" s="9"/>
      <c r="C551" s="11"/>
      <c r="D551" s="12"/>
    </row>
    <row r="552" spans="2:4" x14ac:dyDescent="0.25">
      <c r="B552" s="9"/>
      <c r="C552" s="11"/>
      <c r="D552" s="12"/>
    </row>
    <row r="553" spans="2:4" x14ac:dyDescent="0.25">
      <c r="B553" s="9"/>
      <c r="C553" s="11"/>
      <c r="D553" s="12"/>
    </row>
    <row r="554" spans="2:4" x14ac:dyDescent="0.25">
      <c r="B554" s="9"/>
      <c r="C554" s="11"/>
      <c r="D554" s="12"/>
    </row>
    <row r="555" spans="2:4" x14ac:dyDescent="0.25">
      <c r="B555" s="9"/>
      <c r="C555" s="11"/>
      <c r="D555" s="12"/>
    </row>
    <row r="556" spans="2:4" x14ac:dyDescent="0.25">
      <c r="B556" s="9"/>
      <c r="C556" s="11"/>
      <c r="D556" s="12"/>
    </row>
    <row r="557" spans="2:4" x14ac:dyDescent="0.25">
      <c r="B557" s="9"/>
      <c r="C557" s="11"/>
      <c r="D557" s="12"/>
    </row>
    <row r="558" spans="2:4" x14ac:dyDescent="0.25">
      <c r="B558" s="9"/>
      <c r="C558" s="11"/>
      <c r="D558" s="12"/>
    </row>
    <row r="559" spans="2:4" x14ac:dyDescent="0.25">
      <c r="B559" s="9"/>
      <c r="C559" s="11"/>
      <c r="D559" s="12"/>
    </row>
    <row r="560" spans="2:4" x14ac:dyDescent="0.25">
      <c r="B560" s="9"/>
      <c r="C560" s="11"/>
      <c r="D560" s="12"/>
    </row>
    <row r="561" spans="2:4" x14ac:dyDescent="0.25">
      <c r="B561" s="9"/>
      <c r="C561" s="11"/>
      <c r="D561" s="12"/>
    </row>
    <row r="562" spans="2:4" x14ac:dyDescent="0.25">
      <c r="B562" s="9"/>
      <c r="C562" s="11"/>
      <c r="D562" s="12"/>
    </row>
    <row r="563" spans="2:4" x14ac:dyDescent="0.25">
      <c r="B563" s="9"/>
      <c r="C563" s="11"/>
      <c r="D563" s="12"/>
    </row>
    <row r="564" spans="2:4" x14ac:dyDescent="0.25">
      <c r="B564" s="9"/>
      <c r="C564" s="11"/>
      <c r="D564" s="12"/>
    </row>
    <row r="565" spans="2:4" x14ac:dyDescent="0.25">
      <c r="B565" s="9"/>
      <c r="C565" s="11"/>
      <c r="D565" s="12"/>
    </row>
    <row r="566" spans="2:4" x14ac:dyDescent="0.25">
      <c r="B566" s="9"/>
      <c r="C566" s="11"/>
      <c r="D566" s="12"/>
    </row>
    <row r="567" spans="2:4" x14ac:dyDescent="0.25">
      <c r="B567" s="16"/>
      <c r="C567" s="11"/>
      <c r="D567" s="12"/>
    </row>
    <row r="568" spans="2:4" x14ac:dyDescent="0.25">
      <c r="B568" s="9"/>
      <c r="C568" s="11"/>
      <c r="D568" s="12"/>
    </row>
    <row r="569" spans="2:4" x14ac:dyDescent="0.25">
      <c r="B569" s="9"/>
      <c r="C569" s="11"/>
      <c r="D569" s="12"/>
    </row>
    <row r="570" spans="2:4" x14ac:dyDescent="0.25">
      <c r="B570" s="9"/>
      <c r="C570" s="11"/>
      <c r="D570" s="12"/>
    </row>
    <row r="571" spans="2:4" x14ac:dyDescent="0.25">
      <c r="B571" s="9"/>
      <c r="C571" s="11"/>
      <c r="D571" s="12"/>
    </row>
    <row r="572" spans="2:4" x14ac:dyDescent="0.25">
      <c r="B572" s="9"/>
      <c r="C572" s="11"/>
      <c r="D572" s="12"/>
    </row>
    <row r="573" spans="2:4" x14ac:dyDescent="0.25">
      <c r="B573" s="9"/>
      <c r="C573" s="11"/>
      <c r="D573" s="12"/>
    </row>
    <row r="574" spans="2:4" x14ac:dyDescent="0.25">
      <c r="B574" s="9"/>
      <c r="C574" s="11"/>
      <c r="D574" s="12"/>
    </row>
    <row r="575" spans="2:4" x14ac:dyDescent="0.25">
      <c r="B575" s="9"/>
      <c r="C575" s="11"/>
      <c r="D575" s="12"/>
    </row>
    <row r="576" spans="2:4" x14ac:dyDescent="0.25">
      <c r="B576" s="9"/>
      <c r="C576" s="11"/>
      <c r="D576" s="12"/>
    </row>
    <row r="577" spans="2:4" x14ac:dyDescent="0.25">
      <c r="B577" s="9"/>
      <c r="C577" s="11"/>
      <c r="D577" s="12"/>
    </row>
    <row r="578" spans="2:4" x14ac:dyDescent="0.25">
      <c r="B578" s="9"/>
      <c r="C578" s="11"/>
      <c r="D578" s="12"/>
    </row>
    <row r="579" spans="2:4" x14ac:dyDescent="0.25">
      <c r="B579" s="9"/>
      <c r="C579" s="11"/>
      <c r="D579" s="12"/>
    </row>
    <row r="580" spans="2:4" x14ac:dyDescent="0.25">
      <c r="B580" s="9"/>
      <c r="C580" s="11"/>
      <c r="D580" s="12"/>
    </row>
    <row r="581" spans="2:4" x14ac:dyDescent="0.25">
      <c r="B581" s="9"/>
      <c r="C581" s="11"/>
      <c r="D581" s="12"/>
    </row>
    <row r="582" spans="2:4" x14ac:dyDescent="0.25">
      <c r="B582" s="9"/>
      <c r="C582" s="11"/>
      <c r="D582" s="12"/>
    </row>
    <row r="583" spans="2:4" x14ac:dyDescent="0.25">
      <c r="B583" s="9"/>
      <c r="C583" s="11"/>
      <c r="D583" s="12"/>
    </row>
    <row r="584" spans="2:4" x14ac:dyDescent="0.25">
      <c r="B584" s="9"/>
      <c r="C584" s="11"/>
      <c r="D584" s="12"/>
    </row>
    <row r="585" spans="2:4" x14ac:dyDescent="0.25">
      <c r="B585" s="8"/>
      <c r="C585" s="11"/>
      <c r="D585" s="12"/>
    </row>
    <row r="586" spans="2:4" x14ac:dyDescent="0.25">
      <c r="B586" s="9"/>
      <c r="C586" s="11"/>
      <c r="D586" s="12"/>
    </row>
    <row r="587" spans="2:4" x14ac:dyDescent="0.25">
      <c r="B587" s="9"/>
      <c r="C587" s="11"/>
      <c r="D587" s="12"/>
    </row>
    <row r="588" spans="2:4" x14ac:dyDescent="0.25">
      <c r="B588" s="9"/>
      <c r="C588" s="11"/>
      <c r="D588" s="12"/>
    </row>
    <row r="589" spans="2:4" x14ac:dyDescent="0.25">
      <c r="B589" s="18"/>
      <c r="C589" s="11"/>
      <c r="D589" s="12"/>
    </row>
    <row r="590" spans="2:4" x14ac:dyDescent="0.25">
      <c r="B590" s="17"/>
      <c r="C590" s="11"/>
      <c r="D590" s="12"/>
    </row>
    <row r="591" spans="2:4" x14ac:dyDescent="0.25">
      <c r="B591" s="9"/>
      <c r="C591" s="11"/>
      <c r="D591" s="12"/>
    </row>
    <row r="592" spans="2:4" x14ac:dyDescent="0.25">
      <c r="B592" s="9"/>
      <c r="C592" s="11"/>
      <c r="D592" s="12"/>
    </row>
    <row r="593" spans="2:4" x14ac:dyDescent="0.25">
      <c r="B593" s="9"/>
      <c r="C593" s="11"/>
      <c r="D593" s="12"/>
    </row>
    <row r="594" spans="2:4" x14ac:dyDescent="0.25">
      <c r="B594" s="8"/>
      <c r="C594" s="11"/>
      <c r="D594" s="12"/>
    </row>
    <row r="595" spans="2:4" x14ac:dyDescent="0.25">
      <c r="B595" s="17"/>
      <c r="C595" s="11"/>
      <c r="D595" s="12"/>
    </row>
    <row r="596" spans="2:4" x14ac:dyDescent="0.25">
      <c r="B596" s="17"/>
      <c r="C596" s="11"/>
      <c r="D596" s="12"/>
    </row>
    <row r="597" spans="2:4" x14ac:dyDescent="0.25">
      <c r="B597" s="9"/>
      <c r="C597" s="11"/>
      <c r="D597" s="12"/>
    </row>
    <row r="598" spans="2:4" x14ac:dyDescent="0.25">
      <c r="B598" s="17"/>
      <c r="C598" s="11"/>
      <c r="D598" s="12"/>
    </row>
    <row r="599" spans="2:4" x14ac:dyDescent="0.25">
      <c r="B599" s="9"/>
      <c r="C599" s="11"/>
      <c r="D599" s="12"/>
    </row>
    <row r="600" spans="2:4" x14ac:dyDescent="0.25">
      <c r="B600" s="18"/>
      <c r="C600" s="11"/>
      <c r="D600" s="12"/>
    </row>
    <row r="601" spans="2:4" x14ac:dyDescent="0.25">
      <c r="B601" s="9"/>
      <c r="C601" s="11"/>
      <c r="D601" s="12"/>
    </row>
    <row r="602" spans="2:4" x14ac:dyDescent="0.25">
      <c r="B602" s="8"/>
      <c r="C602" s="11"/>
      <c r="D602" s="12"/>
    </row>
    <row r="603" spans="2:4" x14ac:dyDescent="0.25">
      <c r="B603" s="8"/>
      <c r="C603" s="11"/>
      <c r="D603" s="12"/>
    </row>
    <row r="604" spans="2:4" x14ac:dyDescent="0.25">
      <c r="B604" s="9"/>
      <c r="C604" s="11"/>
      <c r="D604" s="12"/>
    </row>
    <row r="605" spans="2:4" x14ac:dyDescent="0.25">
      <c r="B605" s="18"/>
      <c r="C605" s="11"/>
      <c r="D605" s="12"/>
    </row>
    <row r="606" spans="2:4" x14ac:dyDescent="0.25">
      <c r="B606" s="20"/>
      <c r="C606" s="11"/>
      <c r="D606" s="12"/>
    </row>
    <row r="607" spans="2:4" x14ac:dyDescent="0.25">
      <c r="B607" s="18"/>
      <c r="C607" s="11"/>
      <c r="D607" s="12"/>
    </row>
    <row r="608" spans="2:4" x14ac:dyDescent="0.25">
      <c r="B608" s="9"/>
      <c r="C608" s="11"/>
      <c r="D608" s="12"/>
    </row>
    <row r="609" spans="2:4" x14ac:dyDescent="0.25">
      <c r="B609" s="8"/>
      <c r="C609" s="11"/>
      <c r="D609" s="12"/>
    </row>
    <row r="610" spans="2:4" x14ac:dyDescent="0.25">
      <c r="B610" s="9"/>
      <c r="C610" s="11"/>
      <c r="D610" s="12"/>
    </row>
    <row r="611" spans="2:4" x14ac:dyDescent="0.25">
      <c r="B611" s="9"/>
      <c r="C611" s="11"/>
      <c r="D611" s="12"/>
    </row>
    <row r="612" spans="2:4" x14ac:dyDescent="0.25">
      <c r="B612" s="9"/>
      <c r="C612" s="11"/>
      <c r="D612" s="12"/>
    </row>
    <row r="613" spans="2:4" x14ac:dyDescent="0.25">
      <c r="B613" s="8"/>
      <c r="C613" s="11"/>
      <c r="D613" s="12"/>
    </row>
    <row r="614" spans="2:4" x14ac:dyDescent="0.25">
      <c r="B614" s="8"/>
      <c r="C614" s="11"/>
      <c r="D614" s="12"/>
    </row>
    <row r="615" spans="2:4" x14ac:dyDescent="0.25">
      <c r="B615" s="9"/>
      <c r="C615" s="11"/>
      <c r="D615" s="12"/>
    </row>
    <row r="616" spans="2:4" x14ac:dyDescent="0.25">
      <c r="B616" s="9"/>
      <c r="C616" s="11"/>
      <c r="D616" s="12"/>
    </row>
    <row r="617" spans="2:4" x14ac:dyDescent="0.25">
      <c r="B617" s="9"/>
      <c r="C617" s="11" t="str">
        <f>IFERROR(INDEX(Catalogo!$E$4:$E$1502,_xlfn.IFNA(MATCH(B617,Catalogo!$C$4:$C$1502,0),-1)),"")</f>
        <v/>
      </c>
      <c r="D617" s="12" t="str">
        <f>IFERROR(_xlfn.CONCAT(INDEX(Catalogo!$G$4:$G$1502,_xlfn.IFNA(MATCH(B617,Catalogo!$C$4:$C$1502,0),-1)),"-",INDEX(Catalogo!$H$4:$H$1502,_xlfn.IFNA(MATCH(B617,Catalogo!$C$4:$C$1502,0),-1))),"")</f>
        <v/>
      </c>
    </row>
    <row r="618" spans="2:4" x14ac:dyDescent="0.25">
      <c r="B618" s="9"/>
      <c r="C618" s="11" t="str">
        <f>IFERROR(INDEX(Catalogo!$E$4:$E$1502,_xlfn.IFNA(MATCH(B618,Catalogo!$C$4:$C$1502,0),-1)),"")</f>
        <v/>
      </c>
      <c r="D618" s="12" t="str">
        <f>IFERROR(_xlfn.CONCAT(INDEX(Catalogo!$G$4:$G$1502,_xlfn.IFNA(MATCH(B618,Catalogo!$C$4:$C$1502,0),-1)),"-",INDEX(Catalogo!$H$4:$H$1502,_xlfn.IFNA(MATCH(B618,Catalogo!$C$4:$C$1502,0),-1))),"")</f>
        <v/>
      </c>
    </row>
    <row r="619" spans="2:4" x14ac:dyDescent="0.25">
      <c r="B619" s="8"/>
      <c r="C619" s="11" t="str">
        <f>IFERROR(INDEX(Catalogo!$E$4:$E$1502,_xlfn.IFNA(MATCH(B619,Catalogo!$C$4:$C$1502,0),-1)),"")</f>
        <v/>
      </c>
      <c r="D619" s="12" t="str">
        <f>IFERROR(_xlfn.CONCAT(INDEX(Catalogo!$G$4:$G$1502,_xlfn.IFNA(MATCH(B619,Catalogo!$C$4:$C$1502,0),-1)),"-",INDEX(Catalogo!$H$4:$H$1502,_xlfn.IFNA(MATCH(B619,Catalogo!$C$4:$C$1502,0),-1))),"")</f>
        <v/>
      </c>
    </row>
    <row r="620" spans="2:4" x14ac:dyDescent="0.25">
      <c r="B620" s="9"/>
      <c r="C620" s="11" t="str">
        <f>IFERROR(INDEX(Catalogo!$E$4:$E$1502,_xlfn.IFNA(MATCH(B620,Catalogo!$C$4:$C$1502,0),-1)),"")</f>
        <v/>
      </c>
      <c r="D620" s="12" t="str">
        <f>IFERROR(_xlfn.CONCAT(INDEX(Catalogo!$G$4:$G$1502,_xlfn.IFNA(MATCH(B620,Catalogo!$C$4:$C$1502,0),-1)),"-",INDEX(Catalogo!$H$4:$H$1502,_xlfn.IFNA(MATCH(B620,Catalogo!$C$4:$C$1502,0),-1))),"")</f>
        <v/>
      </c>
    </row>
    <row r="621" spans="2:4" x14ac:dyDescent="0.25">
      <c r="B621" s="9"/>
      <c r="C621" s="11" t="str">
        <f>IFERROR(INDEX(Catalogo!$E$4:$E$1502,_xlfn.IFNA(MATCH(B621,Catalogo!$C$4:$C$1502,0),-1)),"")</f>
        <v/>
      </c>
      <c r="D621" s="12" t="str">
        <f>IFERROR(_xlfn.CONCAT(INDEX(Catalogo!$G$4:$G$1502,_xlfn.IFNA(MATCH(B621,Catalogo!$C$4:$C$1502,0),-1)),"-",INDEX(Catalogo!$H$4:$H$1502,_xlfn.IFNA(MATCH(B621,Catalogo!$C$4:$C$1502,0),-1))),"")</f>
        <v/>
      </c>
    </row>
    <row r="622" spans="2:4" x14ac:dyDescent="0.25">
      <c r="B622" s="8"/>
      <c r="C622" s="11" t="str">
        <f>IFERROR(INDEX(Catalogo!$E$4:$E$1502,_xlfn.IFNA(MATCH(B622,Catalogo!$C$4:$C$1502,0),-1)),"")</f>
        <v/>
      </c>
      <c r="D622" s="12" t="str">
        <f>IFERROR(_xlfn.CONCAT(INDEX(Catalogo!$G$4:$G$1502,_xlfn.IFNA(MATCH(B622,Catalogo!$C$4:$C$1502,0),-1)),"-",INDEX(Catalogo!$H$4:$H$1502,_xlfn.IFNA(MATCH(B622,Catalogo!$C$4:$C$1502,0),-1))),"")</f>
        <v/>
      </c>
    </row>
    <row r="623" spans="2:4" x14ac:dyDescent="0.25">
      <c r="B623" s="8"/>
      <c r="C623" s="11" t="str">
        <f>IFERROR(INDEX(Catalogo!$E$4:$E$1502,_xlfn.IFNA(MATCH(B623,Catalogo!$C$4:$C$1502,0),-1)),"")</f>
        <v/>
      </c>
      <c r="D623" s="12" t="str">
        <f>IFERROR(_xlfn.CONCAT(INDEX(Catalogo!$G$4:$G$1502,_xlfn.IFNA(MATCH(B623,Catalogo!$C$4:$C$1502,0),-1)),"-",INDEX(Catalogo!$H$4:$H$1502,_xlfn.IFNA(MATCH(B623,Catalogo!$C$4:$C$1502,0),-1))),"")</f>
        <v/>
      </c>
    </row>
    <row r="624" spans="2:4" x14ac:dyDescent="0.25">
      <c r="B624" s="8"/>
      <c r="C624" s="11" t="str">
        <f>IFERROR(INDEX(Catalogo!$E$4:$E$1502,_xlfn.IFNA(MATCH(B624,Catalogo!$C$4:$C$1502,0),-1)),"")</f>
        <v/>
      </c>
      <c r="D624" s="12" t="str">
        <f>IFERROR(_xlfn.CONCAT(INDEX(Catalogo!$G$4:$G$1502,_xlfn.IFNA(MATCH(B624,Catalogo!$C$4:$C$1502,0),-1)),"-",INDEX(Catalogo!$H$4:$H$1502,_xlfn.IFNA(MATCH(B624,Catalogo!$C$4:$C$1502,0),-1))),"")</f>
        <v/>
      </c>
    </row>
    <row r="625" spans="2:4" x14ac:dyDescent="0.25">
      <c r="B625" s="9"/>
      <c r="C625" s="11" t="str">
        <f>IFERROR(INDEX(Catalogo!$E$4:$E$1502,_xlfn.IFNA(MATCH(B625,Catalogo!$C$4:$C$1502,0),-1)),"")</f>
        <v/>
      </c>
      <c r="D625" s="12" t="str">
        <f>IFERROR(_xlfn.CONCAT(INDEX(Catalogo!$G$4:$G$1502,_xlfn.IFNA(MATCH(B625,Catalogo!$C$4:$C$1502,0),-1)),"-",INDEX(Catalogo!$H$4:$H$1502,_xlfn.IFNA(MATCH(B625,Catalogo!$C$4:$C$1502,0),-1))),"")</f>
        <v/>
      </c>
    </row>
    <row r="626" spans="2:4" x14ac:dyDescent="0.25">
      <c r="B626" s="9"/>
      <c r="C626" s="11" t="str">
        <f>IFERROR(INDEX(Catalogo!$E$4:$E$1502,_xlfn.IFNA(MATCH(B626,Catalogo!$C$4:$C$1502,0),-1)),"")</f>
        <v/>
      </c>
      <c r="D626" s="12" t="str">
        <f>IFERROR(_xlfn.CONCAT(INDEX(Catalogo!$G$4:$G$1502,_xlfn.IFNA(MATCH(B626,Catalogo!$C$4:$C$1502,0),-1)),"-",INDEX(Catalogo!$H$4:$H$1502,_xlfn.IFNA(MATCH(B626,Catalogo!$C$4:$C$1502,0),-1))),"")</f>
        <v/>
      </c>
    </row>
    <row r="627" spans="2:4" x14ac:dyDescent="0.25">
      <c r="B627" s="8"/>
      <c r="C627" s="11" t="str">
        <f>IFERROR(INDEX(Catalogo!$E$4:$E$1502,_xlfn.IFNA(MATCH(B627,Catalogo!$C$4:$C$1502,0),-1)),"")</f>
        <v/>
      </c>
      <c r="D627" s="12" t="str">
        <f>IFERROR(_xlfn.CONCAT(INDEX(Catalogo!$G$4:$G$1502,_xlfn.IFNA(MATCH(B627,Catalogo!$C$4:$C$1502,0),-1)),"-",INDEX(Catalogo!$H$4:$H$1502,_xlfn.IFNA(MATCH(B627,Catalogo!$C$4:$C$1502,0),-1))),"")</f>
        <v/>
      </c>
    </row>
    <row r="628" spans="2:4" x14ac:dyDescent="0.25">
      <c r="B628" s="9"/>
      <c r="C628" s="11" t="str">
        <f>IFERROR(INDEX(Catalogo!$E$4:$E$1502,_xlfn.IFNA(MATCH(B628,Catalogo!$C$4:$C$1502,0),-1)),"")</f>
        <v/>
      </c>
      <c r="D628" s="12" t="str">
        <f>IFERROR(_xlfn.CONCAT(INDEX(Catalogo!$G$4:$G$1502,_xlfn.IFNA(MATCH(B628,Catalogo!$C$4:$C$1502,0),-1)),"-",INDEX(Catalogo!$H$4:$H$1502,_xlfn.IFNA(MATCH(B628,Catalogo!$C$4:$C$1502,0),-1))),"")</f>
        <v/>
      </c>
    </row>
    <row r="629" spans="2:4" x14ac:dyDescent="0.25">
      <c r="B629" s="9"/>
      <c r="C629" s="11" t="str">
        <f>IFERROR(INDEX(Catalogo!$E$4:$E$1502,_xlfn.IFNA(MATCH(B629,Catalogo!$C$4:$C$1502,0),-1)),"")</f>
        <v/>
      </c>
      <c r="D629" s="12" t="str">
        <f>IFERROR(_xlfn.CONCAT(INDEX(Catalogo!$G$4:$G$1502,_xlfn.IFNA(MATCH(B629,Catalogo!$C$4:$C$1502,0),-1)),"-",INDEX(Catalogo!$H$4:$H$1502,_xlfn.IFNA(MATCH(B629,Catalogo!$C$4:$C$1502,0),-1))),"")</f>
        <v/>
      </c>
    </row>
    <row r="630" spans="2:4" x14ac:dyDescent="0.25">
      <c r="B630" s="8"/>
      <c r="C630" s="11" t="str">
        <f>IFERROR(INDEX(Catalogo!$E$4:$E$1502,_xlfn.IFNA(MATCH(B630,Catalogo!$C$4:$C$1502,0),-1)),"")</f>
        <v/>
      </c>
      <c r="D630" s="12" t="str">
        <f>IFERROR(_xlfn.CONCAT(INDEX(Catalogo!$G$4:$G$1502,_xlfn.IFNA(MATCH(B630,Catalogo!$C$4:$C$1502,0),-1)),"-",INDEX(Catalogo!$H$4:$H$1502,_xlfn.IFNA(MATCH(B630,Catalogo!$C$4:$C$1502,0),-1))),"")</f>
        <v/>
      </c>
    </row>
    <row r="631" spans="2:4" x14ac:dyDescent="0.25">
      <c r="B631" s="9"/>
      <c r="C631" s="11" t="str">
        <f>IFERROR(INDEX(Catalogo!$E$4:$E$1502,_xlfn.IFNA(MATCH(B631,Catalogo!$C$4:$C$1502,0),-1)),"")</f>
        <v/>
      </c>
      <c r="D631" s="12" t="str">
        <f>IFERROR(_xlfn.CONCAT(INDEX(Catalogo!$G$4:$G$1502,_xlfn.IFNA(MATCH(B631,Catalogo!$C$4:$C$1502,0),-1)),"-",INDEX(Catalogo!$H$4:$H$1502,_xlfn.IFNA(MATCH(B631,Catalogo!$C$4:$C$1502,0),-1))),"")</f>
        <v/>
      </c>
    </row>
    <row r="632" spans="2:4" x14ac:dyDescent="0.25">
      <c r="B632" s="9"/>
      <c r="C632" s="11" t="str">
        <f>IFERROR(INDEX(Catalogo!$E$4:$E$1502,_xlfn.IFNA(MATCH(B632,Catalogo!$C$4:$C$1502,0),-1)),"")</f>
        <v/>
      </c>
      <c r="D632" s="12" t="str">
        <f>IFERROR(_xlfn.CONCAT(INDEX(Catalogo!$G$4:$G$1502,_xlfn.IFNA(MATCH(B632,Catalogo!$C$4:$C$1502,0),-1)),"-",INDEX(Catalogo!$H$4:$H$1502,_xlfn.IFNA(MATCH(B632,Catalogo!$C$4:$C$1502,0),-1))),"")</f>
        <v/>
      </c>
    </row>
    <row r="633" spans="2:4" x14ac:dyDescent="0.25">
      <c r="B633" s="9"/>
      <c r="C633" s="11" t="str">
        <f>IFERROR(INDEX(Catalogo!$E$4:$E$1502,_xlfn.IFNA(MATCH(B633,Catalogo!$C$4:$C$1502,0),-1)),"")</f>
        <v/>
      </c>
      <c r="D633" s="12" t="str">
        <f>IFERROR(_xlfn.CONCAT(INDEX(Catalogo!$G$4:$G$1502,_xlfn.IFNA(MATCH(B633,Catalogo!$C$4:$C$1502,0),-1)),"-",INDEX(Catalogo!$H$4:$H$1502,_xlfn.IFNA(MATCH(B633,Catalogo!$C$4:$C$1502,0),-1))),"")</f>
        <v/>
      </c>
    </row>
    <row r="634" spans="2:4" x14ac:dyDescent="0.25">
      <c r="B634" s="9"/>
      <c r="C634" s="11" t="str">
        <f>IFERROR(INDEX(Catalogo!$E$4:$E$1502,_xlfn.IFNA(MATCH(B634,Catalogo!$C$4:$C$1502,0),-1)),"")</f>
        <v/>
      </c>
      <c r="D634" s="12" t="str">
        <f>IFERROR(_xlfn.CONCAT(INDEX(Catalogo!$G$4:$G$1502,_xlfn.IFNA(MATCH(B634,Catalogo!$C$4:$C$1502,0),-1)),"-",INDEX(Catalogo!$H$4:$H$1502,_xlfn.IFNA(MATCH(B634,Catalogo!$C$4:$C$1502,0),-1))),"")</f>
        <v/>
      </c>
    </row>
    <row r="635" spans="2:4" x14ac:dyDescent="0.25">
      <c r="B635" s="8"/>
      <c r="C635" s="11" t="str">
        <f>IFERROR(INDEX(Catalogo!$E$4:$E$1502,_xlfn.IFNA(MATCH(B635,Catalogo!$C$4:$C$1502,0),-1)),"")</f>
        <v/>
      </c>
      <c r="D635" s="12" t="str">
        <f>IFERROR(_xlfn.CONCAT(INDEX(Catalogo!$G$4:$G$1502,_xlfn.IFNA(MATCH(B635,Catalogo!$C$4:$C$1502,0),-1)),"-",INDEX(Catalogo!$H$4:$H$1502,_xlfn.IFNA(MATCH(B635,Catalogo!$C$4:$C$1502,0),-1))),"")</f>
        <v/>
      </c>
    </row>
    <row r="636" spans="2:4" x14ac:dyDescent="0.25">
      <c r="B636" s="8"/>
      <c r="C636" s="11" t="str">
        <f>IFERROR(INDEX(Catalogo!$E$4:$E$1502,_xlfn.IFNA(MATCH(B636,Catalogo!$C$4:$C$1502,0),-1)),"")</f>
        <v/>
      </c>
      <c r="D636" s="12" t="str">
        <f>IFERROR(_xlfn.CONCAT(INDEX(Catalogo!$G$4:$G$1502,_xlfn.IFNA(MATCH(B636,Catalogo!$C$4:$C$1502,0),-1)),"-",INDEX(Catalogo!$H$4:$H$1502,_xlfn.IFNA(MATCH(B636,Catalogo!$C$4:$C$1502,0),-1))),"")</f>
        <v/>
      </c>
    </row>
    <row r="637" spans="2:4" x14ac:dyDescent="0.25">
      <c r="B637" s="9"/>
      <c r="C637" s="11" t="str">
        <f>IFERROR(INDEX(Catalogo!$E$4:$E$1502,_xlfn.IFNA(MATCH(B637,Catalogo!$C$4:$C$1502,0),-1)),"")</f>
        <v/>
      </c>
      <c r="D637" s="12" t="str">
        <f>IFERROR(_xlfn.CONCAT(INDEX(Catalogo!$G$4:$G$1502,_xlfn.IFNA(MATCH(B637,Catalogo!$C$4:$C$1502,0),-1)),"-",INDEX(Catalogo!$H$4:$H$1502,_xlfn.IFNA(MATCH(B637,Catalogo!$C$4:$C$1502,0),-1))),"")</f>
        <v/>
      </c>
    </row>
    <row r="638" spans="2:4" x14ac:dyDescent="0.25">
      <c r="B638" s="9"/>
      <c r="C638" s="11" t="str">
        <f>IFERROR(INDEX(Catalogo!$E$4:$E$1502,_xlfn.IFNA(MATCH(B638,Catalogo!$C$4:$C$1502,0),-1)),"")</f>
        <v/>
      </c>
      <c r="D638" s="12" t="str">
        <f>IFERROR(_xlfn.CONCAT(INDEX(Catalogo!$G$4:$G$1502,_xlfn.IFNA(MATCH(B638,Catalogo!$C$4:$C$1502,0),-1)),"-",INDEX(Catalogo!$H$4:$H$1502,_xlfn.IFNA(MATCH(B638,Catalogo!$C$4:$C$1502,0),-1))),"")</f>
        <v/>
      </c>
    </row>
    <row r="639" spans="2:4" x14ac:dyDescent="0.25">
      <c r="B639" s="9"/>
      <c r="C639" s="11" t="str">
        <f>IFERROR(INDEX(Catalogo!$E$4:$E$1502,_xlfn.IFNA(MATCH(B639,Catalogo!$C$4:$C$1502,0),-1)),"")</f>
        <v/>
      </c>
      <c r="D639" s="12" t="str">
        <f>IFERROR(_xlfn.CONCAT(INDEX(Catalogo!$G$4:$G$1502,_xlfn.IFNA(MATCH(B639,Catalogo!$C$4:$C$1502,0),-1)),"-",INDEX(Catalogo!$H$4:$H$1502,_xlfn.IFNA(MATCH(B639,Catalogo!$C$4:$C$1502,0),-1))),"")</f>
        <v/>
      </c>
    </row>
    <row r="640" spans="2:4" x14ac:dyDescent="0.25">
      <c r="B640" s="9"/>
      <c r="C640" s="11" t="str">
        <f>IFERROR(INDEX(Catalogo!$E$4:$E$1502,_xlfn.IFNA(MATCH(B640,Catalogo!$C$4:$C$1502,0),-1)),"")</f>
        <v/>
      </c>
      <c r="D640" s="12" t="str">
        <f>IFERROR(_xlfn.CONCAT(INDEX(Catalogo!$G$4:$G$1502,_xlfn.IFNA(MATCH(B640,Catalogo!$C$4:$C$1502,0),-1)),"-",INDEX(Catalogo!$H$4:$H$1502,_xlfn.IFNA(MATCH(B640,Catalogo!$C$4:$C$1502,0),-1))),"")</f>
        <v/>
      </c>
    </row>
    <row r="641" spans="2:4" x14ac:dyDescent="0.25">
      <c r="B641" s="9"/>
      <c r="C641" s="11" t="str">
        <f>IFERROR(INDEX(Catalogo!$E$4:$E$1502,_xlfn.IFNA(MATCH(B641,Catalogo!$C$4:$C$1502,0),-1)),"")</f>
        <v/>
      </c>
      <c r="D641" s="12" t="str">
        <f>IFERROR(_xlfn.CONCAT(INDEX(Catalogo!$G$4:$G$1502,_xlfn.IFNA(MATCH(B641,Catalogo!$C$4:$C$1502,0),-1)),"-",INDEX(Catalogo!$H$4:$H$1502,_xlfn.IFNA(MATCH(B641,Catalogo!$C$4:$C$1502,0),-1))),"")</f>
        <v/>
      </c>
    </row>
    <row r="642" spans="2:4" x14ac:dyDescent="0.25">
      <c r="B642" s="8"/>
      <c r="C642" s="11" t="str">
        <f>IFERROR(INDEX(Catalogo!$E$4:$E$1502,_xlfn.IFNA(MATCH(B642,Catalogo!$C$4:$C$1502,0),-1)),"")</f>
        <v/>
      </c>
      <c r="D642" s="12" t="str">
        <f>IFERROR(_xlfn.CONCAT(INDEX(Catalogo!$G$4:$G$1502,_xlfn.IFNA(MATCH(B642,Catalogo!$C$4:$C$1502,0),-1)),"-",INDEX(Catalogo!$H$4:$H$1502,_xlfn.IFNA(MATCH(B642,Catalogo!$C$4:$C$1502,0),-1))),"")</f>
        <v/>
      </c>
    </row>
    <row r="643" spans="2:4" x14ac:dyDescent="0.25">
      <c r="B643" s="9"/>
      <c r="C643" s="11" t="str">
        <f>IFERROR(INDEX(Catalogo!$E$4:$E$1502,_xlfn.IFNA(MATCH(B643,Catalogo!$C$4:$C$1502,0),-1)),"")</f>
        <v/>
      </c>
      <c r="D643" s="12" t="str">
        <f>IFERROR(_xlfn.CONCAT(INDEX(Catalogo!$G$4:$G$1502,_xlfn.IFNA(MATCH(B643,Catalogo!$C$4:$C$1502,0),-1)),"-",INDEX(Catalogo!$H$4:$H$1502,_xlfn.IFNA(MATCH(B643,Catalogo!$C$4:$C$1502,0),-1))),"")</f>
        <v/>
      </c>
    </row>
    <row r="644" spans="2:4" x14ac:dyDescent="0.25">
      <c r="B644" s="9"/>
      <c r="C644" s="11" t="str">
        <f>IFERROR(INDEX(Catalogo!$E$4:$E$1502,_xlfn.IFNA(MATCH(B644,Catalogo!$C$4:$C$1502,0),-1)),"")</f>
        <v/>
      </c>
      <c r="D644" s="12" t="str">
        <f>IFERROR(_xlfn.CONCAT(INDEX(Catalogo!$G$4:$G$1502,_xlfn.IFNA(MATCH(B644,Catalogo!$C$4:$C$1502,0),-1)),"-",INDEX(Catalogo!$H$4:$H$1502,_xlfn.IFNA(MATCH(B644,Catalogo!$C$4:$C$1502,0),-1))),"")</f>
        <v/>
      </c>
    </row>
    <row r="645" spans="2:4" x14ac:dyDescent="0.25">
      <c r="B645" s="9"/>
      <c r="C645" s="11" t="str">
        <f>IFERROR(INDEX(Catalogo!$E$4:$E$1502,_xlfn.IFNA(MATCH(B645,Catalogo!$C$4:$C$1502,0),-1)),"")</f>
        <v/>
      </c>
      <c r="D645" s="12" t="str">
        <f>IFERROR(_xlfn.CONCAT(INDEX(Catalogo!$G$4:$G$1502,_xlfn.IFNA(MATCH(B645,Catalogo!$C$4:$C$1502,0),-1)),"-",INDEX(Catalogo!$H$4:$H$1502,_xlfn.IFNA(MATCH(B645,Catalogo!$C$4:$C$1502,0),-1))),"")</f>
        <v/>
      </c>
    </row>
    <row r="646" spans="2:4" x14ac:dyDescent="0.25">
      <c r="B646" s="9"/>
      <c r="C646" s="11" t="str">
        <f>IFERROR(INDEX(Catalogo!$E$4:$E$1502,_xlfn.IFNA(MATCH(B646,Catalogo!$C$4:$C$1502,0),-1)),"")</f>
        <v/>
      </c>
      <c r="D646" s="12" t="str">
        <f>IFERROR(_xlfn.CONCAT(INDEX(Catalogo!$G$4:$G$1502,_xlfn.IFNA(MATCH(B646,Catalogo!$C$4:$C$1502,0),-1)),"-",INDEX(Catalogo!$H$4:$H$1502,_xlfn.IFNA(MATCH(B646,Catalogo!$C$4:$C$1502,0),-1))),"")</f>
        <v/>
      </c>
    </row>
    <row r="647" spans="2:4" x14ac:dyDescent="0.25">
      <c r="B647" s="9"/>
      <c r="C647" s="11" t="str">
        <f>IFERROR(INDEX(Catalogo!$E$4:$E$1502,_xlfn.IFNA(MATCH(B647,Catalogo!$C$4:$C$1502,0),-1)),"")</f>
        <v/>
      </c>
      <c r="D647" s="12" t="str">
        <f>IFERROR(_xlfn.CONCAT(INDEX(Catalogo!$G$4:$G$1502,_xlfn.IFNA(MATCH(B647,Catalogo!$C$4:$C$1502,0),-1)),"-",INDEX(Catalogo!$H$4:$H$1502,_xlfn.IFNA(MATCH(B647,Catalogo!$C$4:$C$1502,0),-1))),"")</f>
        <v/>
      </c>
    </row>
    <row r="648" spans="2:4" x14ac:dyDescent="0.25">
      <c r="B648" s="9"/>
      <c r="C648" s="11" t="str">
        <f>IFERROR(INDEX(Catalogo!$E$4:$E$1502,_xlfn.IFNA(MATCH(B648,Catalogo!$C$4:$C$1502,0),-1)),"")</f>
        <v/>
      </c>
      <c r="D648" s="12" t="str">
        <f>IFERROR(_xlfn.CONCAT(INDEX(Catalogo!$G$4:$G$1502,_xlfn.IFNA(MATCH(B648,Catalogo!$C$4:$C$1502,0),-1)),"-",INDEX(Catalogo!$H$4:$H$1502,_xlfn.IFNA(MATCH(B648,Catalogo!$C$4:$C$1502,0),-1))),"")</f>
        <v/>
      </c>
    </row>
    <row r="649" spans="2:4" x14ac:dyDescent="0.25">
      <c r="B649" s="9"/>
      <c r="C649" s="11" t="str">
        <f>IFERROR(INDEX(Catalogo!$E$4:$E$1502,_xlfn.IFNA(MATCH(B649,Catalogo!$C$4:$C$1502,0),-1)),"")</f>
        <v/>
      </c>
      <c r="D649" s="12" t="str">
        <f>IFERROR(_xlfn.CONCAT(INDEX(Catalogo!$G$4:$G$1502,_xlfn.IFNA(MATCH(B649,Catalogo!$C$4:$C$1502,0),-1)),"-",INDEX(Catalogo!$H$4:$H$1502,_xlfn.IFNA(MATCH(B649,Catalogo!$C$4:$C$1502,0),-1))),"")</f>
        <v/>
      </c>
    </row>
    <row r="650" spans="2:4" x14ac:dyDescent="0.25">
      <c r="B650" s="9"/>
      <c r="C650" s="11" t="str">
        <f>IFERROR(INDEX(Catalogo!$E$4:$E$1502,_xlfn.IFNA(MATCH(B650,Catalogo!$C$4:$C$1502,0),-1)),"")</f>
        <v/>
      </c>
      <c r="D650" s="12" t="str">
        <f>IFERROR(_xlfn.CONCAT(INDEX(Catalogo!$G$4:$G$1502,_xlfn.IFNA(MATCH(B650,Catalogo!$C$4:$C$1502,0),-1)),"-",INDEX(Catalogo!$H$4:$H$1502,_xlfn.IFNA(MATCH(B650,Catalogo!$C$4:$C$1502,0),-1))),"")</f>
        <v/>
      </c>
    </row>
    <row r="651" spans="2:4" x14ac:dyDescent="0.25">
      <c r="B651" s="9"/>
      <c r="C651" s="11" t="str">
        <f>IFERROR(INDEX(Catalogo!$E$4:$E$1502,_xlfn.IFNA(MATCH(B651,Catalogo!$C$4:$C$1502,0),-1)),"")</f>
        <v/>
      </c>
      <c r="D651" s="12" t="str">
        <f>IFERROR(_xlfn.CONCAT(INDEX(Catalogo!$G$4:$G$1502,_xlfn.IFNA(MATCH(B651,Catalogo!$C$4:$C$1502,0),-1)),"-",INDEX(Catalogo!$H$4:$H$1502,_xlfn.IFNA(MATCH(B651,Catalogo!$C$4:$C$1502,0),-1))),"")</f>
        <v/>
      </c>
    </row>
    <row r="652" spans="2:4" x14ac:dyDescent="0.25">
      <c r="B652" s="9"/>
      <c r="C652" s="11" t="str">
        <f>IFERROR(INDEX(Catalogo!$E$4:$E$1502,_xlfn.IFNA(MATCH(B652,Catalogo!$C$4:$C$1502,0),-1)),"")</f>
        <v/>
      </c>
      <c r="D652" s="12" t="str">
        <f>IFERROR(_xlfn.CONCAT(INDEX(Catalogo!$G$4:$G$1502,_xlfn.IFNA(MATCH(B652,Catalogo!$C$4:$C$1502,0),-1)),"-",INDEX(Catalogo!$H$4:$H$1502,_xlfn.IFNA(MATCH(B652,Catalogo!$C$4:$C$1502,0),-1))),"")</f>
        <v/>
      </c>
    </row>
    <row r="653" spans="2:4" x14ac:dyDescent="0.25">
      <c r="B653" s="9"/>
      <c r="C653" s="11" t="str">
        <f>IFERROR(INDEX(Catalogo!$E$4:$E$1502,_xlfn.IFNA(MATCH(B653,Catalogo!$C$4:$C$1502,0),-1)),"")</f>
        <v/>
      </c>
      <c r="D653" s="12" t="str">
        <f>IFERROR(_xlfn.CONCAT(INDEX(Catalogo!$G$4:$G$1502,_xlfn.IFNA(MATCH(B653,Catalogo!$C$4:$C$1502,0),-1)),"-",INDEX(Catalogo!$H$4:$H$1502,_xlfn.IFNA(MATCH(B653,Catalogo!$C$4:$C$1502,0),-1))),"")</f>
        <v/>
      </c>
    </row>
    <row r="654" spans="2:4" x14ac:dyDescent="0.25">
      <c r="B654" s="9"/>
      <c r="C654" s="11" t="str">
        <f>IFERROR(INDEX(Catalogo!$E$4:$E$1502,_xlfn.IFNA(MATCH(B654,Catalogo!$C$4:$C$1502,0),-1)),"")</f>
        <v/>
      </c>
      <c r="D654" s="12" t="str">
        <f>IFERROR(_xlfn.CONCAT(INDEX(Catalogo!$G$4:$G$1502,_xlfn.IFNA(MATCH(B654,Catalogo!$C$4:$C$1502,0),-1)),"-",INDEX(Catalogo!$H$4:$H$1502,_xlfn.IFNA(MATCH(B654,Catalogo!$C$4:$C$1502,0),-1))),"")</f>
        <v/>
      </c>
    </row>
    <row r="655" spans="2:4" x14ac:dyDescent="0.25">
      <c r="B655" s="9"/>
      <c r="C655" s="11" t="str">
        <f>IFERROR(INDEX(Catalogo!$E$4:$E$1502,_xlfn.IFNA(MATCH(B655,Catalogo!$C$4:$C$1502,0),-1)),"")</f>
        <v/>
      </c>
      <c r="D655" s="12" t="str">
        <f>IFERROR(_xlfn.CONCAT(INDEX(Catalogo!$G$4:$G$1502,_xlfn.IFNA(MATCH(B655,Catalogo!$C$4:$C$1502,0),-1)),"-",INDEX(Catalogo!$H$4:$H$1502,_xlfn.IFNA(MATCH(B655,Catalogo!$C$4:$C$1502,0),-1))),"")</f>
        <v/>
      </c>
    </row>
    <row r="656" spans="2:4" x14ac:dyDescent="0.25">
      <c r="B656" s="9"/>
      <c r="C656" s="11" t="str">
        <f>IFERROR(INDEX(Catalogo!$E$4:$E$1502,_xlfn.IFNA(MATCH(B656,Catalogo!$C$4:$C$1502,0),-1)),"")</f>
        <v/>
      </c>
      <c r="D656" s="12" t="str">
        <f>IFERROR(_xlfn.CONCAT(INDEX(Catalogo!$G$4:$G$1502,_xlfn.IFNA(MATCH(B656,Catalogo!$C$4:$C$1502,0),-1)),"-",INDEX(Catalogo!$H$4:$H$1502,_xlfn.IFNA(MATCH(B656,Catalogo!$C$4:$C$1502,0),-1))),"")</f>
        <v/>
      </c>
    </row>
    <row r="657" spans="2:4" x14ac:dyDescent="0.25">
      <c r="B657" s="9"/>
      <c r="C657" s="11" t="str">
        <f>IFERROR(INDEX(Catalogo!$E$4:$E$1502,_xlfn.IFNA(MATCH(B657,Catalogo!$C$4:$C$1502,0),-1)),"")</f>
        <v/>
      </c>
      <c r="D657" s="12" t="str">
        <f>IFERROR(_xlfn.CONCAT(INDEX(Catalogo!$G$4:$G$1502,_xlfn.IFNA(MATCH(B657,Catalogo!$C$4:$C$1502,0),-1)),"-",INDEX(Catalogo!$H$4:$H$1502,_xlfn.IFNA(MATCH(B657,Catalogo!$C$4:$C$1502,0),-1))),"")</f>
        <v/>
      </c>
    </row>
    <row r="658" spans="2:4" x14ac:dyDescent="0.25">
      <c r="B658" s="9"/>
      <c r="C658" s="11" t="str">
        <f>IFERROR(INDEX(Catalogo!$E$4:$E$1502,_xlfn.IFNA(MATCH(B658,Catalogo!$C$4:$C$1502,0),-1)),"")</f>
        <v/>
      </c>
      <c r="D658" s="12" t="str">
        <f>IFERROR(_xlfn.CONCAT(INDEX(Catalogo!$G$4:$G$1502,_xlfn.IFNA(MATCH(B658,Catalogo!$C$4:$C$1502,0),-1)),"-",INDEX(Catalogo!$H$4:$H$1502,_xlfn.IFNA(MATCH(B658,Catalogo!$C$4:$C$1502,0),-1))),"")</f>
        <v/>
      </c>
    </row>
    <row r="659" spans="2:4" x14ac:dyDescent="0.25">
      <c r="B659" s="9"/>
      <c r="C659" s="11" t="str">
        <f>IFERROR(INDEX(Catalogo!$E$4:$E$1502,_xlfn.IFNA(MATCH(B659,Catalogo!$C$4:$C$1502,0),-1)),"")</f>
        <v/>
      </c>
      <c r="D659" s="12" t="str">
        <f>IFERROR(_xlfn.CONCAT(INDEX(Catalogo!$G$4:$G$1502,_xlfn.IFNA(MATCH(B659,Catalogo!$C$4:$C$1502,0),-1)),"-",INDEX(Catalogo!$H$4:$H$1502,_xlfn.IFNA(MATCH(B659,Catalogo!$C$4:$C$1502,0),-1))),"")</f>
        <v/>
      </c>
    </row>
    <row r="660" spans="2:4" x14ac:dyDescent="0.25">
      <c r="B660" s="9"/>
      <c r="C660" s="11" t="str">
        <f>IFERROR(INDEX(Catalogo!$E$4:$E$1502,_xlfn.IFNA(MATCH(B660,Catalogo!$C$4:$C$1502,0),-1)),"")</f>
        <v/>
      </c>
      <c r="D660" s="12" t="str">
        <f>IFERROR(_xlfn.CONCAT(INDEX(Catalogo!$G$4:$G$1502,_xlfn.IFNA(MATCH(B660,Catalogo!$C$4:$C$1502,0),-1)),"-",INDEX(Catalogo!$H$4:$H$1502,_xlfn.IFNA(MATCH(B660,Catalogo!$C$4:$C$1502,0),-1))),"")</f>
        <v/>
      </c>
    </row>
    <row r="661" spans="2:4" x14ac:dyDescent="0.25">
      <c r="B661" s="9"/>
      <c r="C661" s="11" t="str">
        <f>IFERROR(INDEX(Catalogo!$E$4:$E$1502,_xlfn.IFNA(MATCH(B661,Catalogo!$C$4:$C$1502,0),-1)),"")</f>
        <v/>
      </c>
      <c r="D661" s="12" t="str">
        <f>IFERROR(_xlfn.CONCAT(INDEX(Catalogo!$G$4:$G$1502,_xlfn.IFNA(MATCH(B661,Catalogo!$C$4:$C$1502,0),-1)),"-",INDEX(Catalogo!$H$4:$H$1502,_xlfn.IFNA(MATCH(B661,Catalogo!$C$4:$C$1502,0),-1))),"")</f>
        <v/>
      </c>
    </row>
    <row r="662" spans="2:4" x14ac:dyDescent="0.25">
      <c r="B662" s="9"/>
      <c r="C662" s="11" t="str">
        <f>IFERROR(INDEX(Catalogo!$E$4:$E$1502,_xlfn.IFNA(MATCH(B662,Catalogo!$C$4:$C$1502,0),-1)),"")</f>
        <v/>
      </c>
      <c r="D662" s="12" t="str">
        <f>IFERROR(_xlfn.CONCAT(INDEX(Catalogo!$G$4:$G$1502,_xlfn.IFNA(MATCH(B662,Catalogo!$C$4:$C$1502,0),-1)),"-",INDEX(Catalogo!$H$4:$H$1502,_xlfn.IFNA(MATCH(B662,Catalogo!$C$4:$C$1502,0),-1))),"")</f>
        <v/>
      </c>
    </row>
    <row r="663" spans="2:4" x14ac:dyDescent="0.25">
      <c r="B663" s="9"/>
      <c r="C663" s="11" t="str">
        <f>IFERROR(INDEX(Catalogo!$E$4:$E$1502,_xlfn.IFNA(MATCH(B663,Catalogo!$C$4:$C$1502,0),-1)),"")</f>
        <v/>
      </c>
      <c r="D663" s="12" t="str">
        <f>IFERROR(_xlfn.CONCAT(INDEX(Catalogo!$G$4:$G$1502,_xlfn.IFNA(MATCH(B663,Catalogo!$C$4:$C$1502,0),-1)),"-",INDEX(Catalogo!$H$4:$H$1502,_xlfn.IFNA(MATCH(B663,Catalogo!$C$4:$C$1502,0),-1))),"")</f>
        <v/>
      </c>
    </row>
    <row r="664" spans="2:4" x14ac:dyDescent="0.25">
      <c r="B664" s="9"/>
      <c r="C664" s="11" t="str">
        <f>IFERROR(INDEX(Catalogo!$E$4:$E$1502,_xlfn.IFNA(MATCH(B664,Catalogo!$C$4:$C$1502,0),-1)),"")</f>
        <v/>
      </c>
      <c r="D664" s="12" t="str">
        <f>IFERROR(_xlfn.CONCAT(INDEX(Catalogo!$G$4:$G$1502,_xlfn.IFNA(MATCH(B664,Catalogo!$C$4:$C$1502,0),-1)),"-",INDEX(Catalogo!$H$4:$H$1502,_xlfn.IFNA(MATCH(B664,Catalogo!$C$4:$C$1502,0),-1))),"")</f>
        <v/>
      </c>
    </row>
    <row r="665" spans="2:4" x14ac:dyDescent="0.25">
      <c r="B665" s="9"/>
      <c r="C665" s="11" t="str">
        <f>IFERROR(INDEX(Catalogo!$E$4:$E$1502,_xlfn.IFNA(MATCH(B665,Catalogo!$C$4:$C$1502,0),-1)),"")</f>
        <v/>
      </c>
      <c r="D665" s="12" t="str">
        <f>IFERROR(_xlfn.CONCAT(INDEX(Catalogo!$G$4:$G$1502,_xlfn.IFNA(MATCH(B665,Catalogo!$C$4:$C$1502,0),-1)),"-",INDEX(Catalogo!$H$4:$H$1502,_xlfn.IFNA(MATCH(B665,Catalogo!$C$4:$C$1502,0),-1))),"")</f>
        <v/>
      </c>
    </row>
    <row r="666" spans="2:4" x14ac:dyDescent="0.25">
      <c r="B666" s="9"/>
      <c r="C666" s="11" t="str">
        <f>IFERROR(INDEX(Catalogo!$E$4:$E$1502,_xlfn.IFNA(MATCH(B666,Catalogo!$C$4:$C$1502,0),-1)),"")</f>
        <v/>
      </c>
      <c r="D666" s="12" t="str">
        <f>IFERROR(_xlfn.CONCAT(INDEX(Catalogo!$G$4:$G$1502,_xlfn.IFNA(MATCH(B666,Catalogo!$C$4:$C$1502,0),-1)),"-",INDEX(Catalogo!$H$4:$H$1502,_xlfn.IFNA(MATCH(B666,Catalogo!$C$4:$C$1502,0),-1))),"")</f>
        <v/>
      </c>
    </row>
    <row r="667" spans="2:4" x14ac:dyDescent="0.25">
      <c r="B667" s="9"/>
      <c r="C667" s="11" t="str">
        <f>IFERROR(INDEX(Catalogo!$E$4:$E$1502,_xlfn.IFNA(MATCH(B667,Catalogo!$C$4:$C$1502,0),-1)),"")</f>
        <v/>
      </c>
      <c r="D667" s="12" t="str">
        <f>IFERROR(_xlfn.CONCAT(INDEX(Catalogo!$G$4:$G$1502,_xlfn.IFNA(MATCH(B667,Catalogo!$C$4:$C$1502,0),-1)),"-",INDEX(Catalogo!$H$4:$H$1502,_xlfn.IFNA(MATCH(B667,Catalogo!$C$4:$C$1502,0),-1))),"")</f>
        <v/>
      </c>
    </row>
    <row r="668" spans="2:4" x14ac:dyDescent="0.25">
      <c r="B668" s="18"/>
      <c r="C668" s="11" t="str">
        <f>IFERROR(INDEX(Catalogo!$E$4:$E$1502,_xlfn.IFNA(MATCH(B668,Catalogo!$C$4:$C$1502,0),-1)),"")</f>
        <v/>
      </c>
      <c r="D668" s="12" t="str">
        <f>IFERROR(_xlfn.CONCAT(INDEX(Catalogo!$G$4:$G$1502,_xlfn.IFNA(MATCH(B668,Catalogo!$C$4:$C$1502,0),-1)),"-",INDEX(Catalogo!$H$4:$H$1502,_xlfn.IFNA(MATCH(B668,Catalogo!$C$4:$C$1502,0),-1))),"")</f>
        <v/>
      </c>
    </row>
    <row r="669" spans="2:4" x14ac:dyDescent="0.25">
      <c r="B669" s="9"/>
      <c r="C669" s="11" t="str">
        <f>IFERROR(INDEX(Catalogo!$E$4:$E$1502,_xlfn.IFNA(MATCH(B669,Catalogo!$C$4:$C$1502,0),-1)),"")</f>
        <v/>
      </c>
      <c r="D669" s="12" t="str">
        <f>IFERROR(_xlfn.CONCAT(INDEX(Catalogo!$G$4:$G$1502,_xlfn.IFNA(MATCH(B669,Catalogo!$C$4:$C$1502,0),-1)),"-",INDEX(Catalogo!$H$4:$H$1502,_xlfn.IFNA(MATCH(B669,Catalogo!$C$4:$C$1502,0),-1))),"")</f>
        <v/>
      </c>
    </row>
    <row r="670" spans="2:4" x14ac:dyDescent="0.25">
      <c r="B670" s="9"/>
      <c r="C670" s="11" t="str">
        <f>IFERROR(INDEX(Catalogo!$E$4:$E$1502,_xlfn.IFNA(MATCH(B670,Catalogo!$C$4:$C$1502,0),-1)),"")</f>
        <v/>
      </c>
      <c r="D670" s="12" t="str">
        <f>IFERROR(_xlfn.CONCAT(INDEX(Catalogo!$G$4:$G$1502,_xlfn.IFNA(MATCH(B670,Catalogo!$C$4:$C$1502,0),-1)),"-",INDEX(Catalogo!$H$4:$H$1502,_xlfn.IFNA(MATCH(B670,Catalogo!$C$4:$C$1502,0),-1))),"")</f>
        <v/>
      </c>
    </row>
    <row r="671" spans="2:4" x14ac:dyDescent="0.25">
      <c r="B671" s="17"/>
      <c r="C671" s="11" t="str">
        <f>IFERROR(INDEX(Catalogo!$E$4:$E$1502,_xlfn.IFNA(MATCH(B671,Catalogo!$C$4:$C$1502,0),-1)),"")</f>
        <v/>
      </c>
      <c r="D671" s="12" t="str">
        <f>IFERROR(_xlfn.CONCAT(INDEX(Catalogo!$G$4:$G$1502,_xlfn.IFNA(MATCH(B671,Catalogo!$C$4:$C$1502,0),-1)),"-",INDEX(Catalogo!$H$4:$H$1502,_xlfn.IFNA(MATCH(B671,Catalogo!$C$4:$C$1502,0),-1))),"")</f>
        <v/>
      </c>
    </row>
    <row r="672" spans="2:4" x14ac:dyDescent="0.25">
      <c r="B672" s="9"/>
      <c r="C672" s="11" t="str">
        <f>IFERROR(INDEX(Catalogo!$E$4:$E$1502,_xlfn.IFNA(MATCH(B672,Catalogo!$C$4:$C$1502,0),-1)),"")</f>
        <v/>
      </c>
      <c r="D672" s="12" t="str">
        <f>IFERROR(_xlfn.CONCAT(INDEX(Catalogo!$G$4:$G$1502,_xlfn.IFNA(MATCH(B672,Catalogo!$C$4:$C$1502,0),-1)),"-",INDEX(Catalogo!$H$4:$H$1502,_xlfn.IFNA(MATCH(B672,Catalogo!$C$4:$C$1502,0),-1))),"")</f>
        <v/>
      </c>
    </row>
    <row r="673" spans="2:4" x14ac:dyDescent="0.25">
      <c r="B673" s="8"/>
      <c r="C673" s="11" t="str">
        <f>IFERROR(INDEX(Catalogo!$E$4:$E$1502,_xlfn.IFNA(MATCH(B673,Catalogo!$C$4:$C$1502,0),-1)),"")</f>
        <v/>
      </c>
      <c r="D673" s="12" t="str">
        <f>IFERROR(_xlfn.CONCAT(INDEX(Catalogo!$G$4:$G$1502,_xlfn.IFNA(MATCH(B673,Catalogo!$C$4:$C$1502,0),-1)),"-",INDEX(Catalogo!$H$4:$H$1502,_xlfn.IFNA(MATCH(B673,Catalogo!$C$4:$C$1502,0),-1))),"")</f>
        <v/>
      </c>
    </row>
    <row r="674" spans="2:4" x14ac:dyDescent="0.25">
      <c r="B674" s="9"/>
      <c r="C674" s="11" t="str">
        <f>IFERROR(INDEX(Catalogo!$E$4:$E$1502,_xlfn.IFNA(MATCH(B674,Catalogo!$C$4:$C$1502,0),-1)),"")</f>
        <v/>
      </c>
      <c r="D674" s="12" t="str">
        <f>IFERROR(_xlfn.CONCAT(INDEX(Catalogo!$G$4:$G$1502,_xlfn.IFNA(MATCH(B674,Catalogo!$C$4:$C$1502,0),-1)),"-",INDEX(Catalogo!$H$4:$H$1502,_xlfn.IFNA(MATCH(B674,Catalogo!$C$4:$C$1502,0),-1))),"")</f>
        <v/>
      </c>
    </row>
    <row r="675" spans="2:4" x14ac:dyDescent="0.25">
      <c r="B675" s="16"/>
      <c r="C675" s="11" t="str">
        <f>IFERROR(INDEX(Catalogo!$E$4:$E$1502,_xlfn.IFNA(MATCH(B675,Catalogo!$C$4:$C$1502,0),-1)),"")</f>
        <v/>
      </c>
      <c r="D675" s="12" t="str">
        <f>IFERROR(_xlfn.CONCAT(INDEX(Catalogo!$G$4:$G$1502,_xlfn.IFNA(MATCH(B675,Catalogo!$C$4:$C$1502,0),-1)),"-",INDEX(Catalogo!$H$4:$H$1502,_xlfn.IFNA(MATCH(B675,Catalogo!$C$4:$C$1502,0),-1))),"")</f>
        <v/>
      </c>
    </row>
    <row r="676" spans="2:4" x14ac:dyDescent="0.25">
      <c r="B676" s="9"/>
      <c r="C676" s="11" t="str">
        <f>IFERROR(INDEX(Catalogo!$E$4:$E$1502,_xlfn.IFNA(MATCH(B676,Catalogo!$C$4:$C$1502,0),-1)),"")</f>
        <v/>
      </c>
      <c r="D676" s="12" t="str">
        <f>IFERROR(_xlfn.CONCAT(INDEX(Catalogo!$G$4:$G$1502,_xlfn.IFNA(MATCH(B676,Catalogo!$C$4:$C$1502,0),-1)),"-",INDEX(Catalogo!$H$4:$H$1502,_xlfn.IFNA(MATCH(B676,Catalogo!$C$4:$C$1502,0),-1))),"")</f>
        <v/>
      </c>
    </row>
    <row r="677" spans="2:4" x14ac:dyDescent="0.25">
      <c r="B677" s="8"/>
      <c r="C677" s="11" t="str">
        <f>IFERROR(INDEX(Catalogo!$E$4:$E$1502,_xlfn.IFNA(MATCH(B677,Catalogo!$C$4:$C$1502,0),-1)),"")</f>
        <v/>
      </c>
      <c r="D677" s="12" t="str">
        <f>IFERROR(_xlfn.CONCAT(INDEX(Catalogo!$G$4:$G$1502,_xlfn.IFNA(MATCH(B677,Catalogo!$C$4:$C$1502,0),-1)),"-",INDEX(Catalogo!$H$4:$H$1502,_xlfn.IFNA(MATCH(B677,Catalogo!$C$4:$C$1502,0),-1))),"")</f>
        <v/>
      </c>
    </row>
    <row r="678" spans="2:4" x14ac:dyDescent="0.25">
      <c r="B678" s="20"/>
      <c r="C678" s="11" t="str">
        <f>IFERROR(INDEX(Catalogo!$E$4:$E$1502,_xlfn.IFNA(MATCH(B678,Catalogo!$C$4:$C$1502,0),-1)),"")</f>
        <v/>
      </c>
      <c r="D678" s="12" t="str">
        <f>IFERROR(_xlfn.CONCAT(INDEX(Catalogo!$G$4:$G$1502,_xlfn.IFNA(MATCH(B678,Catalogo!$C$4:$C$1502,0),-1)),"-",INDEX(Catalogo!$H$4:$H$1502,_xlfn.IFNA(MATCH(B678,Catalogo!$C$4:$C$1502,0),-1))),"")</f>
        <v/>
      </c>
    </row>
    <row r="679" spans="2:4" x14ac:dyDescent="0.25">
      <c r="B679" s="8"/>
      <c r="C679" s="11" t="str">
        <f>IFERROR(INDEX(Catalogo!$E$4:$E$1502,_xlfn.IFNA(MATCH(B679,Catalogo!$C$4:$C$1502,0),-1)),"")</f>
        <v/>
      </c>
      <c r="D679" s="12" t="str">
        <f>IFERROR(_xlfn.CONCAT(INDEX(Catalogo!$G$4:$G$1502,_xlfn.IFNA(MATCH(B679,Catalogo!$C$4:$C$1502,0),-1)),"-",INDEX(Catalogo!$H$4:$H$1502,_xlfn.IFNA(MATCH(B679,Catalogo!$C$4:$C$1502,0),-1))),"")</f>
        <v/>
      </c>
    </row>
    <row r="680" spans="2:4" x14ac:dyDescent="0.25">
      <c r="B680" s="9"/>
      <c r="C680" s="11" t="str">
        <f>IFERROR(INDEX(Catalogo!$E$4:$E$1502,_xlfn.IFNA(MATCH(B680,Catalogo!$C$4:$C$1502,0),-1)),"")</f>
        <v/>
      </c>
      <c r="D680" s="12" t="str">
        <f>IFERROR(_xlfn.CONCAT(INDEX(Catalogo!$G$4:$G$1502,_xlfn.IFNA(MATCH(B680,Catalogo!$C$4:$C$1502,0),-1)),"-",INDEX(Catalogo!$H$4:$H$1502,_xlfn.IFNA(MATCH(B680,Catalogo!$C$4:$C$1502,0),-1))),"")</f>
        <v/>
      </c>
    </row>
    <row r="681" spans="2:4" x14ac:dyDescent="0.25">
      <c r="B681" s="9"/>
      <c r="C681" s="11" t="str">
        <f>IFERROR(INDEX(Catalogo!$E$4:$E$1502,_xlfn.IFNA(MATCH(B681,Catalogo!$C$4:$C$1502,0),-1)),"")</f>
        <v/>
      </c>
      <c r="D681" s="12" t="str">
        <f>IFERROR(_xlfn.CONCAT(INDEX(Catalogo!$G$4:$G$1502,_xlfn.IFNA(MATCH(B681,Catalogo!$C$4:$C$1502,0),-1)),"-",INDEX(Catalogo!$H$4:$H$1502,_xlfn.IFNA(MATCH(B681,Catalogo!$C$4:$C$1502,0),-1))),"")</f>
        <v/>
      </c>
    </row>
    <row r="682" spans="2:4" x14ac:dyDescent="0.25">
      <c r="B682" s="9"/>
      <c r="C682" s="11" t="str">
        <f>IFERROR(INDEX(Catalogo!$E$4:$E$1502,_xlfn.IFNA(MATCH(B682,Catalogo!$C$4:$C$1502,0),-1)),"")</f>
        <v/>
      </c>
      <c r="D682" s="12" t="str">
        <f>IFERROR(_xlfn.CONCAT(INDEX(Catalogo!$G$4:$G$1502,_xlfn.IFNA(MATCH(B682,Catalogo!$C$4:$C$1502,0),-1)),"-",INDEX(Catalogo!$H$4:$H$1502,_xlfn.IFNA(MATCH(B682,Catalogo!$C$4:$C$1502,0),-1))),"")</f>
        <v/>
      </c>
    </row>
    <row r="683" spans="2:4" x14ac:dyDescent="0.25">
      <c r="B683" s="9"/>
      <c r="C683" s="11" t="str">
        <f>IFERROR(INDEX(Catalogo!$E$4:$E$1502,_xlfn.IFNA(MATCH(B683,Catalogo!$C$4:$C$1502,0),-1)),"")</f>
        <v/>
      </c>
      <c r="D683" s="12" t="str">
        <f>IFERROR(_xlfn.CONCAT(INDEX(Catalogo!$G$4:$G$1502,_xlfn.IFNA(MATCH(B683,Catalogo!$C$4:$C$1502,0),-1)),"-",INDEX(Catalogo!$H$4:$H$1502,_xlfn.IFNA(MATCH(B683,Catalogo!$C$4:$C$1502,0),-1))),"")</f>
        <v/>
      </c>
    </row>
    <row r="684" spans="2:4" x14ac:dyDescent="0.25">
      <c r="B684" s="9"/>
      <c r="C684" s="11" t="str">
        <f>IFERROR(INDEX(Catalogo!$E$4:$E$1502,_xlfn.IFNA(MATCH(B684,Catalogo!$C$4:$C$1502,0),-1)),"")</f>
        <v/>
      </c>
      <c r="D684" s="12" t="str">
        <f>IFERROR(_xlfn.CONCAT(INDEX(Catalogo!$G$4:$G$1502,_xlfn.IFNA(MATCH(B684,Catalogo!$C$4:$C$1502,0),-1)),"-",INDEX(Catalogo!$H$4:$H$1502,_xlfn.IFNA(MATCH(B684,Catalogo!$C$4:$C$1502,0),-1))),"")</f>
        <v/>
      </c>
    </row>
    <row r="685" spans="2:4" x14ac:dyDescent="0.25">
      <c r="B685" s="9"/>
      <c r="C685" s="11" t="str">
        <f>IFERROR(INDEX(Catalogo!$E$4:$E$1502,_xlfn.IFNA(MATCH(B685,Catalogo!$C$4:$C$1502,0),-1)),"")</f>
        <v/>
      </c>
      <c r="D685" s="12" t="str">
        <f>IFERROR(_xlfn.CONCAT(INDEX(Catalogo!$G$4:$G$1502,_xlfn.IFNA(MATCH(B685,Catalogo!$C$4:$C$1502,0),-1)),"-",INDEX(Catalogo!$H$4:$H$1502,_xlfn.IFNA(MATCH(B685,Catalogo!$C$4:$C$1502,0),-1))),"")</f>
        <v/>
      </c>
    </row>
    <row r="686" spans="2:4" x14ac:dyDescent="0.25">
      <c r="B686" s="9"/>
      <c r="C686" s="11" t="str">
        <f>IFERROR(INDEX(Catalogo!$E$4:$E$1502,_xlfn.IFNA(MATCH(B686,Catalogo!$C$4:$C$1502,0),-1)),"")</f>
        <v/>
      </c>
      <c r="D686" s="12" t="str">
        <f>IFERROR(_xlfn.CONCAT(INDEX(Catalogo!$G$4:$G$1502,_xlfn.IFNA(MATCH(B686,Catalogo!$C$4:$C$1502,0),-1)),"-",INDEX(Catalogo!$H$4:$H$1502,_xlfn.IFNA(MATCH(B686,Catalogo!$C$4:$C$1502,0),-1))),"")</f>
        <v/>
      </c>
    </row>
    <row r="687" spans="2:4" x14ac:dyDescent="0.25">
      <c r="B687" s="9"/>
      <c r="C687" s="11" t="str">
        <f>IFERROR(INDEX(Catalogo!$E$4:$E$1502,_xlfn.IFNA(MATCH(B687,Catalogo!$C$4:$C$1502,0),-1)),"")</f>
        <v/>
      </c>
      <c r="D687" s="12" t="str">
        <f>IFERROR(_xlfn.CONCAT(INDEX(Catalogo!$G$4:$G$1502,_xlfn.IFNA(MATCH(B687,Catalogo!$C$4:$C$1502,0),-1)),"-",INDEX(Catalogo!$H$4:$H$1502,_xlfn.IFNA(MATCH(B687,Catalogo!$C$4:$C$1502,0),-1))),"")</f>
        <v/>
      </c>
    </row>
    <row r="688" spans="2:4" x14ac:dyDescent="0.25">
      <c r="B688" s="8"/>
      <c r="C688" s="11" t="str">
        <f>IFERROR(INDEX(Catalogo!$E$4:$E$1502,_xlfn.IFNA(MATCH(B688,Catalogo!$C$4:$C$1502,0),-1)),"")</f>
        <v/>
      </c>
      <c r="D688" s="12" t="str">
        <f>IFERROR(_xlfn.CONCAT(INDEX(Catalogo!$G$4:$G$1502,_xlfn.IFNA(MATCH(B688,Catalogo!$C$4:$C$1502,0),-1)),"-",INDEX(Catalogo!$H$4:$H$1502,_xlfn.IFNA(MATCH(B688,Catalogo!$C$4:$C$1502,0),-1))),"")</f>
        <v/>
      </c>
    </row>
    <row r="689" spans="2:4" x14ac:dyDescent="0.25">
      <c r="B689" s="8"/>
      <c r="C689" s="11" t="str">
        <f>IFERROR(INDEX(Catalogo!$E$4:$E$1502,_xlfn.IFNA(MATCH(B689,Catalogo!$C$4:$C$1502,0),-1)),"")</f>
        <v/>
      </c>
      <c r="D689" s="12" t="str">
        <f>IFERROR(_xlfn.CONCAT(INDEX(Catalogo!$G$4:$G$1502,_xlfn.IFNA(MATCH(B689,Catalogo!$C$4:$C$1502,0),-1)),"-",INDEX(Catalogo!$H$4:$H$1502,_xlfn.IFNA(MATCH(B689,Catalogo!$C$4:$C$1502,0),-1))),"")</f>
        <v/>
      </c>
    </row>
    <row r="690" spans="2:4" x14ac:dyDescent="0.25">
      <c r="B690" s="9"/>
      <c r="C690" s="11" t="str">
        <f>IFERROR(INDEX(Catalogo!$E$4:$E$1502,_xlfn.IFNA(MATCH(B690,Catalogo!$C$4:$C$1502,0),-1)),"")</f>
        <v/>
      </c>
      <c r="D690" s="12" t="str">
        <f>IFERROR(_xlfn.CONCAT(INDEX(Catalogo!$G$4:$G$1502,_xlfn.IFNA(MATCH(B690,Catalogo!$C$4:$C$1502,0),-1)),"-",INDEX(Catalogo!$H$4:$H$1502,_xlfn.IFNA(MATCH(B690,Catalogo!$C$4:$C$1502,0),-1))),"")</f>
        <v/>
      </c>
    </row>
    <row r="691" spans="2:4" x14ac:dyDescent="0.25">
      <c r="B691" s="9"/>
      <c r="C691" s="11" t="str">
        <f>IFERROR(INDEX(Catalogo!$E$4:$E$1502,_xlfn.IFNA(MATCH(B691,Catalogo!$C$4:$C$1502,0),-1)),"")</f>
        <v/>
      </c>
      <c r="D691" s="12" t="str">
        <f>IFERROR(_xlfn.CONCAT(INDEX(Catalogo!$G$4:$G$1502,_xlfn.IFNA(MATCH(B691,Catalogo!$C$4:$C$1502,0),-1)),"-",INDEX(Catalogo!$H$4:$H$1502,_xlfn.IFNA(MATCH(B691,Catalogo!$C$4:$C$1502,0),-1))),"")</f>
        <v/>
      </c>
    </row>
    <row r="692" spans="2:4" x14ac:dyDescent="0.25">
      <c r="B692" s="9"/>
      <c r="C692" s="11" t="str">
        <f>IFERROR(INDEX(Catalogo!$E$4:$E$1502,_xlfn.IFNA(MATCH(B692,Catalogo!$C$4:$C$1502,0),-1)),"")</f>
        <v/>
      </c>
      <c r="D692" s="12" t="str">
        <f>IFERROR(_xlfn.CONCAT(INDEX(Catalogo!$G$4:$G$1502,_xlfn.IFNA(MATCH(B692,Catalogo!$C$4:$C$1502,0),-1)),"-",INDEX(Catalogo!$H$4:$H$1502,_xlfn.IFNA(MATCH(B692,Catalogo!$C$4:$C$1502,0),-1))),"")</f>
        <v/>
      </c>
    </row>
    <row r="693" spans="2:4" x14ac:dyDescent="0.25">
      <c r="B693" s="9"/>
      <c r="C693" s="11" t="str">
        <f>IFERROR(INDEX(Catalogo!$E$4:$E$1502,_xlfn.IFNA(MATCH(B693,Catalogo!$C$4:$C$1502,0),-1)),"")</f>
        <v/>
      </c>
      <c r="D693" s="12" t="str">
        <f>IFERROR(_xlfn.CONCAT(INDEX(Catalogo!$G$4:$G$1502,_xlfn.IFNA(MATCH(B693,Catalogo!$C$4:$C$1502,0),-1)),"-",INDEX(Catalogo!$H$4:$H$1502,_xlfn.IFNA(MATCH(B693,Catalogo!$C$4:$C$1502,0),-1))),"")</f>
        <v/>
      </c>
    </row>
    <row r="694" spans="2:4" x14ac:dyDescent="0.25">
      <c r="B694" s="9"/>
      <c r="C694" s="11" t="str">
        <f>IFERROR(INDEX(Catalogo!$E$4:$E$1502,_xlfn.IFNA(MATCH(B694,Catalogo!$C$4:$C$1502,0),-1)),"")</f>
        <v/>
      </c>
      <c r="D694" s="12" t="str">
        <f>IFERROR(_xlfn.CONCAT(INDEX(Catalogo!$G$4:$G$1502,_xlfn.IFNA(MATCH(B694,Catalogo!$C$4:$C$1502,0),-1)),"-",INDEX(Catalogo!$H$4:$H$1502,_xlfn.IFNA(MATCH(B694,Catalogo!$C$4:$C$1502,0),-1))),"")</f>
        <v/>
      </c>
    </row>
    <row r="695" spans="2:4" x14ac:dyDescent="0.25">
      <c r="B695" s="8"/>
      <c r="C695" s="11" t="str">
        <f>IFERROR(INDEX(Catalogo!$E$4:$E$1502,_xlfn.IFNA(MATCH(B695,Catalogo!$C$4:$C$1502,0),-1)),"")</f>
        <v/>
      </c>
      <c r="D695" s="12" t="str">
        <f>IFERROR(_xlfn.CONCAT(INDEX(Catalogo!$G$4:$G$1502,_xlfn.IFNA(MATCH(B695,Catalogo!$C$4:$C$1502,0),-1)),"-",INDEX(Catalogo!$H$4:$H$1502,_xlfn.IFNA(MATCH(B695,Catalogo!$C$4:$C$1502,0),-1))),"")</f>
        <v/>
      </c>
    </row>
    <row r="696" spans="2:4" x14ac:dyDescent="0.25">
      <c r="B696" s="9"/>
      <c r="C696" s="11" t="str">
        <f>IFERROR(INDEX(Catalogo!$E$4:$E$1502,_xlfn.IFNA(MATCH(B696,Catalogo!$C$4:$C$1502,0),-1)),"")</f>
        <v/>
      </c>
      <c r="D696" s="12" t="str">
        <f>IFERROR(_xlfn.CONCAT(INDEX(Catalogo!$G$4:$G$1502,_xlfn.IFNA(MATCH(B696,Catalogo!$C$4:$C$1502,0),-1)),"-",INDEX(Catalogo!$H$4:$H$1502,_xlfn.IFNA(MATCH(B696,Catalogo!$C$4:$C$1502,0),-1))),"")</f>
        <v/>
      </c>
    </row>
    <row r="697" spans="2:4" x14ac:dyDescent="0.25">
      <c r="B697" s="9"/>
      <c r="C697" s="11" t="str">
        <f>IFERROR(INDEX(Catalogo!$E$4:$E$1502,_xlfn.IFNA(MATCH(B697,Catalogo!$C$4:$C$1502,0),-1)),"")</f>
        <v/>
      </c>
      <c r="D697" s="12" t="str">
        <f>IFERROR(_xlfn.CONCAT(INDEX(Catalogo!$G$4:$G$1502,_xlfn.IFNA(MATCH(B697,Catalogo!$C$4:$C$1502,0),-1)),"-",INDEX(Catalogo!$H$4:$H$1502,_xlfn.IFNA(MATCH(B697,Catalogo!$C$4:$C$1502,0),-1))),"")</f>
        <v/>
      </c>
    </row>
    <row r="698" spans="2:4" x14ac:dyDescent="0.25">
      <c r="B698" s="9"/>
      <c r="C698" s="11" t="str">
        <f>IFERROR(INDEX(Catalogo!$E$4:$E$1502,_xlfn.IFNA(MATCH(B698,Catalogo!$C$4:$C$1502,0),-1)),"")</f>
        <v/>
      </c>
      <c r="D698" s="12" t="str">
        <f>IFERROR(_xlfn.CONCAT(INDEX(Catalogo!$G$4:$G$1502,_xlfn.IFNA(MATCH(B698,Catalogo!$C$4:$C$1502,0),-1)),"-",INDEX(Catalogo!$H$4:$H$1502,_xlfn.IFNA(MATCH(B698,Catalogo!$C$4:$C$1502,0),-1))),"")</f>
        <v/>
      </c>
    </row>
    <row r="699" spans="2:4" x14ac:dyDescent="0.25">
      <c r="B699" s="8"/>
      <c r="C699" s="11" t="str">
        <f>IFERROR(INDEX(Catalogo!$E$4:$E$1502,_xlfn.IFNA(MATCH(B699,Catalogo!$C$4:$C$1502,0),-1)),"")</f>
        <v/>
      </c>
      <c r="D699" s="12" t="str">
        <f>IFERROR(_xlfn.CONCAT(INDEX(Catalogo!$G$4:$G$1502,_xlfn.IFNA(MATCH(B699,Catalogo!$C$4:$C$1502,0),-1)),"-",INDEX(Catalogo!$H$4:$H$1502,_xlfn.IFNA(MATCH(B699,Catalogo!$C$4:$C$1502,0),-1))),"")</f>
        <v/>
      </c>
    </row>
    <row r="700" spans="2:4" x14ac:dyDescent="0.25">
      <c r="B700" s="8"/>
      <c r="C700" s="11" t="str">
        <f>IFERROR(INDEX(Catalogo!$E$4:$E$1502,_xlfn.IFNA(MATCH(B700,Catalogo!$C$4:$C$1502,0),-1)),"")</f>
        <v/>
      </c>
      <c r="D700" s="12" t="str">
        <f>IFERROR(_xlfn.CONCAT(INDEX(Catalogo!$G$4:$G$1502,_xlfn.IFNA(MATCH(B700,Catalogo!$C$4:$C$1502,0),-1)),"-",INDEX(Catalogo!$H$4:$H$1502,_xlfn.IFNA(MATCH(B700,Catalogo!$C$4:$C$1502,0),-1))),"")</f>
        <v/>
      </c>
    </row>
    <row r="701" spans="2:4" x14ac:dyDescent="0.25">
      <c r="B701" s="8"/>
      <c r="C701" s="11" t="str">
        <f>IFERROR(INDEX(Catalogo!$E$4:$E$1502,_xlfn.IFNA(MATCH(B701,Catalogo!$C$4:$C$1502,0),-1)),"")</f>
        <v/>
      </c>
      <c r="D701" s="12" t="str">
        <f>IFERROR(_xlfn.CONCAT(INDEX(Catalogo!$G$4:$G$1502,_xlfn.IFNA(MATCH(B701,Catalogo!$C$4:$C$1502,0),-1)),"-",INDEX(Catalogo!$H$4:$H$1502,_xlfn.IFNA(MATCH(B701,Catalogo!$C$4:$C$1502,0),-1))),"")</f>
        <v/>
      </c>
    </row>
    <row r="702" spans="2:4" x14ac:dyDescent="0.25">
      <c r="B702" s="22"/>
      <c r="C702" s="11" t="str">
        <f>IFERROR(INDEX(Catalogo!$E$4:$E$1502,_xlfn.IFNA(MATCH(B702,Catalogo!$C$4:$C$1502,0),-1)),"")</f>
        <v/>
      </c>
      <c r="D702" s="12" t="str">
        <f>IFERROR(_xlfn.CONCAT(INDEX(Catalogo!$G$4:$G$1502,_xlfn.IFNA(MATCH(B702,Catalogo!$C$4:$C$1502,0),-1)),"-",INDEX(Catalogo!$H$4:$H$1502,_xlfn.IFNA(MATCH(B702,Catalogo!$C$4:$C$1502,0),-1))),"")</f>
        <v/>
      </c>
    </row>
    <row r="703" spans="2:4" x14ac:dyDescent="0.25">
      <c r="B703" s="22"/>
      <c r="C703" s="11" t="str">
        <f>IFERROR(INDEX(Catalogo!$E$4:$E$1502,_xlfn.IFNA(MATCH(B703,Catalogo!$C$4:$C$1502,0),-1)),"")</f>
        <v/>
      </c>
      <c r="D703" s="12" t="str">
        <f>IFERROR(_xlfn.CONCAT(INDEX(Catalogo!$G$4:$G$1502,_xlfn.IFNA(MATCH(B703,Catalogo!$C$4:$C$1502,0),-1)),"-",INDEX(Catalogo!$H$4:$H$1502,_xlfn.IFNA(MATCH(B703,Catalogo!$C$4:$C$1502,0),-1))),"")</f>
        <v/>
      </c>
    </row>
    <row r="704" spans="2:4" x14ac:dyDescent="0.25">
      <c r="B704" s="8"/>
      <c r="C704" s="11" t="str">
        <f>IFERROR(INDEX(Catalogo!$E$4:$E$1502,_xlfn.IFNA(MATCH(B704,Catalogo!$C$4:$C$1502,0),-1)),"")</f>
        <v/>
      </c>
      <c r="D704" s="12" t="str">
        <f>IFERROR(_xlfn.CONCAT(INDEX(Catalogo!$G$4:$G$1502,_xlfn.IFNA(MATCH(B704,Catalogo!$C$4:$C$1502,0),-1)),"-",INDEX(Catalogo!$H$4:$H$1502,_xlfn.IFNA(MATCH(B704,Catalogo!$C$4:$C$1502,0),-1))),"")</f>
        <v/>
      </c>
    </row>
    <row r="705" spans="2:4" x14ac:dyDescent="0.25">
      <c r="B705" s="8"/>
      <c r="C705" s="11" t="str">
        <f>IFERROR(INDEX(Catalogo!$E$4:$E$1502,_xlfn.IFNA(MATCH(B705,Catalogo!$C$4:$C$1502,0),-1)),"")</f>
        <v/>
      </c>
      <c r="D705" s="12" t="str">
        <f>IFERROR(_xlfn.CONCAT(INDEX(Catalogo!$G$4:$G$1502,_xlfn.IFNA(MATCH(B705,Catalogo!$C$4:$C$1502,0),-1)),"-",INDEX(Catalogo!$H$4:$H$1502,_xlfn.IFNA(MATCH(B705,Catalogo!$C$4:$C$1502,0),-1))),"")</f>
        <v/>
      </c>
    </row>
    <row r="706" spans="2:4" x14ac:dyDescent="0.25">
      <c r="B706" s="9"/>
      <c r="C706" s="11" t="str">
        <f>IFERROR(INDEX(Catalogo!$E$4:$E$1502,_xlfn.IFNA(MATCH(B706,Catalogo!$C$4:$C$1502,0),-1)),"")</f>
        <v/>
      </c>
      <c r="D706" s="12" t="str">
        <f>IFERROR(_xlfn.CONCAT(INDEX(Catalogo!$G$4:$G$1502,_xlfn.IFNA(MATCH(B706,Catalogo!$C$4:$C$1502,0),-1)),"-",INDEX(Catalogo!$H$4:$H$1502,_xlfn.IFNA(MATCH(B706,Catalogo!$C$4:$C$1502,0),-1))),"")</f>
        <v/>
      </c>
    </row>
    <row r="707" spans="2:4" x14ac:dyDescent="0.25">
      <c r="B707" s="8"/>
      <c r="C707" s="11" t="str">
        <f>IFERROR(INDEX(Catalogo!$E$4:$E$1502,_xlfn.IFNA(MATCH(B707,Catalogo!$C$4:$C$1502,0),-1)),"")</f>
        <v/>
      </c>
      <c r="D707" s="12" t="str">
        <f>IFERROR(_xlfn.CONCAT(INDEX(Catalogo!$G$4:$G$1502,_xlfn.IFNA(MATCH(B707,Catalogo!$C$4:$C$1502,0),-1)),"-",INDEX(Catalogo!$H$4:$H$1502,_xlfn.IFNA(MATCH(B707,Catalogo!$C$4:$C$1502,0),-1))),"")</f>
        <v/>
      </c>
    </row>
    <row r="708" spans="2:4" x14ac:dyDescent="0.25">
      <c r="B708" s="8"/>
      <c r="C708" s="11" t="str">
        <f>IFERROR(INDEX(Catalogo!$E$4:$E$1502,_xlfn.IFNA(MATCH(B708,Catalogo!$C$4:$C$1502,0),-1)),"")</f>
        <v/>
      </c>
      <c r="D708" s="12" t="str">
        <f>IFERROR(_xlfn.CONCAT(INDEX(Catalogo!$G$4:$G$1502,_xlfn.IFNA(MATCH(B708,Catalogo!$C$4:$C$1502,0),-1)),"-",INDEX(Catalogo!$H$4:$H$1502,_xlfn.IFNA(MATCH(B708,Catalogo!$C$4:$C$1502,0),-1))),"")</f>
        <v/>
      </c>
    </row>
    <row r="709" spans="2:4" x14ac:dyDescent="0.25">
      <c r="B709" s="9"/>
      <c r="C709" s="11" t="str">
        <f>IFERROR(INDEX(Catalogo!$E$4:$E$1502,_xlfn.IFNA(MATCH(B709,Catalogo!$C$4:$C$1502,0),-1)),"")</f>
        <v/>
      </c>
      <c r="D709" s="12" t="str">
        <f>IFERROR(_xlfn.CONCAT(INDEX(Catalogo!$G$4:$G$1502,_xlfn.IFNA(MATCH(B709,Catalogo!$C$4:$C$1502,0),-1)),"-",INDEX(Catalogo!$H$4:$H$1502,_xlfn.IFNA(MATCH(B709,Catalogo!$C$4:$C$1502,0),-1))),"")</f>
        <v/>
      </c>
    </row>
    <row r="710" spans="2:4" x14ac:dyDescent="0.25">
      <c r="B710" s="9"/>
      <c r="C710" s="11" t="str">
        <f>IFERROR(INDEX(Catalogo!$E$4:$E$1502,_xlfn.IFNA(MATCH(B710,Catalogo!$C$4:$C$1502,0),-1)),"")</f>
        <v/>
      </c>
      <c r="D710" s="12" t="str">
        <f>IFERROR(_xlfn.CONCAT(INDEX(Catalogo!$G$4:$G$1502,_xlfn.IFNA(MATCH(B710,Catalogo!$C$4:$C$1502,0),-1)),"-",INDEX(Catalogo!$H$4:$H$1502,_xlfn.IFNA(MATCH(B710,Catalogo!$C$4:$C$1502,0),-1))),"")</f>
        <v/>
      </c>
    </row>
    <row r="711" spans="2:4" x14ac:dyDescent="0.25">
      <c r="B711" s="9"/>
      <c r="C711" s="11" t="str">
        <f>IFERROR(INDEX(Catalogo!$E$4:$E$1502,_xlfn.IFNA(MATCH(B711,Catalogo!$C$4:$C$1502,0),-1)),"")</f>
        <v/>
      </c>
      <c r="D711" s="12" t="str">
        <f>IFERROR(_xlfn.CONCAT(INDEX(Catalogo!$G$4:$G$1502,_xlfn.IFNA(MATCH(B711,Catalogo!$C$4:$C$1502,0),-1)),"-",INDEX(Catalogo!$H$4:$H$1502,_xlfn.IFNA(MATCH(B711,Catalogo!$C$4:$C$1502,0),-1))),"")</f>
        <v/>
      </c>
    </row>
    <row r="712" spans="2:4" x14ac:dyDescent="0.25">
      <c r="B712" s="9"/>
      <c r="C712" s="11" t="str">
        <f>IFERROR(INDEX(Catalogo!$E$4:$E$1502,_xlfn.IFNA(MATCH(B712,Catalogo!$C$4:$C$1502,0),-1)),"")</f>
        <v/>
      </c>
      <c r="D712" s="12" t="str">
        <f>IFERROR(_xlfn.CONCAT(INDEX(Catalogo!$G$4:$G$1502,_xlfn.IFNA(MATCH(B712,Catalogo!$C$4:$C$1502,0),-1)),"-",INDEX(Catalogo!$H$4:$H$1502,_xlfn.IFNA(MATCH(B712,Catalogo!$C$4:$C$1502,0),-1))),"")</f>
        <v/>
      </c>
    </row>
    <row r="713" spans="2:4" x14ac:dyDescent="0.25">
      <c r="B713" s="9"/>
      <c r="C713" s="11" t="str">
        <f>IFERROR(INDEX(Catalogo!$E$4:$E$1502,_xlfn.IFNA(MATCH(B713,Catalogo!$C$4:$C$1502,0),-1)),"")</f>
        <v/>
      </c>
      <c r="D713" s="12" t="str">
        <f>IFERROR(_xlfn.CONCAT(INDEX(Catalogo!$G$4:$G$1502,_xlfn.IFNA(MATCH(B713,Catalogo!$C$4:$C$1502,0),-1)),"-",INDEX(Catalogo!$H$4:$H$1502,_xlfn.IFNA(MATCH(B713,Catalogo!$C$4:$C$1502,0),-1))),"")</f>
        <v/>
      </c>
    </row>
    <row r="714" spans="2:4" x14ac:dyDescent="0.25">
      <c r="B714" s="9"/>
      <c r="C714" s="11" t="str">
        <f>IFERROR(INDEX(Catalogo!$E$4:$E$1502,_xlfn.IFNA(MATCH(B714,Catalogo!$C$4:$C$1502,0),-1)),"")</f>
        <v/>
      </c>
      <c r="D714" s="12" t="str">
        <f>IFERROR(_xlfn.CONCAT(INDEX(Catalogo!$G$4:$G$1502,_xlfn.IFNA(MATCH(B714,Catalogo!$C$4:$C$1502,0),-1)),"-",INDEX(Catalogo!$H$4:$H$1502,_xlfn.IFNA(MATCH(B714,Catalogo!$C$4:$C$1502,0),-1))),"")</f>
        <v/>
      </c>
    </row>
    <row r="715" spans="2:4" x14ac:dyDescent="0.25">
      <c r="B715" s="8"/>
      <c r="C715" s="11" t="str">
        <f>IFERROR(INDEX(Catalogo!$E$4:$E$1502,_xlfn.IFNA(MATCH(B715,Catalogo!$C$4:$C$1502,0),-1)),"")</f>
        <v/>
      </c>
      <c r="D715" s="12" t="str">
        <f>IFERROR(_xlfn.CONCAT(INDEX(Catalogo!$G$4:$G$1502,_xlfn.IFNA(MATCH(B715,Catalogo!$C$4:$C$1502,0),-1)),"-",INDEX(Catalogo!$H$4:$H$1502,_xlfn.IFNA(MATCH(B715,Catalogo!$C$4:$C$1502,0),-1))),"")</f>
        <v/>
      </c>
    </row>
    <row r="716" spans="2:4" x14ac:dyDescent="0.25">
      <c r="B716" s="9"/>
      <c r="C716" s="11" t="str">
        <f>IFERROR(INDEX(Catalogo!$E$4:$E$1502,_xlfn.IFNA(MATCH(B716,Catalogo!$C$4:$C$1502,0),-1)),"")</f>
        <v/>
      </c>
      <c r="D716" s="12" t="str">
        <f>IFERROR(_xlfn.CONCAT(INDEX(Catalogo!$G$4:$G$1502,_xlfn.IFNA(MATCH(B716,Catalogo!$C$4:$C$1502,0),-1)),"-",INDEX(Catalogo!$H$4:$H$1502,_xlfn.IFNA(MATCH(B716,Catalogo!$C$4:$C$1502,0),-1))),"")</f>
        <v/>
      </c>
    </row>
    <row r="717" spans="2:4" x14ac:dyDescent="0.25">
      <c r="B717" s="7"/>
      <c r="C717" s="11" t="str">
        <f>IFERROR(INDEX(Catalogo!$E$4:$E$1502,_xlfn.IFNA(MATCH(B717,Catalogo!$C$4:$C$1502,0),-1)),"")</f>
        <v/>
      </c>
      <c r="D717" s="12" t="str">
        <f>IFERROR(_xlfn.CONCAT(INDEX(Catalogo!$G$4:$G$1502,_xlfn.IFNA(MATCH(B717,Catalogo!$C$4:$C$1502,0),-1)),"-",INDEX(Catalogo!$H$4:$H$1502,_xlfn.IFNA(MATCH(B717,Catalogo!$C$4:$C$1502,0),-1))),"")</f>
        <v/>
      </c>
    </row>
    <row r="718" spans="2:4" x14ac:dyDescent="0.25">
      <c r="B718" s="8"/>
      <c r="C718" s="11" t="str">
        <f>IFERROR(INDEX(Catalogo!$E$4:$E$1502,_xlfn.IFNA(MATCH(B718,Catalogo!$C$4:$C$1502,0),-1)),"")</f>
        <v/>
      </c>
      <c r="D718" s="12" t="str">
        <f>IFERROR(_xlfn.CONCAT(INDEX(Catalogo!$G$4:$G$1502,_xlfn.IFNA(MATCH(B718,Catalogo!$C$4:$C$1502,0),-1)),"-",INDEX(Catalogo!$H$4:$H$1502,_xlfn.IFNA(MATCH(B718,Catalogo!$C$4:$C$1502,0),-1))),"")</f>
        <v/>
      </c>
    </row>
    <row r="719" spans="2:4" x14ac:dyDescent="0.25">
      <c r="B719" s="8"/>
      <c r="C719" s="11" t="str">
        <f>IFERROR(INDEX(Catalogo!$E$4:$E$1502,_xlfn.IFNA(MATCH(B719,Catalogo!$C$4:$C$1502,0),-1)),"")</f>
        <v/>
      </c>
      <c r="D719" s="12" t="str">
        <f>IFERROR(_xlfn.CONCAT(INDEX(Catalogo!$G$4:$G$1502,_xlfn.IFNA(MATCH(B719,Catalogo!$C$4:$C$1502,0),-1)),"-",INDEX(Catalogo!$H$4:$H$1502,_xlfn.IFNA(MATCH(B719,Catalogo!$C$4:$C$1502,0),-1))),"")</f>
        <v/>
      </c>
    </row>
    <row r="720" spans="2:4" x14ac:dyDescent="0.25">
      <c r="B720" s="8"/>
      <c r="C720" s="11" t="str">
        <f>IFERROR(INDEX(Catalogo!$E$4:$E$1502,_xlfn.IFNA(MATCH(B720,Catalogo!$C$4:$C$1502,0),-1)),"")</f>
        <v/>
      </c>
      <c r="D720" s="12" t="str">
        <f>IFERROR(_xlfn.CONCAT(INDEX(Catalogo!$G$4:$G$1502,_xlfn.IFNA(MATCH(B720,Catalogo!$C$4:$C$1502,0),-1)),"-",INDEX(Catalogo!$H$4:$H$1502,_xlfn.IFNA(MATCH(B720,Catalogo!$C$4:$C$1502,0),-1))),"")</f>
        <v/>
      </c>
    </row>
    <row r="721" spans="2:4" x14ac:dyDescent="0.25">
      <c r="B721" s="8"/>
      <c r="C721" s="11" t="str">
        <f>IFERROR(INDEX(Catalogo!$E$4:$E$1502,_xlfn.IFNA(MATCH(B721,Catalogo!$C$4:$C$1502,0),-1)),"")</f>
        <v/>
      </c>
      <c r="D721" s="12" t="str">
        <f>IFERROR(_xlfn.CONCAT(INDEX(Catalogo!$G$4:$G$1502,_xlfn.IFNA(MATCH(B721,Catalogo!$C$4:$C$1502,0),-1)),"-",INDEX(Catalogo!$H$4:$H$1502,_xlfn.IFNA(MATCH(B721,Catalogo!$C$4:$C$1502,0),-1))),"")</f>
        <v/>
      </c>
    </row>
    <row r="722" spans="2:4" x14ac:dyDescent="0.25">
      <c r="B722" s="8"/>
      <c r="C722" s="11" t="str">
        <f>IFERROR(INDEX(Catalogo!$E$4:$E$1502,_xlfn.IFNA(MATCH(B722,Catalogo!$C$4:$C$1502,0),-1)),"")</f>
        <v/>
      </c>
      <c r="D722" s="12" t="str">
        <f>IFERROR(_xlfn.CONCAT(INDEX(Catalogo!$G$4:$G$1502,_xlfn.IFNA(MATCH(B722,Catalogo!$C$4:$C$1502,0),-1)),"-",INDEX(Catalogo!$H$4:$H$1502,_xlfn.IFNA(MATCH(B722,Catalogo!$C$4:$C$1502,0),-1))),"")</f>
        <v/>
      </c>
    </row>
    <row r="723" spans="2:4" x14ac:dyDescent="0.25">
      <c r="B723" s="8"/>
      <c r="C723" s="11" t="str">
        <f>IFERROR(INDEX(Catalogo!$E$4:$E$1502,_xlfn.IFNA(MATCH(B723,Catalogo!$C$4:$C$1502,0),-1)),"")</f>
        <v/>
      </c>
      <c r="D723" s="12" t="str">
        <f>IFERROR(_xlfn.CONCAT(INDEX(Catalogo!$G$4:$G$1502,_xlfn.IFNA(MATCH(B723,Catalogo!$C$4:$C$1502,0),-1)),"-",INDEX(Catalogo!$H$4:$H$1502,_xlfn.IFNA(MATCH(B723,Catalogo!$C$4:$C$1502,0),-1))),"")</f>
        <v/>
      </c>
    </row>
    <row r="724" spans="2:4" x14ac:dyDescent="0.25">
      <c r="B724" s="8"/>
      <c r="C724" s="11" t="str">
        <f>IFERROR(INDEX(Catalogo!$E$4:$E$1502,_xlfn.IFNA(MATCH(B724,Catalogo!$C$4:$C$1502,0),-1)),"")</f>
        <v/>
      </c>
      <c r="D724" s="12" t="str">
        <f>IFERROR(_xlfn.CONCAT(INDEX(Catalogo!$G$4:$G$1502,_xlfn.IFNA(MATCH(B724,Catalogo!$C$4:$C$1502,0),-1)),"-",INDEX(Catalogo!$H$4:$H$1502,_xlfn.IFNA(MATCH(B724,Catalogo!$C$4:$C$1502,0),-1))),"")</f>
        <v/>
      </c>
    </row>
    <row r="725" spans="2:4" x14ac:dyDescent="0.25">
      <c r="B725" s="8"/>
      <c r="C725" s="11" t="str">
        <f>IFERROR(INDEX(Catalogo!$E$4:$E$1502,_xlfn.IFNA(MATCH(B725,Catalogo!$C$4:$C$1502,0),-1)),"")</f>
        <v/>
      </c>
      <c r="D725" s="12" t="str">
        <f>IFERROR(_xlfn.CONCAT(INDEX(Catalogo!$G$4:$G$1502,_xlfn.IFNA(MATCH(B725,Catalogo!$C$4:$C$1502,0),-1)),"-",INDEX(Catalogo!$H$4:$H$1502,_xlfn.IFNA(MATCH(B725,Catalogo!$C$4:$C$1502,0),-1))),"")</f>
        <v/>
      </c>
    </row>
    <row r="726" spans="2:4" x14ac:dyDescent="0.25">
      <c r="B726" s="8"/>
      <c r="C726" s="11" t="str">
        <f>IFERROR(INDEX(Catalogo!$E$4:$E$1502,_xlfn.IFNA(MATCH(B726,Catalogo!$C$4:$C$1502,0),-1)),"")</f>
        <v/>
      </c>
      <c r="D726" s="12" t="str">
        <f>IFERROR(_xlfn.CONCAT(INDEX(Catalogo!$G$4:$G$1502,_xlfn.IFNA(MATCH(B726,Catalogo!$C$4:$C$1502,0),-1)),"-",INDEX(Catalogo!$H$4:$H$1502,_xlfn.IFNA(MATCH(B726,Catalogo!$C$4:$C$1502,0),-1))),"")</f>
        <v/>
      </c>
    </row>
    <row r="727" spans="2:4" x14ac:dyDescent="0.25">
      <c r="B727" s="8"/>
      <c r="C727" s="11" t="str">
        <f>IFERROR(INDEX(Catalogo!$E$4:$E$1502,_xlfn.IFNA(MATCH(B727,Catalogo!$C$4:$C$1502,0),-1)),"")</f>
        <v/>
      </c>
      <c r="D727" s="12" t="str">
        <f>IFERROR(_xlfn.CONCAT(INDEX(Catalogo!$G$4:$G$1502,_xlfn.IFNA(MATCH(B727,Catalogo!$C$4:$C$1502,0),-1)),"-",INDEX(Catalogo!$H$4:$H$1502,_xlfn.IFNA(MATCH(B727,Catalogo!$C$4:$C$1502,0),-1))),"")</f>
        <v/>
      </c>
    </row>
    <row r="728" spans="2:4" x14ac:dyDescent="0.25">
      <c r="B728" s="8"/>
      <c r="C728" s="11" t="str">
        <f>IFERROR(INDEX(Catalogo!$E$4:$E$1502,_xlfn.IFNA(MATCH(B728,Catalogo!$C$4:$C$1502,0),-1)),"")</f>
        <v/>
      </c>
      <c r="D728" s="12" t="str">
        <f>IFERROR(_xlfn.CONCAT(INDEX(Catalogo!$G$4:$G$1502,_xlfn.IFNA(MATCH(B728,Catalogo!$C$4:$C$1502,0),-1)),"-",INDEX(Catalogo!$H$4:$H$1502,_xlfn.IFNA(MATCH(B728,Catalogo!$C$4:$C$1502,0),-1))),"")</f>
        <v/>
      </c>
    </row>
    <row r="729" spans="2:4" x14ac:dyDescent="0.25">
      <c r="B729" s="8"/>
      <c r="C729" s="11" t="str">
        <f>IFERROR(INDEX(Catalogo!$E$4:$E$1502,_xlfn.IFNA(MATCH(B729,Catalogo!$C$4:$C$1502,0),-1)),"")</f>
        <v/>
      </c>
      <c r="D729" s="12" t="str">
        <f>IFERROR(_xlfn.CONCAT(INDEX(Catalogo!$G$4:$G$1502,_xlfn.IFNA(MATCH(B729,Catalogo!$C$4:$C$1502,0),-1)),"-",INDEX(Catalogo!$H$4:$H$1502,_xlfn.IFNA(MATCH(B729,Catalogo!$C$4:$C$1502,0),-1))),"")</f>
        <v/>
      </c>
    </row>
    <row r="730" spans="2:4" x14ac:dyDescent="0.25">
      <c r="B730" s="8"/>
      <c r="C730" s="11" t="str">
        <f>IFERROR(INDEX(Catalogo!$E$4:$E$1502,_xlfn.IFNA(MATCH(B730,Catalogo!$C$4:$C$1502,0),-1)),"")</f>
        <v/>
      </c>
      <c r="D730" s="12" t="str">
        <f>IFERROR(_xlfn.CONCAT(INDEX(Catalogo!$G$4:$G$1502,_xlfn.IFNA(MATCH(B730,Catalogo!$C$4:$C$1502,0),-1)),"-",INDEX(Catalogo!$H$4:$H$1502,_xlfn.IFNA(MATCH(B730,Catalogo!$C$4:$C$1502,0),-1))),"")</f>
        <v/>
      </c>
    </row>
    <row r="731" spans="2:4" x14ac:dyDescent="0.25">
      <c r="B731" s="8"/>
      <c r="C731" s="11" t="str">
        <f>IFERROR(INDEX(Catalogo!$E$4:$E$1502,_xlfn.IFNA(MATCH(B731,Catalogo!$C$4:$C$1502,0),-1)),"")</f>
        <v/>
      </c>
      <c r="D731" s="12" t="str">
        <f>IFERROR(_xlfn.CONCAT(INDEX(Catalogo!$G$4:$G$1502,_xlfn.IFNA(MATCH(B731,Catalogo!$C$4:$C$1502,0),-1)),"-",INDEX(Catalogo!$H$4:$H$1502,_xlfn.IFNA(MATCH(B731,Catalogo!$C$4:$C$1502,0),-1))),"")</f>
        <v/>
      </c>
    </row>
    <row r="732" spans="2:4" x14ac:dyDescent="0.25">
      <c r="B732" s="8"/>
      <c r="C732" s="11" t="str">
        <f>IFERROR(INDEX(Catalogo!$E$4:$E$1502,_xlfn.IFNA(MATCH(B732,Catalogo!$C$4:$C$1502,0),-1)),"")</f>
        <v/>
      </c>
      <c r="D732" s="12" t="str">
        <f>IFERROR(_xlfn.CONCAT(INDEX(Catalogo!$G$4:$G$1502,_xlfn.IFNA(MATCH(B732,Catalogo!$C$4:$C$1502,0),-1)),"-",INDEX(Catalogo!$H$4:$H$1502,_xlfn.IFNA(MATCH(B732,Catalogo!$C$4:$C$1502,0),-1))),"")</f>
        <v/>
      </c>
    </row>
    <row r="733" spans="2:4" x14ac:dyDescent="0.25">
      <c r="B733" s="8"/>
      <c r="C733" s="11" t="str">
        <f>IFERROR(INDEX(Catalogo!$E$4:$E$1502,_xlfn.IFNA(MATCH(B733,Catalogo!$C$4:$C$1502,0),-1)),"")</f>
        <v/>
      </c>
      <c r="D733" s="12" t="str">
        <f>IFERROR(_xlfn.CONCAT(INDEX(Catalogo!$G$4:$G$1502,_xlfn.IFNA(MATCH(B733,Catalogo!$C$4:$C$1502,0),-1)),"-",INDEX(Catalogo!$H$4:$H$1502,_xlfn.IFNA(MATCH(B733,Catalogo!$C$4:$C$1502,0),-1))),"")</f>
        <v/>
      </c>
    </row>
    <row r="734" spans="2:4" x14ac:dyDescent="0.25">
      <c r="B734" s="8"/>
      <c r="C734" s="11" t="str">
        <f>IFERROR(INDEX(Catalogo!$E$4:$E$1502,_xlfn.IFNA(MATCH(B734,Catalogo!$C$4:$C$1502,0),-1)),"")</f>
        <v/>
      </c>
      <c r="D734" s="12" t="str">
        <f>IFERROR(_xlfn.CONCAT(INDEX(Catalogo!$G$4:$G$1502,_xlfn.IFNA(MATCH(B734,Catalogo!$C$4:$C$1502,0),-1)),"-",INDEX(Catalogo!$H$4:$H$1502,_xlfn.IFNA(MATCH(B734,Catalogo!$C$4:$C$1502,0),-1))),"")</f>
        <v/>
      </c>
    </row>
    <row r="735" spans="2:4" x14ac:dyDescent="0.25">
      <c r="B735" s="8"/>
      <c r="C735" s="11" t="str">
        <f>IFERROR(INDEX(Catalogo!$E$4:$E$1502,_xlfn.IFNA(MATCH(B735,Catalogo!$C$4:$C$1502,0),-1)),"")</f>
        <v/>
      </c>
      <c r="D735" s="12" t="str">
        <f>IFERROR(_xlfn.CONCAT(INDEX(Catalogo!$G$4:$G$1502,_xlfn.IFNA(MATCH(B735,Catalogo!$C$4:$C$1502,0),-1)),"-",INDEX(Catalogo!$H$4:$H$1502,_xlfn.IFNA(MATCH(B735,Catalogo!$C$4:$C$1502,0),-1))),"")</f>
        <v/>
      </c>
    </row>
    <row r="736" spans="2:4" x14ac:dyDescent="0.25">
      <c r="B736" s="8"/>
      <c r="C736" s="11" t="str">
        <f>IFERROR(INDEX(Catalogo!$E$4:$E$1502,_xlfn.IFNA(MATCH(B736,Catalogo!$C$4:$C$1502,0),-1)),"")</f>
        <v/>
      </c>
      <c r="D736" s="12" t="str">
        <f>IFERROR(_xlfn.CONCAT(INDEX(Catalogo!$G$4:$G$1502,_xlfn.IFNA(MATCH(B736,Catalogo!$C$4:$C$1502,0),-1)),"-",INDEX(Catalogo!$H$4:$H$1502,_xlfn.IFNA(MATCH(B736,Catalogo!$C$4:$C$1502,0),-1))),"")</f>
        <v/>
      </c>
    </row>
    <row r="737" spans="2:4" x14ac:dyDescent="0.25">
      <c r="B737" s="8"/>
      <c r="C737" s="11" t="str">
        <f>IFERROR(INDEX(Catalogo!$E$4:$E$1502,_xlfn.IFNA(MATCH(B737,Catalogo!$C$4:$C$1502,0),-1)),"")</f>
        <v/>
      </c>
      <c r="D737" s="12" t="str">
        <f>IFERROR(_xlfn.CONCAT(INDEX(Catalogo!$G$4:$G$1502,_xlfn.IFNA(MATCH(B737,Catalogo!$C$4:$C$1502,0),-1)),"-",INDEX(Catalogo!$H$4:$H$1502,_xlfn.IFNA(MATCH(B737,Catalogo!$C$4:$C$1502,0),-1))),"")</f>
        <v/>
      </c>
    </row>
    <row r="738" spans="2:4" x14ac:dyDescent="0.25">
      <c r="B738" s="8"/>
      <c r="C738" s="11" t="str">
        <f>IFERROR(INDEX(Catalogo!$E$4:$E$1502,_xlfn.IFNA(MATCH(B738,Catalogo!$C$4:$C$1502,0),-1)),"")</f>
        <v/>
      </c>
      <c r="D738" s="12" t="str">
        <f>IFERROR(_xlfn.CONCAT(INDEX(Catalogo!$G$4:$G$1502,_xlfn.IFNA(MATCH(B738,Catalogo!$C$4:$C$1502,0),-1)),"-",INDEX(Catalogo!$H$4:$H$1502,_xlfn.IFNA(MATCH(B738,Catalogo!$C$4:$C$1502,0),-1))),"")</f>
        <v/>
      </c>
    </row>
    <row r="739" spans="2:4" x14ac:dyDescent="0.25">
      <c r="B739" s="8"/>
      <c r="C739" s="11" t="str">
        <f>IFERROR(INDEX(Catalogo!$E$4:$E$1502,_xlfn.IFNA(MATCH(B739,Catalogo!$C$4:$C$1502,0),-1)),"")</f>
        <v/>
      </c>
      <c r="D739" s="12" t="str">
        <f>IFERROR(_xlfn.CONCAT(INDEX(Catalogo!$G$4:$G$1502,_xlfn.IFNA(MATCH(B739,Catalogo!$C$4:$C$1502,0),-1)),"-",INDEX(Catalogo!$H$4:$H$1502,_xlfn.IFNA(MATCH(B739,Catalogo!$C$4:$C$1502,0),-1))),"")</f>
        <v/>
      </c>
    </row>
    <row r="740" spans="2:4" x14ac:dyDescent="0.25">
      <c r="B740" s="8"/>
      <c r="C740" s="11" t="str">
        <f>IFERROR(INDEX(Catalogo!$E$4:$E$1502,_xlfn.IFNA(MATCH(B740,Catalogo!$C$4:$C$1502,0),-1)),"")</f>
        <v/>
      </c>
      <c r="D740" s="12" t="str">
        <f>IFERROR(_xlfn.CONCAT(INDEX(Catalogo!$G$4:$G$1502,_xlfn.IFNA(MATCH(B740,Catalogo!$C$4:$C$1502,0),-1)),"-",INDEX(Catalogo!$H$4:$H$1502,_xlfn.IFNA(MATCH(B740,Catalogo!$C$4:$C$1502,0),-1))),"")</f>
        <v/>
      </c>
    </row>
    <row r="741" spans="2:4" x14ac:dyDescent="0.25">
      <c r="B741" s="8"/>
      <c r="C741" s="11" t="str">
        <f>IFERROR(INDEX(Catalogo!$E$4:$E$1502,_xlfn.IFNA(MATCH(B741,Catalogo!$C$4:$C$1502,0),-1)),"")</f>
        <v/>
      </c>
      <c r="D741" s="12" t="str">
        <f>IFERROR(_xlfn.CONCAT(INDEX(Catalogo!$G$4:$G$1502,_xlfn.IFNA(MATCH(B741,Catalogo!$C$4:$C$1502,0),-1)),"-",INDEX(Catalogo!$H$4:$H$1502,_xlfn.IFNA(MATCH(B741,Catalogo!$C$4:$C$1502,0),-1))),"")</f>
        <v/>
      </c>
    </row>
    <row r="742" spans="2:4" x14ac:dyDescent="0.25">
      <c r="B742" s="8"/>
      <c r="C742" s="11" t="str">
        <f>IFERROR(INDEX(Catalogo!$E$4:$E$1502,_xlfn.IFNA(MATCH(B742,Catalogo!$C$4:$C$1502,0),-1)),"")</f>
        <v/>
      </c>
      <c r="D742" s="12" t="str">
        <f>IFERROR(_xlfn.CONCAT(INDEX(Catalogo!$G$4:$G$1502,_xlfn.IFNA(MATCH(B742,Catalogo!$C$4:$C$1502,0),-1)),"-",INDEX(Catalogo!$H$4:$H$1502,_xlfn.IFNA(MATCH(B742,Catalogo!$C$4:$C$1502,0),-1))),"")</f>
        <v/>
      </c>
    </row>
    <row r="743" spans="2:4" x14ac:dyDescent="0.25">
      <c r="B743" s="8"/>
      <c r="C743" s="11" t="str">
        <f>IFERROR(INDEX(Catalogo!$E$4:$E$1502,_xlfn.IFNA(MATCH(B743,Catalogo!$C$4:$C$1502,0),-1)),"")</f>
        <v/>
      </c>
      <c r="D743" s="12" t="str">
        <f>IFERROR(_xlfn.CONCAT(INDEX(Catalogo!$G$4:$G$1502,_xlfn.IFNA(MATCH(B743,Catalogo!$C$4:$C$1502,0),-1)),"-",INDEX(Catalogo!$H$4:$H$1502,_xlfn.IFNA(MATCH(B743,Catalogo!$C$4:$C$1502,0),-1))),"")</f>
        <v/>
      </c>
    </row>
    <row r="744" spans="2:4" x14ac:dyDescent="0.25">
      <c r="B744" s="8"/>
      <c r="C744" s="11" t="str">
        <f>IFERROR(INDEX(Catalogo!$E$4:$E$1502,_xlfn.IFNA(MATCH(B744,Catalogo!$C$4:$C$1502,0),-1)),"")</f>
        <v/>
      </c>
      <c r="D744" s="12" t="str">
        <f>IFERROR(_xlfn.CONCAT(INDEX(Catalogo!$G$4:$G$1502,_xlfn.IFNA(MATCH(B744,Catalogo!$C$4:$C$1502,0),-1)),"-",INDEX(Catalogo!$H$4:$H$1502,_xlfn.IFNA(MATCH(B744,Catalogo!$C$4:$C$1502,0),-1))),"")</f>
        <v/>
      </c>
    </row>
    <row r="745" spans="2:4" x14ac:dyDescent="0.25">
      <c r="B745" s="8"/>
      <c r="C745" s="11" t="str">
        <f>IFERROR(INDEX(Catalogo!$E$4:$E$1502,_xlfn.IFNA(MATCH(B745,Catalogo!$C$4:$C$1502,0),-1)),"")</f>
        <v/>
      </c>
      <c r="D745" s="12" t="str">
        <f>IFERROR(_xlfn.CONCAT(INDEX(Catalogo!$G$4:$G$1502,_xlfn.IFNA(MATCH(B745,Catalogo!$C$4:$C$1502,0),-1)),"-",INDEX(Catalogo!$H$4:$H$1502,_xlfn.IFNA(MATCH(B745,Catalogo!$C$4:$C$1502,0),-1))),"")</f>
        <v/>
      </c>
    </row>
    <row r="746" spans="2:4" x14ac:dyDescent="0.25">
      <c r="B746" s="8"/>
      <c r="C746" s="11" t="str">
        <f>IFERROR(INDEX(Catalogo!$E$4:$E$1502,_xlfn.IFNA(MATCH(B746,Catalogo!$C$4:$C$1502,0),-1)),"")</f>
        <v/>
      </c>
      <c r="D746" s="12" t="str">
        <f>IFERROR(_xlfn.CONCAT(INDEX(Catalogo!$G$4:$G$1502,_xlfn.IFNA(MATCH(B746,Catalogo!$C$4:$C$1502,0),-1)),"-",INDEX(Catalogo!$H$4:$H$1502,_xlfn.IFNA(MATCH(B746,Catalogo!$C$4:$C$1502,0),-1))),"")</f>
        <v/>
      </c>
    </row>
    <row r="747" spans="2:4" x14ac:dyDescent="0.25">
      <c r="B747" s="8"/>
      <c r="C747" s="11" t="str">
        <f>IFERROR(INDEX(Catalogo!$E$4:$E$1502,_xlfn.IFNA(MATCH(B747,Catalogo!$C$4:$C$1502,0),-1)),"")</f>
        <v/>
      </c>
      <c r="D747" s="12" t="str">
        <f>IFERROR(_xlfn.CONCAT(INDEX(Catalogo!$G$4:$G$1502,_xlfn.IFNA(MATCH(B747,Catalogo!$C$4:$C$1502,0),-1)),"-",INDEX(Catalogo!$H$4:$H$1502,_xlfn.IFNA(MATCH(B747,Catalogo!$C$4:$C$1502,0),-1))),"")</f>
        <v/>
      </c>
    </row>
    <row r="748" spans="2:4" x14ac:dyDescent="0.25">
      <c r="B748" s="8"/>
      <c r="C748" s="11" t="str">
        <f>IFERROR(INDEX(Catalogo!$E$4:$E$1502,_xlfn.IFNA(MATCH(B748,Catalogo!$C$4:$C$1502,0),-1)),"")</f>
        <v/>
      </c>
      <c r="D748" s="12" t="str">
        <f>IFERROR(_xlfn.CONCAT(INDEX(Catalogo!$G$4:$G$1502,_xlfn.IFNA(MATCH(B748,Catalogo!$C$4:$C$1502,0),-1)),"-",INDEX(Catalogo!$H$4:$H$1502,_xlfn.IFNA(MATCH(B748,Catalogo!$C$4:$C$1502,0),-1))),"")</f>
        <v/>
      </c>
    </row>
    <row r="749" spans="2:4" x14ac:dyDescent="0.25">
      <c r="B749" s="8"/>
      <c r="C749" s="11" t="str">
        <f>IFERROR(INDEX(Catalogo!$E$4:$E$1502,_xlfn.IFNA(MATCH(B749,Catalogo!$C$4:$C$1502,0),-1)),"")</f>
        <v/>
      </c>
      <c r="D749" s="12" t="str">
        <f>IFERROR(_xlfn.CONCAT(INDEX(Catalogo!$G$4:$G$1502,_xlfn.IFNA(MATCH(B749,Catalogo!$C$4:$C$1502,0),-1)),"-",INDEX(Catalogo!$H$4:$H$1502,_xlfn.IFNA(MATCH(B749,Catalogo!$C$4:$C$1502,0),-1))),"")</f>
        <v/>
      </c>
    </row>
    <row r="750" spans="2:4" x14ac:dyDescent="0.25">
      <c r="B750" s="8"/>
      <c r="C750" s="11" t="str">
        <f>IFERROR(INDEX(Catalogo!$E$4:$E$1502,_xlfn.IFNA(MATCH(B750,Catalogo!$C$4:$C$1502,0),-1)),"")</f>
        <v/>
      </c>
      <c r="D750" s="12" t="str">
        <f>IFERROR(_xlfn.CONCAT(INDEX(Catalogo!$G$4:$G$1502,_xlfn.IFNA(MATCH(B750,Catalogo!$C$4:$C$1502,0),-1)),"-",INDEX(Catalogo!$H$4:$H$1502,_xlfn.IFNA(MATCH(B750,Catalogo!$C$4:$C$1502,0),-1))),"")</f>
        <v/>
      </c>
    </row>
    <row r="751" spans="2:4" x14ac:dyDescent="0.25">
      <c r="B751" s="8"/>
      <c r="C751" s="11" t="str">
        <f>IFERROR(INDEX(Catalogo!$E$4:$E$1502,_xlfn.IFNA(MATCH(B751,Catalogo!$C$4:$C$1502,0),-1)),"")</f>
        <v/>
      </c>
      <c r="D751" s="12" t="str">
        <f>IFERROR(_xlfn.CONCAT(INDEX(Catalogo!$G$4:$G$1502,_xlfn.IFNA(MATCH(B751,Catalogo!$C$4:$C$1502,0),-1)),"-",INDEX(Catalogo!$H$4:$H$1502,_xlfn.IFNA(MATCH(B751,Catalogo!$C$4:$C$1502,0),-1))),"")</f>
        <v/>
      </c>
    </row>
    <row r="752" spans="2:4" x14ac:dyDescent="0.25">
      <c r="B752" s="8"/>
      <c r="C752" s="11" t="str">
        <f>IFERROR(INDEX(Catalogo!$E$4:$E$1502,_xlfn.IFNA(MATCH(B752,Catalogo!$C$4:$C$1502,0),-1)),"")</f>
        <v/>
      </c>
      <c r="D752" s="12" t="str">
        <f>IFERROR(_xlfn.CONCAT(INDEX(Catalogo!$G$4:$G$1502,_xlfn.IFNA(MATCH(B752,Catalogo!$C$4:$C$1502,0),-1)),"-",INDEX(Catalogo!$H$4:$H$1502,_xlfn.IFNA(MATCH(B752,Catalogo!$C$4:$C$1502,0),-1))),"")</f>
        <v/>
      </c>
    </row>
    <row r="753" spans="2:4" x14ac:dyDescent="0.25">
      <c r="B753" s="8"/>
      <c r="C753" s="11" t="str">
        <f>IFERROR(INDEX(Catalogo!$E$4:$E$1502,_xlfn.IFNA(MATCH(B753,Catalogo!$C$4:$C$1502,0),-1)),"")</f>
        <v/>
      </c>
      <c r="D753" s="12" t="str">
        <f>IFERROR(_xlfn.CONCAT(INDEX(Catalogo!$G$4:$G$1502,_xlfn.IFNA(MATCH(B753,Catalogo!$C$4:$C$1502,0),-1)),"-",INDEX(Catalogo!$H$4:$H$1502,_xlfn.IFNA(MATCH(B753,Catalogo!$C$4:$C$1502,0),-1))),"")</f>
        <v/>
      </c>
    </row>
    <row r="754" spans="2:4" x14ac:dyDescent="0.25">
      <c r="B754" s="8"/>
      <c r="C754" s="11" t="str">
        <f>IFERROR(INDEX(Catalogo!$E$4:$E$1502,_xlfn.IFNA(MATCH(B754,Catalogo!$C$4:$C$1502,0),-1)),"")</f>
        <v/>
      </c>
      <c r="D754" s="12" t="str">
        <f>IFERROR(_xlfn.CONCAT(INDEX(Catalogo!$G$4:$G$1502,_xlfn.IFNA(MATCH(B754,Catalogo!$C$4:$C$1502,0),-1)),"-",INDEX(Catalogo!$H$4:$H$1502,_xlfn.IFNA(MATCH(B754,Catalogo!$C$4:$C$1502,0),-1))),"")</f>
        <v/>
      </c>
    </row>
    <row r="755" spans="2:4" x14ac:dyDescent="0.25">
      <c r="B755" s="8"/>
      <c r="C755" s="11" t="str">
        <f>IFERROR(INDEX(Catalogo!$E$4:$E$1502,_xlfn.IFNA(MATCH(B755,Catalogo!$C$4:$C$1502,0),-1)),"")</f>
        <v/>
      </c>
      <c r="D755" s="12" t="str">
        <f>IFERROR(_xlfn.CONCAT(INDEX(Catalogo!$G$4:$G$1502,_xlfn.IFNA(MATCH(B755,Catalogo!$C$4:$C$1502,0),-1)),"-",INDEX(Catalogo!$H$4:$H$1502,_xlfn.IFNA(MATCH(B755,Catalogo!$C$4:$C$1502,0),-1))),"")</f>
        <v/>
      </c>
    </row>
    <row r="756" spans="2:4" x14ac:dyDescent="0.25">
      <c r="B756" s="8"/>
      <c r="C756" s="11" t="str">
        <f>IFERROR(INDEX(Catalogo!$E$4:$E$1502,_xlfn.IFNA(MATCH(B756,Catalogo!$C$4:$C$1502,0),-1)),"")</f>
        <v/>
      </c>
      <c r="D756" s="12" t="str">
        <f>IFERROR(_xlfn.CONCAT(INDEX(Catalogo!$G$4:$G$1502,_xlfn.IFNA(MATCH(B756,Catalogo!$C$4:$C$1502,0),-1)),"-",INDEX(Catalogo!$H$4:$H$1502,_xlfn.IFNA(MATCH(B756,Catalogo!$C$4:$C$1502,0),-1))),"")</f>
        <v/>
      </c>
    </row>
    <row r="757" spans="2:4" x14ac:dyDescent="0.25">
      <c r="B757" s="8"/>
      <c r="C757" s="11" t="str">
        <f>IFERROR(INDEX(Catalogo!$E$4:$E$1502,_xlfn.IFNA(MATCH(B757,Catalogo!$C$4:$C$1502,0),-1)),"")</f>
        <v/>
      </c>
      <c r="D757" s="12" t="str">
        <f>IFERROR(_xlfn.CONCAT(INDEX(Catalogo!$G$4:$G$1502,_xlfn.IFNA(MATCH(B757,Catalogo!$C$4:$C$1502,0),-1)),"-",INDEX(Catalogo!$H$4:$H$1502,_xlfn.IFNA(MATCH(B757,Catalogo!$C$4:$C$1502,0),-1))),"")</f>
        <v/>
      </c>
    </row>
    <row r="758" spans="2:4" x14ac:dyDescent="0.25">
      <c r="B758" s="8"/>
      <c r="C758" s="11" t="str">
        <f>IFERROR(INDEX(Catalogo!$E$4:$E$1502,_xlfn.IFNA(MATCH(B758,Catalogo!$C$4:$C$1502,0),-1)),"")</f>
        <v/>
      </c>
      <c r="D758" s="12" t="str">
        <f>IFERROR(_xlfn.CONCAT(INDEX(Catalogo!$G$4:$G$1502,_xlfn.IFNA(MATCH(B758,Catalogo!$C$4:$C$1502,0),-1)),"-",INDEX(Catalogo!$H$4:$H$1502,_xlfn.IFNA(MATCH(B758,Catalogo!$C$4:$C$1502,0),-1))),"")</f>
        <v/>
      </c>
    </row>
    <row r="759" spans="2:4" x14ac:dyDescent="0.25">
      <c r="B759" s="8"/>
      <c r="C759" s="11" t="str">
        <f>IFERROR(INDEX(Catalogo!$E$4:$E$1502,_xlfn.IFNA(MATCH(B759,Catalogo!$C$4:$C$1502,0),-1)),"")</f>
        <v/>
      </c>
      <c r="D759" s="12" t="str">
        <f>IFERROR(_xlfn.CONCAT(INDEX(Catalogo!$G$4:$G$1502,_xlfn.IFNA(MATCH(B759,Catalogo!$C$4:$C$1502,0),-1)),"-",INDEX(Catalogo!$H$4:$H$1502,_xlfn.IFNA(MATCH(B759,Catalogo!$C$4:$C$1502,0),-1))),"")</f>
        <v/>
      </c>
    </row>
    <row r="760" spans="2:4" x14ac:dyDescent="0.25">
      <c r="B760" s="8"/>
      <c r="C760" s="11" t="str">
        <f>IFERROR(INDEX(Catalogo!$E$4:$E$1502,_xlfn.IFNA(MATCH(B760,Catalogo!$C$4:$C$1502,0),-1)),"")</f>
        <v/>
      </c>
      <c r="D760" s="12" t="str">
        <f>IFERROR(_xlfn.CONCAT(INDEX(Catalogo!$G$4:$G$1502,_xlfn.IFNA(MATCH(B760,Catalogo!$C$4:$C$1502,0),-1)),"-",INDEX(Catalogo!$H$4:$H$1502,_xlfn.IFNA(MATCH(B760,Catalogo!$C$4:$C$1502,0),-1))),"")</f>
        <v/>
      </c>
    </row>
    <row r="761" spans="2:4" x14ac:dyDescent="0.25">
      <c r="B761" s="8"/>
      <c r="C761" s="11" t="str">
        <f>IFERROR(INDEX(Catalogo!$E$4:$E$1502,_xlfn.IFNA(MATCH(B761,Catalogo!$C$4:$C$1502,0),-1)),"")</f>
        <v/>
      </c>
      <c r="D761" s="12" t="str">
        <f>IFERROR(_xlfn.CONCAT(INDEX(Catalogo!$G$4:$G$1502,_xlfn.IFNA(MATCH(B761,Catalogo!$C$4:$C$1502,0),-1)),"-",INDEX(Catalogo!$H$4:$H$1502,_xlfn.IFNA(MATCH(B761,Catalogo!$C$4:$C$1502,0),-1))),"")</f>
        <v/>
      </c>
    </row>
    <row r="762" spans="2:4" x14ac:dyDescent="0.25">
      <c r="B762" s="8"/>
      <c r="C762" s="11" t="str">
        <f>IFERROR(INDEX(Catalogo!$E$4:$E$1502,_xlfn.IFNA(MATCH(B762,Catalogo!$C$4:$C$1502,0),-1)),"")</f>
        <v/>
      </c>
      <c r="D762" s="12" t="str">
        <f>IFERROR(_xlfn.CONCAT(INDEX(Catalogo!$G$4:$G$1502,_xlfn.IFNA(MATCH(B762,Catalogo!$C$4:$C$1502,0),-1)),"-",INDEX(Catalogo!$H$4:$H$1502,_xlfn.IFNA(MATCH(B762,Catalogo!$C$4:$C$1502,0),-1))),"")</f>
        <v/>
      </c>
    </row>
    <row r="763" spans="2:4" x14ac:dyDescent="0.25">
      <c r="B763" s="8"/>
      <c r="C763" s="11" t="str">
        <f>IFERROR(INDEX(Catalogo!$E$4:$E$1502,_xlfn.IFNA(MATCH(B763,Catalogo!$C$4:$C$1502,0),-1)),"")</f>
        <v/>
      </c>
      <c r="D763" s="12" t="str">
        <f>IFERROR(_xlfn.CONCAT(INDEX(Catalogo!$G$4:$G$1502,_xlfn.IFNA(MATCH(B763,Catalogo!$C$4:$C$1502,0),-1)),"-",INDEX(Catalogo!$H$4:$H$1502,_xlfn.IFNA(MATCH(B763,Catalogo!$C$4:$C$1502,0),-1))),"")</f>
        <v/>
      </c>
    </row>
    <row r="764" spans="2:4" x14ac:dyDescent="0.25">
      <c r="B764" s="8"/>
      <c r="C764" s="11" t="str">
        <f>IFERROR(INDEX(Catalogo!$E$4:$E$1502,_xlfn.IFNA(MATCH(B764,Catalogo!$C$4:$C$1502,0),-1)),"")</f>
        <v/>
      </c>
      <c r="D764" s="12" t="str">
        <f>IFERROR(_xlfn.CONCAT(INDEX(Catalogo!$G$4:$G$1502,_xlfn.IFNA(MATCH(B764,Catalogo!$C$4:$C$1502,0),-1)),"-",INDEX(Catalogo!$H$4:$H$1502,_xlfn.IFNA(MATCH(B764,Catalogo!$C$4:$C$1502,0),-1))),"")</f>
        <v/>
      </c>
    </row>
    <row r="765" spans="2:4" x14ac:dyDescent="0.25">
      <c r="B765" s="8"/>
      <c r="C765" s="11" t="str">
        <f>IFERROR(INDEX(Catalogo!$E$4:$E$1502,_xlfn.IFNA(MATCH(B765,Catalogo!$C$4:$C$1502,0),-1)),"")</f>
        <v/>
      </c>
      <c r="D765" s="12" t="str">
        <f>IFERROR(_xlfn.CONCAT(INDEX(Catalogo!$G$4:$G$1502,_xlfn.IFNA(MATCH(B765,Catalogo!$C$4:$C$1502,0),-1)),"-",INDEX(Catalogo!$H$4:$H$1502,_xlfn.IFNA(MATCH(B765,Catalogo!$C$4:$C$1502,0),-1))),"")</f>
        <v/>
      </c>
    </row>
    <row r="766" spans="2:4" x14ac:dyDescent="0.25">
      <c r="B766" s="8"/>
      <c r="C766" s="11" t="str">
        <f>IFERROR(INDEX(Catalogo!$E$4:$E$1502,_xlfn.IFNA(MATCH(B766,Catalogo!$C$4:$C$1502,0),-1)),"")</f>
        <v/>
      </c>
      <c r="D766" s="12" t="str">
        <f>IFERROR(_xlfn.CONCAT(INDEX(Catalogo!$G$4:$G$1502,_xlfn.IFNA(MATCH(B766,Catalogo!$C$4:$C$1502,0),-1)),"-",INDEX(Catalogo!$H$4:$H$1502,_xlfn.IFNA(MATCH(B766,Catalogo!$C$4:$C$1502,0),-1))),"")</f>
        <v/>
      </c>
    </row>
    <row r="767" spans="2:4" x14ac:dyDescent="0.25">
      <c r="B767" s="8"/>
      <c r="C767" s="11" t="str">
        <f>IFERROR(INDEX(Catalogo!$E$4:$E$1502,_xlfn.IFNA(MATCH(B767,Catalogo!$C$4:$C$1502,0),-1)),"")</f>
        <v/>
      </c>
      <c r="D767" s="12" t="str">
        <f>IFERROR(_xlfn.CONCAT(INDEX(Catalogo!$G$4:$G$1502,_xlfn.IFNA(MATCH(B767,Catalogo!$C$4:$C$1502,0),-1)),"-",INDEX(Catalogo!$H$4:$H$1502,_xlfn.IFNA(MATCH(B767,Catalogo!$C$4:$C$1502,0),-1))),"")</f>
        <v/>
      </c>
    </row>
    <row r="768" spans="2:4" x14ac:dyDescent="0.25">
      <c r="B768" s="8"/>
      <c r="C768" s="11" t="str">
        <f>IFERROR(INDEX(Catalogo!$E$4:$E$1502,_xlfn.IFNA(MATCH(B768,Catalogo!$C$4:$C$1502,0),-1)),"")</f>
        <v/>
      </c>
      <c r="D768" s="12" t="str">
        <f>IFERROR(_xlfn.CONCAT(INDEX(Catalogo!$G$4:$G$1502,_xlfn.IFNA(MATCH(B768,Catalogo!$C$4:$C$1502,0),-1)),"-",INDEX(Catalogo!$H$4:$H$1502,_xlfn.IFNA(MATCH(B768,Catalogo!$C$4:$C$1502,0),-1))),"")</f>
        <v/>
      </c>
    </row>
    <row r="769" spans="2:4" x14ac:dyDescent="0.25">
      <c r="B769" s="8"/>
      <c r="C769" s="11" t="str">
        <f>IFERROR(INDEX(Catalogo!$E$4:$E$1502,_xlfn.IFNA(MATCH(B769,Catalogo!$C$4:$C$1502,0),-1)),"")</f>
        <v/>
      </c>
      <c r="D769" s="12" t="str">
        <f>IFERROR(_xlfn.CONCAT(INDEX(Catalogo!$G$4:$G$1502,_xlfn.IFNA(MATCH(B769,Catalogo!$C$4:$C$1502,0),-1)),"-",INDEX(Catalogo!$H$4:$H$1502,_xlfn.IFNA(MATCH(B769,Catalogo!$C$4:$C$1502,0),-1))),"")</f>
        <v/>
      </c>
    </row>
    <row r="770" spans="2:4" x14ac:dyDescent="0.25">
      <c r="B770" s="8"/>
      <c r="C770" s="11" t="str">
        <f>IFERROR(INDEX(Catalogo!$E$4:$E$1502,_xlfn.IFNA(MATCH(B770,Catalogo!$C$4:$C$1502,0),-1)),"")</f>
        <v/>
      </c>
      <c r="D770" s="12" t="str">
        <f>IFERROR(_xlfn.CONCAT(INDEX(Catalogo!$G$4:$G$1502,_xlfn.IFNA(MATCH(B770,Catalogo!$C$4:$C$1502,0),-1)),"-",INDEX(Catalogo!$H$4:$H$1502,_xlfn.IFNA(MATCH(B770,Catalogo!$C$4:$C$1502,0),-1))),"")</f>
        <v/>
      </c>
    </row>
    <row r="771" spans="2:4" x14ac:dyDescent="0.25">
      <c r="B771" s="8"/>
      <c r="C771" s="11" t="str">
        <f>IFERROR(INDEX(Catalogo!$E$4:$E$1502,_xlfn.IFNA(MATCH(B771,Catalogo!$C$4:$C$1502,0),-1)),"")</f>
        <v/>
      </c>
      <c r="D771" s="12" t="str">
        <f>IFERROR(_xlfn.CONCAT(INDEX(Catalogo!$G$4:$G$1502,_xlfn.IFNA(MATCH(B771,Catalogo!$C$4:$C$1502,0),-1)),"-",INDEX(Catalogo!$H$4:$H$1502,_xlfn.IFNA(MATCH(B771,Catalogo!$C$4:$C$1502,0),-1))),"")</f>
        <v/>
      </c>
    </row>
    <row r="772" spans="2:4" x14ac:dyDescent="0.25">
      <c r="B772" s="8"/>
      <c r="C772" s="11" t="str">
        <f>IFERROR(INDEX(Catalogo!$E$4:$E$1502,_xlfn.IFNA(MATCH(B772,Catalogo!$C$4:$C$1502,0),-1)),"")</f>
        <v/>
      </c>
      <c r="D772" s="12" t="str">
        <f>IFERROR(_xlfn.CONCAT(INDEX(Catalogo!$G$4:$G$1502,_xlfn.IFNA(MATCH(B772,Catalogo!$C$4:$C$1502,0),-1)),"-",INDEX(Catalogo!$H$4:$H$1502,_xlfn.IFNA(MATCH(B772,Catalogo!$C$4:$C$1502,0),-1))),"")</f>
        <v/>
      </c>
    </row>
    <row r="773" spans="2:4" x14ac:dyDescent="0.25">
      <c r="B773" s="8"/>
      <c r="C773" s="11" t="str">
        <f>IFERROR(INDEX(Catalogo!$E$4:$E$1502,_xlfn.IFNA(MATCH(B773,Catalogo!$C$4:$C$1502,0),-1)),"")</f>
        <v/>
      </c>
      <c r="D773" s="12" t="str">
        <f>IFERROR(_xlfn.CONCAT(INDEX(Catalogo!$G$4:$G$1502,_xlfn.IFNA(MATCH(B773,Catalogo!$C$4:$C$1502,0),-1)),"-",INDEX(Catalogo!$H$4:$H$1502,_xlfn.IFNA(MATCH(B773,Catalogo!$C$4:$C$1502,0),-1))),"")</f>
        <v/>
      </c>
    </row>
    <row r="774" spans="2:4" x14ac:dyDescent="0.25">
      <c r="B774" s="8"/>
      <c r="C774" s="11" t="str">
        <f>IFERROR(INDEX(Catalogo!$E$4:$E$1502,_xlfn.IFNA(MATCH(B774,Catalogo!$C$4:$C$1502,0),-1)),"")</f>
        <v/>
      </c>
      <c r="D774" s="12" t="str">
        <f>IFERROR(_xlfn.CONCAT(INDEX(Catalogo!$G$4:$G$1502,_xlfn.IFNA(MATCH(B774,Catalogo!$C$4:$C$1502,0),-1)),"-",INDEX(Catalogo!$H$4:$H$1502,_xlfn.IFNA(MATCH(B774,Catalogo!$C$4:$C$1502,0),-1))),"")</f>
        <v/>
      </c>
    </row>
    <row r="775" spans="2:4" x14ac:dyDescent="0.25">
      <c r="B775" s="8"/>
      <c r="C775" s="11" t="str">
        <f>IFERROR(INDEX(Catalogo!$E$4:$E$1502,_xlfn.IFNA(MATCH(B775,Catalogo!$C$4:$C$1502,0),-1)),"")</f>
        <v/>
      </c>
      <c r="D775" s="12" t="str">
        <f>IFERROR(_xlfn.CONCAT(INDEX(Catalogo!$G$4:$G$1502,_xlfn.IFNA(MATCH(B775,Catalogo!$C$4:$C$1502,0),-1)),"-",INDEX(Catalogo!$H$4:$H$1502,_xlfn.IFNA(MATCH(B775,Catalogo!$C$4:$C$1502,0),-1))),"")</f>
        <v/>
      </c>
    </row>
    <row r="776" spans="2:4" x14ac:dyDescent="0.25">
      <c r="B776" s="8"/>
      <c r="C776" s="11" t="str">
        <f>IFERROR(INDEX(Catalogo!$E$4:$E$1502,_xlfn.IFNA(MATCH(B776,Catalogo!$C$4:$C$1502,0),-1)),"")</f>
        <v/>
      </c>
      <c r="D776" s="12" t="str">
        <f>IFERROR(_xlfn.CONCAT(INDEX(Catalogo!$G$4:$G$1502,_xlfn.IFNA(MATCH(B776,Catalogo!$C$4:$C$1502,0),-1)),"-",INDEX(Catalogo!$H$4:$H$1502,_xlfn.IFNA(MATCH(B776,Catalogo!$C$4:$C$1502,0),-1))),"")</f>
        <v/>
      </c>
    </row>
    <row r="777" spans="2:4" x14ac:dyDescent="0.25">
      <c r="B777" s="8"/>
      <c r="C777" s="11" t="str">
        <f>IFERROR(INDEX(Catalogo!$E$4:$E$1502,_xlfn.IFNA(MATCH(B777,Catalogo!$C$4:$C$1502,0),-1)),"")</f>
        <v/>
      </c>
      <c r="D777" s="12" t="str">
        <f>IFERROR(_xlfn.CONCAT(INDEX(Catalogo!$G$4:$G$1502,_xlfn.IFNA(MATCH(B777,Catalogo!$C$4:$C$1502,0),-1)),"-",INDEX(Catalogo!$H$4:$H$1502,_xlfn.IFNA(MATCH(B777,Catalogo!$C$4:$C$1502,0),-1))),"")</f>
        <v/>
      </c>
    </row>
    <row r="778" spans="2:4" x14ac:dyDescent="0.25">
      <c r="B778" s="8"/>
      <c r="C778" s="11" t="str">
        <f>IFERROR(INDEX(Catalogo!$E$4:$E$1502,_xlfn.IFNA(MATCH(B778,Catalogo!$C$4:$C$1502,0),-1)),"")</f>
        <v/>
      </c>
      <c r="D778" s="12" t="str">
        <f>IFERROR(_xlfn.CONCAT(INDEX(Catalogo!$G$4:$G$1502,_xlfn.IFNA(MATCH(B778,Catalogo!$C$4:$C$1502,0),-1)),"-",INDEX(Catalogo!$H$4:$H$1502,_xlfn.IFNA(MATCH(B778,Catalogo!$C$4:$C$1502,0),-1))),"")</f>
        <v/>
      </c>
    </row>
    <row r="779" spans="2:4" x14ac:dyDescent="0.25">
      <c r="B779" s="8"/>
      <c r="C779" s="11" t="str">
        <f>IFERROR(INDEX(Catalogo!$E$4:$E$1502,_xlfn.IFNA(MATCH(B779,Catalogo!$C$4:$C$1502,0),-1)),"")</f>
        <v/>
      </c>
      <c r="D779" s="12" t="str">
        <f>IFERROR(_xlfn.CONCAT(INDEX(Catalogo!$G$4:$G$1502,_xlfn.IFNA(MATCH(B779,Catalogo!$C$4:$C$1502,0),-1)),"-",INDEX(Catalogo!$H$4:$H$1502,_xlfn.IFNA(MATCH(B779,Catalogo!$C$4:$C$1502,0),-1))),"")</f>
        <v/>
      </c>
    </row>
    <row r="780" spans="2:4" x14ac:dyDescent="0.25">
      <c r="B780" s="8"/>
      <c r="C780" s="11" t="str">
        <f>IFERROR(INDEX(Catalogo!$E$4:$E$1502,_xlfn.IFNA(MATCH(B780,Catalogo!$C$4:$C$1502,0),-1)),"")</f>
        <v/>
      </c>
      <c r="D780" s="12" t="str">
        <f>IFERROR(_xlfn.CONCAT(INDEX(Catalogo!$G$4:$G$1502,_xlfn.IFNA(MATCH(B780,Catalogo!$C$4:$C$1502,0),-1)),"-",INDEX(Catalogo!$H$4:$H$1502,_xlfn.IFNA(MATCH(B780,Catalogo!$C$4:$C$1502,0),-1))),"")</f>
        <v/>
      </c>
    </row>
    <row r="781" spans="2:4" x14ac:dyDescent="0.25">
      <c r="B781" s="8"/>
      <c r="C781" s="11" t="str">
        <f>IFERROR(INDEX(Catalogo!$E$4:$E$1502,_xlfn.IFNA(MATCH(B781,Catalogo!$C$4:$C$1502,0),-1)),"")</f>
        <v/>
      </c>
      <c r="D781" s="12" t="str">
        <f>IFERROR(_xlfn.CONCAT(INDEX(Catalogo!$G$4:$G$1502,_xlfn.IFNA(MATCH(B781,Catalogo!$C$4:$C$1502,0),-1)),"-",INDEX(Catalogo!$H$4:$H$1502,_xlfn.IFNA(MATCH(B781,Catalogo!$C$4:$C$1502,0),-1))),"")</f>
        <v/>
      </c>
    </row>
    <row r="782" spans="2:4" x14ac:dyDescent="0.25">
      <c r="B782" s="8"/>
      <c r="C782" s="11" t="str">
        <f>IFERROR(INDEX(Catalogo!$E$4:$E$1502,_xlfn.IFNA(MATCH(B782,Catalogo!$C$4:$C$1502,0),-1)),"")</f>
        <v/>
      </c>
      <c r="D782" s="12" t="str">
        <f>IFERROR(_xlfn.CONCAT(INDEX(Catalogo!$G$4:$G$1502,_xlfn.IFNA(MATCH(B782,Catalogo!$C$4:$C$1502,0),-1)),"-",INDEX(Catalogo!$H$4:$H$1502,_xlfn.IFNA(MATCH(B782,Catalogo!$C$4:$C$1502,0),-1))),"")</f>
        <v/>
      </c>
    </row>
    <row r="783" spans="2:4" x14ac:dyDescent="0.25">
      <c r="B783" s="8"/>
      <c r="C783" s="11" t="str">
        <f>IFERROR(INDEX(Catalogo!$E$4:$E$1502,_xlfn.IFNA(MATCH(B783,Catalogo!$C$4:$C$1502,0),-1)),"")</f>
        <v/>
      </c>
      <c r="D783" s="12" t="str">
        <f>IFERROR(_xlfn.CONCAT(INDEX(Catalogo!$G$4:$G$1502,_xlfn.IFNA(MATCH(B783,Catalogo!$C$4:$C$1502,0),-1)),"-",INDEX(Catalogo!$H$4:$H$1502,_xlfn.IFNA(MATCH(B783,Catalogo!$C$4:$C$1502,0),-1))),"")</f>
        <v/>
      </c>
    </row>
    <row r="784" spans="2:4" x14ac:dyDescent="0.25">
      <c r="B784" s="8"/>
      <c r="C784" s="11" t="str">
        <f>IFERROR(INDEX(Catalogo!$E$4:$E$1502,_xlfn.IFNA(MATCH(B784,Catalogo!$C$4:$C$1502,0),-1)),"")</f>
        <v/>
      </c>
      <c r="D784" s="12" t="str">
        <f>IFERROR(_xlfn.CONCAT(INDEX(Catalogo!$G$4:$G$1502,_xlfn.IFNA(MATCH(B784,Catalogo!$C$4:$C$1502,0),-1)),"-",INDEX(Catalogo!$H$4:$H$1502,_xlfn.IFNA(MATCH(B784,Catalogo!$C$4:$C$1502,0),-1))),"")</f>
        <v/>
      </c>
    </row>
    <row r="785" spans="2:4" x14ac:dyDescent="0.25">
      <c r="B785" s="8"/>
      <c r="C785" s="11" t="str">
        <f>IFERROR(INDEX(Catalogo!$E$4:$E$1502,_xlfn.IFNA(MATCH(B785,Catalogo!$C$4:$C$1502,0),-1)),"")</f>
        <v/>
      </c>
      <c r="D785" s="12" t="str">
        <f>IFERROR(_xlfn.CONCAT(INDEX(Catalogo!$G$4:$G$1502,_xlfn.IFNA(MATCH(B785,Catalogo!$C$4:$C$1502,0),-1)),"-",INDEX(Catalogo!$H$4:$H$1502,_xlfn.IFNA(MATCH(B785,Catalogo!$C$4:$C$1502,0),-1))),"")</f>
        <v/>
      </c>
    </row>
    <row r="786" spans="2:4" x14ac:dyDescent="0.25">
      <c r="B786" s="8"/>
      <c r="C786" s="11" t="str">
        <f>IFERROR(INDEX(Catalogo!$E$4:$E$1502,_xlfn.IFNA(MATCH(B786,Catalogo!$C$4:$C$1502,0),-1)),"")</f>
        <v/>
      </c>
      <c r="D786" s="12" t="str">
        <f>IFERROR(_xlfn.CONCAT(INDEX(Catalogo!$G$4:$G$1502,_xlfn.IFNA(MATCH(B786,Catalogo!$C$4:$C$1502,0),-1)),"-",INDEX(Catalogo!$H$4:$H$1502,_xlfn.IFNA(MATCH(B786,Catalogo!$C$4:$C$1502,0),-1))),"")</f>
        <v/>
      </c>
    </row>
    <row r="787" spans="2:4" x14ac:dyDescent="0.25">
      <c r="B787" s="8"/>
      <c r="C787" s="11" t="str">
        <f>IFERROR(INDEX(Catalogo!$E$4:$E$1502,_xlfn.IFNA(MATCH(B787,Catalogo!$C$4:$C$1502,0),-1)),"")</f>
        <v/>
      </c>
      <c r="D787" s="12" t="str">
        <f>IFERROR(_xlfn.CONCAT(INDEX(Catalogo!$G$4:$G$1502,_xlfn.IFNA(MATCH(B787,Catalogo!$C$4:$C$1502,0),-1)),"-",INDEX(Catalogo!$H$4:$H$1502,_xlfn.IFNA(MATCH(B787,Catalogo!$C$4:$C$1502,0),-1))),"")</f>
        <v/>
      </c>
    </row>
    <row r="788" spans="2:4" x14ac:dyDescent="0.25">
      <c r="B788" s="8"/>
      <c r="C788" s="11" t="str">
        <f>IFERROR(INDEX(Catalogo!$E$4:$E$1502,_xlfn.IFNA(MATCH(B788,Catalogo!$C$4:$C$1502,0),-1)),"")</f>
        <v/>
      </c>
      <c r="D788" s="12" t="str">
        <f>IFERROR(_xlfn.CONCAT(INDEX(Catalogo!$G$4:$G$1502,_xlfn.IFNA(MATCH(B788,Catalogo!$C$4:$C$1502,0),-1)),"-",INDEX(Catalogo!$H$4:$H$1502,_xlfn.IFNA(MATCH(B788,Catalogo!$C$4:$C$1502,0),-1))),"")</f>
        <v/>
      </c>
    </row>
    <row r="789" spans="2:4" x14ac:dyDescent="0.25">
      <c r="B789" s="8"/>
      <c r="C789" s="11" t="str">
        <f>IFERROR(INDEX(Catalogo!$E$4:$E$1502,_xlfn.IFNA(MATCH(B789,Catalogo!$C$4:$C$1502,0),-1)),"")</f>
        <v/>
      </c>
      <c r="D789" s="12" t="str">
        <f>IFERROR(_xlfn.CONCAT(INDEX(Catalogo!$G$4:$G$1502,_xlfn.IFNA(MATCH(B789,Catalogo!$C$4:$C$1502,0),-1)),"-",INDEX(Catalogo!$H$4:$H$1502,_xlfn.IFNA(MATCH(B789,Catalogo!$C$4:$C$1502,0),-1))),"")</f>
        <v/>
      </c>
    </row>
    <row r="790" spans="2:4" x14ac:dyDescent="0.25">
      <c r="B790" s="8"/>
      <c r="C790" s="11" t="str">
        <f>IFERROR(INDEX(Catalogo!$E$4:$E$1502,_xlfn.IFNA(MATCH(B790,Catalogo!$C$4:$C$1502,0),-1)),"")</f>
        <v/>
      </c>
      <c r="D790" s="12" t="str">
        <f>IFERROR(_xlfn.CONCAT(INDEX(Catalogo!$G$4:$G$1502,_xlfn.IFNA(MATCH(B790,Catalogo!$C$4:$C$1502,0),-1)),"-",INDEX(Catalogo!$H$4:$H$1502,_xlfn.IFNA(MATCH(B790,Catalogo!$C$4:$C$1502,0),-1))),"")</f>
        <v/>
      </c>
    </row>
    <row r="791" spans="2:4" x14ac:dyDescent="0.25">
      <c r="B791" s="8"/>
      <c r="C791" s="11" t="str">
        <f>IFERROR(INDEX(Catalogo!$E$4:$E$1502,_xlfn.IFNA(MATCH(B791,Catalogo!$C$4:$C$1502,0),-1)),"")</f>
        <v/>
      </c>
      <c r="D791" s="12" t="str">
        <f>IFERROR(_xlfn.CONCAT(INDEX(Catalogo!$G$4:$G$1502,_xlfn.IFNA(MATCH(B791,Catalogo!$C$4:$C$1502,0),-1)),"-",INDEX(Catalogo!$H$4:$H$1502,_xlfn.IFNA(MATCH(B791,Catalogo!$C$4:$C$1502,0),-1))),"")</f>
        <v/>
      </c>
    </row>
    <row r="792" spans="2:4" x14ac:dyDescent="0.25">
      <c r="B792" s="8"/>
      <c r="C792" s="11" t="str">
        <f>IFERROR(INDEX(Catalogo!$E$4:$E$1502,_xlfn.IFNA(MATCH(B792,Catalogo!$C$4:$C$1502,0),-1)),"")</f>
        <v/>
      </c>
      <c r="D792" s="12" t="str">
        <f>IFERROR(_xlfn.CONCAT(INDEX(Catalogo!$G$4:$G$1502,_xlfn.IFNA(MATCH(B792,Catalogo!$C$4:$C$1502,0),-1)),"-",INDEX(Catalogo!$H$4:$H$1502,_xlfn.IFNA(MATCH(B792,Catalogo!$C$4:$C$1502,0),-1))),"")</f>
        <v/>
      </c>
    </row>
    <row r="793" spans="2:4" x14ac:dyDescent="0.25">
      <c r="B793" s="8"/>
      <c r="C793" s="11" t="str">
        <f>IFERROR(INDEX(Catalogo!$E$4:$E$1502,_xlfn.IFNA(MATCH(B793,Catalogo!$C$4:$C$1502,0),-1)),"")</f>
        <v/>
      </c>
      <c r="D793" s="12" t="str">
        <f>IFERROR(_xlfn.CONCAT(INDEX(Catalogo!$G$4:$G$1502,_xlfn.IFNA(MATCH(B793,Catalogo!$C$4:$C$1502,0),-1)),"-",INDEX(Catalogo!$H$4:$H$1502,_xlfn.IFNA(MATCH(B793,Catalogo!$C$4:$C$1502,0),-1))),"")</f>
        <v/>
      </c>
    </row>
    <row r="794" spans="2:4" x14ac:dyDescent="0.25">
      <c r="B794" s="8"/>
      <c r="C794" s="11" t="str">
        <f>IFERROR(INDEX(Catalogo!$E$4:$E$1502,_xlfn.IFNA(MATCH(B794,Catalogo!$C$4:$C$1502,0),-1)),"")</f>
        <v/>
      </c>
      <c r="D794" s="12" t="str">
        <f>IFERROR(_xlfn.CONCAT(INDEX(Catalogo!$G$4:$G$1502,_xlfn.IFNA(MATCH(B794,Catalogo!$C$4:$C$1502,0),-1)),"-",INDEX(Catalogo!$H$4:$H$1502,_xlfn.IFNA(MATCH(B794,Catalogo!$C$4:$C$1502,0),-1))),"")</f>
        <v/>
      </c>
    </row>
    <row r="795" spans="2:4" x14ac:dyDescent="0.25">
      <c r="B795" s="8"/>
      <c r="C795" s="11" t="str">
        <f>IFERROR(INDEX(Catalogo!$E$4:$E$1502,_xlfn.IFNA(MATCH(B795,Catalogo!$C$4:$C$1502,0),-1)),"")</f>
        <v/>
      </c>
      <c r="D795" s="12" t="str">
        <f>IFERROR(_xlfn.CONCAT(INDEX(Catalogo!$G$4:$G$1502,_xlfn.IFNA(MATCH(B795,Catalogo!$C$4:$C$1502,0),-1)),"-",INDEX(Catalogo!$H$4:$H$1502,_xlfn.IFNA(MATCH(B795,Catalogo!$C$4:$C$1502,0),-1))),"")</f>
        <v/>
      </c>
    </row>
    <row r="796" spans="2:4" x14ac:dyDescent="0.25">
      <c r="B796" s="8"/>
      <c r="C796" s="11" t="str">
        <f>IFERROR(INDEX(Catalogo!$E$4:$E$1502,_xlfn.IFNA(MATCH(B796,Catalogo!$C$4:$C$1502,0),-1)),"")</f>
        <v/>
      </c>
      <c r="D796" s="12" t="str">
        <f>IFERROR(_xlfn.CONCAT(INDEX(Catalogo!$G$4:$G$1502,_xlfn.IFNA(MATCH(B796,Catalogo!$C$4:$C$1502,0),-1)),"-",INDEX(Catalogo!$H$4:$H$1502,_xlfn.IFNA(MATCH(B796,Catalogo!$C$4:$C$1502,0),-1))),"")</f>
        <v/>
      </c>
    </row>
    <row r="797" spans="2:4" x14ac:dyDescent="0.25">
      <c r="B797" s="8"/>
      <c r="C797" s="11" t="str">
        <f>IFERROR(INDEX(Catalogo!$E$4:$E$1502,_xlfn.IFNA(MATCH(B797,Catalogo!$C$4:$C$1502,0),-1)),"")</f>
        <v/>
      </c>
      <c r="D797" s="12" t="str">
        <f>IFERROR(_xlfn.CONCAT(INDEX(Catalogo!$G$4:$G$1502,_xlfn.IFNA(MATCH(B797,Catalogo!$C$4:$C$1502,0),-1)),"-",INDEX(Catalogo!$H$4:$H$1502,_xlfn.IFNA(MATCH(B797,Catalogo!$C$4:$C$1502,0),-1))),"")</f>
        <v/>
      </c>
    </row>
    <row r="798" spans="2:4" x14ac:dyDescent="0.25">
      <c r="B798" s="8"/>
      <c r="C798" s="11" t="str">
        <f>IFERROR(INDEX(Catalogo!$E$4:$E$1502,_xlfn.IFNA(MATCH(B798,Catalogo!$C$4:$C$1502,0),-1)),"")</f>
        <v/>
      </c>
      <c r="D798" s="12" t="str">
        <f>IFERROR(_xlfn.CONCAT(INDEX(Catalogo!$G$4:$G$1502,_xlfn.IFNA(MATCH(B798,Catalogo!$C$4:$C$1502,0),-1)),"-",INDEX(Catalogo!$H$4:$H$1502,_xlfn.IFNA(MATCH(B798,Catalogo!$C$4:$C$1502,0),-1))),"")</f>
        <v/>
      </c>
    </row>
    <row r="799" spans="2:4" x14ac:dyDescent="0.25">
      <c r="B799" s="8"/>
      <c r="C799" s="11" t="str">
        <f>IFERROR(INDEX(Catalogo!$E$4:$E$1502,_xlfn.IFNA(MATCH(B799,Catalogo!$C$4:$C$1502,0),-1)),"")</f>
        <v/>
      </c>
      <c r="D799" s="12" t="str">
        <f>IFERROR(_xlfn.CONCAT(INDEX(Catalogo!$G$4:$G$1502,_xlfn.IFNA(MATCH(B799,Catalogo!$C$4:$C$1502,0),-1)),"-",INDEX(Catalogo!$H$4:$H$1502,_xlfn.IFNA(MATCH(B799,Catalogo!$C$4:$C$1502,0),-1))),"")</f>
        <v/>
      </c>
    </row>
    <row r="800" spans="2:4" x14ac:dyDescent="0.25">
      <c r="B800" s="8"/>
      <c r="C800" s="11" t="str">
        <f>IFERROR(INDEX(Catalogo!$E$4:$E$1502,_xlfn.IFNA(MATCH(B800,Catalogo!$C$4:$C$1502,0),-1)),"")</f>
        <v/>
      </c>
      <c r="D800" s="12" t="str">
        <f>IFERROR(_xlfn.CONCAT(INDEX(Catalogo!$G$4:$G$1502,_xlfn.IFNA(MATCH(B800,Catalogo!$C$4:$C$1502,0),-1)),"-",INDEX(Catalogo!$H$4:$H$1502,_xlfn.IFNA(MATCH(B800,Catalogo!$C$4:$C$1502,0),-1))),"")</f>
        <v/>
      </c>
    </row>
    <row r="801" spans="2:4" x14ac:dyDescent="0.25">
      <c r="B801" s="8"/>
      <c r="C801" s="11" t="str">
        <f>IFERROR(INDEX(Catalogo!$E$4:$E$1502,_xlfn.IFNA(MATCH(B801,Catalogo!$C$4:$C$1502,0),-1)),"")</f>
        <v/>
      </c>
      <c r="D801" s="12" t="str">
        <f>IFERROR(_xlfn.CONCAT(INDEX(Catalogo!$G$4:$G$1502,_xlfn.IFNA(MATCH(B801,Catalogo!$C$4:$C$1502,0),-1)),"-",INDEX(Catalogo!$H$4:$H$1502,_xlfn.IFNA(MATCH(B801,Catalogo!$C$4:$C$1502,0),-1))),"")</f>
        <v/>
      </c>
    </row>
    <row r="802" spans="2:4" x14ac:dyDescent="0.25">
      <c r="B802" s="8"/>
      <c r="C802" s="11" t="str">
        <f>IFERROR(INDEX(Catalogo!$E$4:$E$1502,_xlfn.IFNA(MATCH(B802,Catalogo!$C$4:$C$1502,0),-1)),"")</f>
        <v/>
      </c>
      <c r="D802" s="12" t="str">
        <f>IFERROR(_xlfn.CONCAT(INDEX(Catalogo!$G$4:$G$1502,_xlfn.IFNA(MATCH(B802,Catalogo!$C$4:$C$1502,0),-1)),"-",INDEX(Catalogo!$H$4:$H$1502,_xlfn.IFNA(MATCH(B802,Catalogo!$C$4:$C$1502,0),-1))),"")</f>
        <v/>
      </c>
    </row>
    <row r="803" spans="2:4" x14ac:dyDescent="0.25">
      <c r="B803" s="8"/>
      <c r="C803" s="11" t="str">
        <f>IFERROR(INDEX(Catalogo!$E$4:$E$1502,_xlfn.IFNA(MATCH(B803,Catalogo!$C$4:$C$1502,0),-1)),"")</f>
        <v/>
      </c>
      <c r="D803" s="12" t="str">
        <f>IFERROR(_xlfn.CONCAT(INDEX(Catalogo!$G$4:$G$1502,_xlfn.IFNA(MATCH(B803,Catalogo!$C$4:$C$1502,0),-1)),"-",INDEX(Catalogo!$H$4:$H$1502,_xlfn.IFNA(MATCH(B803,Catalogo!$C$4:$C$1502,0),-1))),"")</f>
        <v/>
      </c>
    </row>
    <row r="804" spans="2:4" x14ac:dyDescent="0.25">
      <c r="B804" s="8"/>
      <c r="C804" s="11" t="str">
        <f>IFERROR(INDEX(Catalogo!$E$4:$E$1502,_xlfn.IFNA(MATCH(B804,Catalogo!$C$4:$C$1502,0),-1)),"")</f>
        <v/>
      </c>
      <c r="D804" s="12" t="str">
        <f>IFERROR(_xlfn.CONCAT(INDEX(Catalogo!$G$4:$G$1502,_xlfn.IFNA(MATCH(B804,Catalogo!$C$4:$C$1502,0),-1)),"-",INDEX(Catalogo!$H$4:$H$1502,_xlfn.IFNA(MATCH(B804,Catalogo!$C$4:$C$1502,0),-1))),"")</f>
        <v/>
      </c>
    </row>
    <row r="805" spans="2:4" x14ac:dyDescent="0.25">
      <c r="B805" s="8"/>
      <c r="C805" s="11" t="str">
        <f>IFERROR(INDEX(Catalogo!$E$4:$E$1502,_xlfn.IFNA(MATCH(B805,Catalogo!$C$4:$C$1502,0),-1)),"")</f>
        <v/>
      </c>
      <c r="D805" s="12" t="str">
        <f>IFERROR(_xlfn.CONCAT(INDEX(Catalogo!$G$4:$G$1502,_xlfn.IFNA(MATCH(B805,Catalogo!$C$4:$C$1502,0),-1)),"-",INDEX(Catalogo!$H$4:$H$1502,_xlfn.IFNA(MATCH(B805,Catalogo!$C$4:$C$1502,0),-1))),"")</f>
        <v/>
      </c>
    </row>
    <row r="806" spans="2:4" x14ac:dyDescent="0.25">
      <c r="B806" s="8"/>
      <c r="C806" s="11" t="str">
        <f>IFERROR(INDEX(Catalogo!$E$4:$E$1502,_xlfn.IFNA(MATCH(B806,Catalogo!$C$4:$C$1502,0),-1)),"")</f>
        <v/>
      </c>
      <c r="D806" s="12" t="str">
        <f>IFERROR(_xlfn.CONCAT(INDEX(Catalogo!$G$4:$G$1502,_xlfn.IFNA(MATCH(B806,Catalogo!$C$4:$C$1502,0),-1)),"-",INDEX(Catalogo!$H$4:$H$1502,_xlfn.IFNA(MATCH(B806,Catalogo!$C$4:$C$1502,0),-1))),"")</f>
        <v/>
      </c>
    </row>
    <row r="807" spans="2:4" x14ac:dyDescent="0.25">
      <c r="B807" s="8"/>
      <c r="C807" s="11" t="str">
        <f>IFERROR(INDEX(Catalogo!$E$4:$E$1502,_xlfn.IFNA(MATCH(B807,Catalogo!$C$4:$C$1502,0),-1)),"")</f>
        <v/>
      </c>
      <c r="D807" s="12" t="str">
        <f>IFERROR(_xlfn.CONCAT(INDEX(Catalogo!$G$4:$G$1502,_xlfn.IFNA(MATCH(B807,Catalogo!$C$4:$C$1502,0),-1)),"-",INDEX(Catalogo!$H$4:$H$1502,_xlfn.IFNA(MATCH(B807,Catalogo!$C$4:$C$1502,0),-1))),"")</f>
        <v/>
      </c>
    </row>
    <row r="808" spans="2:4" x14ac:dyDescent="0.25">
      <c r="B808" s="8"/>
      <c r="C808" s="11" t="str">
        <f>IFERROR(INDEX(Catalogo!$E$4:$E$1502,_xlfn.IFNA(MATCH(B808,Catalogo!$C$4:$C$1502,0),-1)),"")</f>
        <v/>
      </c>
      <c r="D808" s="12" t="str">
        <f>IFERROR(_xlfn.CONCAT(INDEX(Catalogo!$G$4:$G$1502,_xlfn.IFNA(MATCH(B808,Catalogo!$C$4:$C$1502,0),-1)),"-",INDEX(Catalogo!$H$4:$H$1502,_xlfn.IFNA(MATCH(B808,Catalogo!$C$4:$C$1502,0),-1))),"")</f>
        <v/>
      </c>
    </row>
    <row r="809" spans="2:4" x14ac:dyDescent="0.25">
      <c r="B809" s="8"/>
      <c r="C809" s="11" t="str">
        <f>IFERROR(INDEX(Catalogo!$E$4:$E$1502,_xlfn.IFNA(MATCH(B809,Catalogo!$C$4:$C$1502,0),-1)),"")</f>
        <v/>
      </c>
      <c r="D809" s="12" t="str">
        <f>IFERROR(_xlfn.CONCAT(INDEX(Catalogo!$G$4:$G$1502,_xlfn.IFNA(MATCH(B809,Catalogo!$C$4:$C$1502,0),-1)),"-",INDEX(Catalogo!$H$4:$H$1502,_xlfn.IFNA(MATCH(B809,Catalogo!$C$4:$C$1502,0),-1))),"")</f>
        <v/>
      </c>
    </row>
    <row r="810" spans="2:4" x14ac:dyDescent="0.25">
      <c r="B810" s="8"/>
      <c r="C810" s="11" t="str">
        <f>IFERROR(INDEX(Catalogo!$E$4:$E$1502,_xlfn.IFNA(MATCH(B810,Catalogo!$C$4:$C$1502,0),-1)),"")</f>
        <v/>
      </c>
      <c r="D810" s="12" t="str">
        <f>IFERROR(_xlfn.CONCAT(INDEX(Catalogo!$G$4:$G$1502,_xlfn.IFNA(MATCH(B810,Catalogo!$C$4:$C$1502,0),-1)),"-",INDEX(Catalogo!$H$4:$H$1502,_xlfn.IFNA(MATCH(B810,Catalogo!$C$4:$C$1502,0),-1))),"")</f>
        <v/>
      </c>
    </row>
    <row r="811" spans="2:4" x14ac:dyDescent="0.25">
      <c r="B811" s="8"/>
      <c r="C811" s="11" t="str">
        <f>IFERROR(INDEX(Catalogo!$E$4:$E$1502,_xlfn.IFNA(MATCH(B811,Catalogo!$C$4:$C$1502,0),-1)),"")</f>
        <v/>
      </c>
      <c r="D811" s="12" t="str">
        <f>IFERROR(_xlfn.CONCAT(INDEX(Catalogo!$G$4:$G$1502,_xlfn.IFNA(MATCH(B811,Catalogo!$C$4:$C$1502,0),-1)),"-",INDEX(Catalogo!$H$4:$H$1502,_xlfn.IFNA(MATCH(B811,Catalogo!$C$4:$C$1502,0),-1))),"")</f>
        <v/>
      </c>
    </row>
    <row r="812" spans="2:4" x14ac:dyDescent="0.25">
      <c r="B812" s="8"/>
      <c r="C812" s="11" t="str">
        <f>IFERROR(INDEX(Catalogo!$E$4:$E$1502,_xlfn.IFNA(MATCH(B812,Catalogo!$C$4:$C$1502,0),-1)),"")</f>
        <v/>
      </c>
      <c r="D812" s="12" t="str">
        <f>IFERROR(_xlfn.CONCAT(INDEX(Catalogo!$G$4:$G$1502,_xlfn.IFNA(MATCH(B812,Catalogo!$C$4:$C$1502,0),-1)),"-",INDEX(Catalogo!$H$4:$H$1502,_xlfn.IFNA(MATCH(B812,Catalogo!$C$4:$C$1502,0),-1))),"")</f>
        <v/>
      </c>
    </row>
    <row r="813" spans="2:4" x14ac:dyDescent="0.25">
      <c r="B813" s="8"/>
      <c r="C813" s="11" t="str">
        <f>IFERROR(INDEX(Catalogo!$E$4:$E$1502,_xlfn.IFNA(MATCH(B813,Catalogo!$C$4:$C$1502,0),-1)),"")</f>
        <v/>
      </c>
      <c r="D813" s="12" t="str">
        <f>IFERROR(_xlfn.CONCAT(INDEX(Catalogo!$G$4:$G$1502,_xlfn.IFNA(MATCH(B813,Catalogo!$C$4:$C$1502,0),-1)),"-",INDEX(Catalogo!$H$4:$H$1502,_xlfn.IFNA(MATCH(B813,Catalogo!$C$4:$C$1502,0),-1))),"")</f>
        <v/>
      </c>
    </row>
    <row r="814" spans="2:4" x14ac:dyDescent="0.25">
      <c r="B814" s="8"/>
      <c r="C814" s="11" t="str">
        <f>IFERROR(INDEX(Catalogo!$E$4:$E$1502,_xlfn.IFNA(MATCH(B814,Catalogo!$C$4:$C$1502,0),-1)),"")</f>
        <v/>
      </c>
      <c r="D814" s="12" t="str">
        <f>IFERROR(_xlfn.CONCAT(INDEX(Catalogo!$G$4:$G$1502,_xlfn.IFNA(MATCH(B814,Catalogo!$C$4:$C$1502,0),-1)),"-",INDEX(Catalogo!$H$4:$H$1502,_xlfn.IFNA(MATCH(B814,Catalogo!$C$4:$C$1502,0),-1))),"")</f>
        <v/>
      </c>
    </row>
    <row r="815" spans="2:4" x14ac:dyDescent="0.25">
      <c r="B815" s="8"/>
      <c r="C815" s="11" t="str">
        <f>IFERROR(INDEX(Catalogo!$E$4:$E$1502,_xlfn.IFNA(MATCH(B815,Catalogo!$C$4:$C$1502,0),-1)),"")</f>
        <v/>
      </c>
      <c r="D815" s="12" t="str">
        <f>IFERROR(_xlfn.CONCAT(INDEX(Catalogo!$G$4:$G$1502,_xlfn.IFNA(MATCH(B815,Catalogo!$C$4:$C$1502,0),-1)),"-",INDEX(Catalogo!$H$4:$H$1502,_xlfn.IFNA(MATCH(B815,Catalogo!$C$4:$C$1502,0),-1))),"")</f>
        <v/>
      </c>
    </row>
    <row r="816" spans="2:4" x14ac:dyDescent="0.25">
      <c r="B816" s="8"/>
      <c r="C816" s="11" t="str">
        <f>IFERROR(INDEX(Catalogo!$E$4:$E$1502,_xlfn.IFNA(MATCH(B816,Catalogo!$C$4:$C$1502,0),-1)),"")</f>
        <v/>
      </c>
      <c r="D816" s="12" t="str">
        <f>IFERROR(_xlfn.CONCAT(INDEX(Catalogo!$G$4:$G$1502,_xlfn.IFNA(MATCH(B816,Catalogo!$C$4:$C$1502,0),-1)),"-",INDEX(Catalogo!$H$4:$H$1502,_xlfn.IFNA(MATCH(B816,Catalogo!$C$4:$C$1502,0),-1))),"")</f>
        <v/>
      </c>
    </row>
    <row r="817" spans="2:4" x14ac:dyDescent="0.25">
      <c r="B817" s="8"/>
      <c r="C817" s="11" t="str">
        <f>IFERROR(INDEX(Catalogo!$E$4:$E$1502,_xlfn.IFNA(MATCH(B817,Catalogo!$C$4:$C$1502,0),-1)),"")</f>
        <v/>
      </c>
      <c r="D817" s="12" t="str">
        <f>IFERROR(_xlfn.CONCAT(INDEX(Catalogo!$G$4:$G$1502,_xlfn.IFNA(MATCH(B817,Catalogo!$C$4:$C$1502,0),-1)),"-",INDEX(Catalogo!$H$4:$H$1502,_xlfn.IFNA(MATCH(B817,Catalogo!$C$4:$C$1502,0),-1))),"")</f>
        <v/>
      </c>
    </row>
    <row r="818" spans="2:4" x14ac:dyDescent="0.25">
      <c r="B818" s="8"/>
      <c r="C818" s="11" t="str">
        <f>IFERROR(INDEX(Catalogo!$E$4:$E$1502,_xlfn.IFNA(MATCH(B818,Catalogo!$C$4:$C$1502,0),-1)),"")</f>
        <v/>
      </c>
      <c r="D818" s="12" t="str">
        <f>IFERROR(_xlfn.CONCAT(INDEX(Catalogo!$G$4:$G$1502,_xlfn.IFNA(MATCH(B818,Catalogo!$C$4:$C$1502,0),-1)),"-",INDEX(Catalogo!$H$4:$H$1502,_xlfn.IFNA(MATCH(B818,Catalogo!$C$4:$C$1502,0),-1))),"")</f>
        <v/>
      </c>
    </row>
    <row r="819" spans="2:4" x14ac:dyDescent="0.25">
      <c r="B819" s="8"/>
      <c r="C819" s="11" t="str">
        <f>IFERROR(INDEX(Catalogo!$E$4:$E$1502,_xlfn.IFNA(MATCH(B819,Catalogo!$C$4:$C$1502,0),-1)),"")</f>
        <v/>
      </c>
      <c r="D819" s="12" t="str">
        <f>IFERROR(_xlfn.CONCAT(INDEX(Catalogo!$G$4:$G$1502,_xlfn.IFNA(MATCH(B819,Catalogo!$C$4:$C$1502,0),-1)),"-",INDEX(Catalogo!$H$4:$H$1502,_xlfn.IFNA(MATCH(B819,Catalogo!$C$4:$C$1502,0),-1))),"")</f>
        <v/>
      </c>
    </row>
    <row r="820" spans="2:4" x14ac:dyDescent="0.25">
      <c r="B820" s="8"/>
      <c r="C820" s="11" t="str">
        <f>IFERROR(INDEX(Catalogo!$E$4:$E$1502,_xlfn.IFNA(MATCH(B820,Catalogo!$C$4:$C$1502,0),-1)),"")</f>
        <v/>
      </c>
      <c r="D820" s="12" t="str">
        <f>IFERROR(_xlfn.CONCAT(INDEX(Catalogo!$G$4:$G$1502,_xlfn.IFNA(MATCH(B820,Catalogo!$C$4:$C$1502,0),-1)),"-",INDEX(Catalogo!$H$4:$H$1502,_xlfn.IFNA(MATCH(B820,Catalogo!$C$4:$C$1502,0),-1))),"")</f>
        <v/>
      </c>
    </row>
    <row r="821" spans="2:4" x14ac:dyDescent="0.25">
      <c r="B821" s="8"/>
      <c r="C821" s="11" t="str">
        <f>IFERROR(INDEX(Catalogo!$E$4:$E$1502,_xlfn.IFNA(MATCH(B821,Catalogo!$C$4:$C$1502,0),-1)),"")</f>
        <v/>
      </c>
      <c r="D821" s="12" t="str">
        <f>IFERROR(_xlfn.CONCAT(INDEX(Catalogo!$G$4:$G$1502,_xlfn.IFNA(MATCH(B821,Catalogo!$C$4:$C$1502,0),-1)),"-",INDEX(Catalogo!$H$4:$H$1502,_xlfn.IFNA(MATCH(B821,Catalogo!$C$4:$C$1502,0),-1))),"")</f>
        <v/>
      </c>
    </row>
    <row r="822" spans="2:4" x14ac:dyDescent="0.25">
      <c r="B822" s="8"/>
      <c r="C822" s="11" t="str">
        <f>IFERROR(INDEX(Catalogo!$E$4:$E$1502,_xlfn.IFNA(MATCH(B822,Catalogo!$C$4:$C$1502,0),-1)),"")</f>
        <v/>
      </c>
      <c r="D822" s="12" t="str">
        <f>IFERROR(_xlfn.CONCAT(INDEX(Catalogo!$G$4:$G$1502,_xlfn.IFNA(MATCH(B822,Catalogo!$C$4:$C$1502,0),-1)),"-",INDEX(Catalogo!$H$4:$H$1502,_xlfn.IFNA(MATCH(B822,Catalogo!$C$4:$C$1502,0),-1))),"")</f>
        <v/>
      </c>
    </row>
    <row r="823" spans="2:4" x14ac:dyDescent="0.25">
      <c r="B823" s="8"/>
      <c r="C823" s="11" t="str">
        <f>IFERROR(INDEX(Catalogo!$E$4:$E$1502,_xlfn.IFNA(MATCH(B823,Catalogo!$C$4:$C$1502,0),-1)),"")</f>
        <v/>
      </c>
      <c r="D823" s="12" t="str">
        <f>IFERROR(_xlfn.CONCAT(INDEX(Catalogo!$G$4:$G$1502,_xlfn.IFNA(MATCH(B823,Catalogo!$C$4:$C$1502,0),-1)),"-",INDEX(Catalogo!$H$4:$H$1502,_xlfn.IFNA(MATCH(B823,Catalogo!$C$4:$C$1502,0),-1))),"")</f>
        <v/>
      </c>
    </row>
    <row r="824" spans="2:4" x14ac:dyDescent="0.25">
      <c r="B824" s="8"/>
      <c r="C824" s="11" t="str">
        <f>IFERROR(INDEX(Catalogo!$E$4:$E$1502,_xlfn.IFNA(MATCH(B824,Catalogo!$C$4:$C$1502,0),-1)),"")</f>
        <v/>
      </c>
      <c r="D824" s="12" t="str">
        <f>IFERROR(_xlfn.CONCAT(INDEX(Catalogo!$G$4:$G$1502,_xlfn.IFNA(MATCH(B824,Catalogo!$C$4:$C$1502,0),-1)),"-",INDEX(Catalogo!$H$4:$H$1502,_xlfn.IFNA(MATCH(B824,Catalogo!$C$4:$C$1502,0),-1))),"")</f>
        <v/>
      </c>
    </row>
    <row r="825" spans="2:4" x14ac:dyDescent="0.25">
      <c r="B825" s="8"/>
      <c r="C825" s="11" t="str">
        <f>IFERROR(INDEX(Catalogo!$E$4:$E$1502,_xlfn.IFNA(MATCH(B825,Catalogo!$C$4:$C$1502,0),-1)),"")</f>
        <v/>
      </c>
      <c r="D825" s="12" t="str">
        <f>IFERROR(_xlfn.CONCAT(INDEX(Catalogo!$G$4:$G$1502,_xlfn.IFNA(MATCH(B825,Catalogo!$C$4:$C$1502,0),-1)),"-",INDEX(Catalogo!$H$4:$H$1502,_xlfn.IFNA(MATCH(B825,Catalogo!$C$4:$C$1502,0),-1))),"")</f>
        <v/>
      </c>
    </row>
    <row r="826" spans="2:4" x14ac:dyDescent="0.25">
      <c r="B826" s="8"/>
      <c r="C826" s="11" t="str">
        <f>IFERROR(INDEX(Catalogo!$E$4:$E$1502,_xlfn.IFNA(MATCH(B826,Catalogo!$C$4:$C$1502,0),-1)),"")</f>
        <v/>
      </c>
      <c r="D826" s="12" t="str">
        <f>IFERROR(_xlfn.CONCAT(INDEX(Catalogo!$G$4:$G$1502,_xlfn.IFNA(MATCH(B826,Catalogo!$C$4:$C$1502,0),-1)),"-",INDEX(Catalogo!$H$4:$H$1502,_xlfn.IFNA(MATCH(B826,Catalogo!$C$4:$C$1502,0),-1))),"")</f>
        <v/>
      </c>
    </row>
    <row r="827" spans="2:4" x14ac:dyDescent="0.25">
      <c r="B827" s="8"/>
      <c r="C827" s="11" t="str">
        <f>IFERROR(INDEX(Catalogo!$E$4:$E$1502,_xlfn.IFNA(MATCH(B827,Catalogo!$C$4:$C$1502,0),-1)),"")</f>
        <v/>
      </c>
      <c r="D827" s="12" t="str">
        <f>IFERROR(_xlfn.CONCAT(INDEX(Catalogo!$G$4:$G$1502,_xlfn.IFNA(MATCH(B827,Catalogo!$C$4:$C$1502,0),-1)),"-",INDEX(Catalogo!$H$4:$H$1502,_xlfn.IFNA(MATCH(B827,Catalogo!$C$4:$C$1502,0),-1))),"")</f>
        <v/>
      </c>
    </row>
    <row r="828" spans="2:4" x14ac:dyDescent="0.25">
      <c r="B828" s="8"/>
      <c r="C828" s="11" t="str">
        <f>IFERROR(INDEX(Catalogo!$E$4:$E$1502,_xlfn.IFNA(MATCH(B828,Catalogo!$C$4:$C$1502,0),-1)),"")</f>
        <v/>
      </c>
      <c r="D828" s="12" t="str">
        <f>IFERROR(_xlfn.CONCAT(INDEX(Catalogo!$G$4:$G$1502,_xlfn.IFNA(MATCH(B828,Catalogo!$C$4:$C$1502,0),-1)),"-",INDEX(Catalogo!$H$4:$H$1502,_xlfn.IFNA(MATCH(B828,Catalogo!$C$4:$C$1502,0),-1))),"")</f>
        <v/>
      </c>
    </row>
    <row r="829" spans="2:4" x14ac:dyDescent="0.25">
      <c r="B829" s="8"/>
      <c r="C829" s="11" t="str">
        <f>IFERROR(INDEX(Catalogo!$E$4:$E$1502,_xlfn.IFNA(MATCH(B829,Catalogo!$C$4:$C$1502,0),-1)),"")</f>
        <v/>
      </c>
      <c r="D829" s="12" t="str">
        <f>IFERROR(_xlfn.CONCAT(INDEX(Catalogo!$G$4:$G$1502,_xlfn.IFNA(MATCH(B829,Catalogo!$C$4:$C$1502,0),-1)),"-",INDEX(Catalogo!$H$4:$H$1502,_xlfn.IFNA(MATCH(B829,Catalogo!$C$4:$C$1502,0),-1))),"")</f>
        <v/>
      </c>
    </row>
    <row r="830" spans="2:4" x14ac:dyDescent="0.25">
      <c r="B830" s="8"/>
      <c r="C830" s="11" t="str">
        <f>IFERROR(INDEX(Catalogo!$E$4:$E$1502,_xlfn.IFNA(MATCH(B830,Catalogo!$C$4:$C$1502,0),-1)),"")</f>
        <v/>
      </c>
      <c r="D830" s="12" t="str">
        <f>IFERROR(_xlfn.CONCAT(INDEX(Catalogo!$G$4:$G$1502,_xlfn.IFNA(MATCH(B830,Catalogo!$C$4:$C$1502,0),-1)),"-",INDEX(Catalogo!$H$4:$H$1502,_xlfn.IFNA(MATCH(B830,Catalogo!$C$4:$C$1502,0),-1))),"")</f>
        <v/>
      </c>
    </row>
    <row r="831" spans="2:4" x14ac:dyDescent="0.25">
      <c r="B831" s="8"/>
      <c r="C831" s="11" t="str">
        <f>IFERROR(INDEX(Catalogo!$E$4:$E$1502,_xlfn.IFNA(MATCH(B831,Catalogo!$C$4:$C$1502,0),-1)),"")</f>
        <v/>
      </c>
      <c r="D831" s="12" t="str">
        <f>IFERROR(_xlfn.CONCAT(INDEX(Catalogo!$G$4:$G$1502,_xlfn.IFNA(MATCH(B831,Catalogo!$C$4:$C$1502,0),-1)),"-",INDEX(Catalogo!$H$4:$H$1502,_xlfn.IFNA(MATCH(B831,Catalogo!$C$4:$C$1502,0),-1))),"")</f>
        <v/>
      </c>
    </row>
    <row r="832" spans="2:4" x14ac:dyDescent="0.25">
      <c r="B832" s="8"/>
      <c r="C832" s="11" t="str">
        <f>IFERROR(INDEX(Catalogo!$E$4:$E$1502,_xlfn.IFNA(MATCH(B832,Catalogo!$C$4:$C$1502,0),-1)),"")</f>
        <v/>
      </c>
      <c r="D832" s="12" t="str">
        <f>IFERROR(_xlfn.CONCAT(INDEX(Catalogo!$G$4:$G$1502,_xlfn.IFNA(MATCH(B832,Catalogo!$C$4:$C$1502,0),-1)),"-",INDEX(Catalogo!$H$4:$H$1502,_xlfn.IFNA(MATCH(B832,Catalogo!$C$4:$C$1502,0),-1))),"")</f>
        <v/>
      </c>
    </row>
    <row r="833" spans="2:4" x14ac:dyDescent="0.25">
      <c r="B833" s="8"/>
      <c r="C833" s="11" t="str">
        <f>IFERROR(INDEX(Catalogo!$E$4:$E$1502,_xlfn.IFNA(MATCH(B833,Catalogo!$C$4:$C$1502,0),-1)),"")</f>
        <v/>
      </c>
      <c r="D833" s="12" t="str">
        <f>IFERROR(_xlfn.CONCAT(INDEX(Catalogo!$G$4:$G$1502,_xlfn.IFNA(MATCH(B833,Catalogo!$C$4:$C$1502,0),-1)),"-",INDEX(Catalogo!$H$4:$H$1502,_xlfn.IFNA(MATCH(B833,Catalogo!$C$4:$C$1502,0),-1))),"")</f>
        <v/>
      </c>
    </row>
    <row r="834" spans="2:4" x14ac:dyDescent="0.25">
      <c r="B834" s="8"/>
      <c r="C834" s="11" t="str">
        <f>IFERROR(INDEX(Catalogo!$E$4:$E$1502,_xlfn.IFNA(MATCH(B834,Catalogo!$C$4:$C$1502,0),-1)),"")</f>
        <v/>
      </c>
      <c r="D834" s="12" t="str">
        <f>IFERROR(_xlfn.CONCAT(INDEX(Catalogo!$G$4:$G$1502,_xlfn.IFNA(MATCH(B834,Catalogo!$C$4:$C$1502,0),-1)),"-",INDEX(Catalogo!$H$4:$H$1502,_xlfn.IFNA(MATCH(B834,Catalogo!$C$4:$C$1502,0),-1))),"")</f>
        <v/>
      </c>
    </row>
    <row r="835" spans="2:4" x14ac:dyDescent="0.25">
      <c r="B835" s="8"/>
      <c r="C835" s="11" t="str">
        <f>IFERROR(INDEX(Catalogo!$E$4:$E$1502,_xlfn.IFNA(MATCH(B835,Catalogo!$C$4:$C$1502,0),-1)),"")</f>
        <v/>
      </c>
      <c r="D835" s="12" t="str">
        <f>IFERROR(_xlfn.CONCAT(INDEX(Catalogo!$G$4:$G$1502,_xlfn.IFNA(MATCH(B835,Catalogo!$C$4:$C$1502,0),-1)),"-",INDEX(Catalogo!$H$4:$H$1502,_xlfn.IFNA(MATCH(B835,Catalogo!$C$4:$C$1502,0),-1))),"")</f>
        <v/>
      </c>
    </row>
    <row r="836" spans="2:4" x14ac:dyDescent="0.25">
      <c r="B836" s="8"/>
      <c r="C836" s="11" t="str">
        <f>IFERROR(INDEX(Catalogo!$E$4:$E$1502,_xlfn.IFNA(MATCH(B836,Catalogo!$C$4:$C$1502,0),-1)),"")</f>
        <v/>
      </c>
      <c r="D836" s="12" t="str">
        <f>IFERROR(_xlfn.CONCAT(INDEX(Catalogo!$G$4:$G$1502,_xlfn.IFNA(MATCH(B836,Catalogo!$C$4:$C$1502,0),-1)),"-",INDEX(Catalogo!$H$4:$H$1502,_xlfn.IFNA(MATCH(B836,Catalogo!$C$4:$C$1502,0),-1))),"")</f>
        <v/>
      </c>
    </row>
    <row r="837" spans="2:4" x14ac:dyDescent="0.25">
      <c r="B837" s="8"/>
      <c r="C837" s="11" t="str">
        <f>IFERROR(INDEX(Catalogo!$E$4:$E$1502,_xlfn.IFNA(MATCH(B837,Catalogo!$C$4:$C$1502,0),-1)),"")</f>
        <v/>
      </c>
      <c r="D837" s="12" t="str">
        <f>IFERROR(_xlfn.CONCAT(INDEX(Catalogo!$G$4:$G$1502,_xlfn.IFNA(MATCH(B837,Catalogo!$C$4:$C$1502,0),-1)),"-",INDEX(Catalogo!$H$4:$H$1502,_xlfn.IFNA(MATCH(B837,Catalogo!$C$4:$C$1502,0),-1))),"")</f>
        <v/>
      </c>
    </row>
    <row r="838" spans="2:4" x14ac:dyDescent="0.25">
      <c r="B838" s="8"/>
      <c r="C838" s="11" t="str">
        <f>IFERROR(INDEX(Catalogo!$E$4:$E$1502,_xlfn.IFNA(MATCH(B838,Catalogo!$C$4:$C$1502,0),-1)),"")</f>
        <v/>
      </c>
      <c r="D838" s="12" t="str">
        <f>IFERROR(_xlfn.CONCAT(INDEX(Catalogo!$G$4:$G$1502,_xlfn.IFNA(MATCH(B838,Catalogo!$C$4:$C$1502,0),-1)),"-",INDEX(Catalogo!$H$4:$H$1502,_xlfn.IFNA(MATCH(B838,Catalogo!$C$4:$C$1502,0),-1))),"")</f>
        <v/>
      </c>
    </row>
    <row r="839" spans="2:4" x14ac:dyDescent="0.25">
      <c r="B839" s="8"/>
      <c r="C839" s="11" t="str">
        <f>IFERROR(INDEX(Catalogo!$E$4:$E$1502,_xlfn.IFNA(MATCH(B839,Catalogo!$C$4:$C$1502,0),-1)),"")</f>
        <v/>
      </c>
      <c r="D839" s="12" t="str">
        <f>IFERROR(_xlfn.CONCAT(INDEX(Catalogo!$G$4:$G$1502,_xlfn.IFNA(MATCH(B839,Catalogo!$C$4:$C$1502,0),-1)),"-",INDEX(Catalogo!$H$4:$H$1502,_xlfn.IFNA(MATCH(B839,Catalogo!$C$4:$C$1502,0),-1))),"")</f>
        <v/>
      </c>
    </row>
    <row r="840" spans="2:4" x14ac:dyDescent="0.25">
      <c r="B840" s="8"/>
      <c r="C840" s="11" t="str">
        <f>IFERROR(INDEX(Catalogo!$E$4:$E$1502,_xlfn.IFNA(MATCH(B840,Catalogo!$C$4:$C$1502,0),-1)),"")</f>
        <v/>
      </c>
      <c r="D840" s="12" t="str">
        <f>IFERROR(_xlfn.CONCAT(INDEX(Catalogo!$G$4:$G$1502,_xlfn.IFNA(MATCH(B840,Catalogo!$C$4:$C$1502,0),-1)),"-",INDEX(Catalogo!$H$4:$H$1502,_xlfn.IFNA(MATCH(B840,Catalogo!$C$4:$C$1502,0),-1))),"")</f>
        <v/>
      </c>
    </row>
    <row r="841" spans="2:4" x14ac:dyDescent="0.25">
      <c r="B841" s="8"/>
      <c r="C841" s="11" t="str">
        <f>IFERROR(INDEX(Catalogo!$E$4:$E$1502,_xlfn.IFNA(MATCH(B841,Catalogo!$C$4:$C$1502,0),-1)),"")</f>
        <v/>
      </c>
      <c r="D841" s="12" t="str">
        <f>IFERROR(_xlfn.CONCAT(INDEX(Catalogo!$G$4:$G$1502,_xlfn.IFNA(MATCH(B841,Catalogo!$C$4:$C$1502,0),-1)),"-",INDEX(Catalogo!$H$4:$H$1502,_xlfn.IFNA(MATCH(B841,Catalogo!$C$4:$C$1502,0),-1))),"")</f>
        <v/>
      </c>
    </row>
    <row r="842" spans="2:4" x14ac:dyDescent="0.25">
      <c r="B842" s="8"/>
      <c r="C842" s="11" t="str">
        <f>IFERROR(INDEX(Catalogo!$E$4:$E$1502,_xlfn.IFNA(MATCH(B842,Catalogo!$C$4:$C$1502,0),-1)),"")</f>
        <v/>
      </c>
      <c r="D842" s="12" t="str">
        <f>IFERROR(_xlfn.CONCAT(INDEX(Catalogo!$G$4:$G$1502,_xlfn.IFNA(MATCH(B842,Catalogo!$C$4:$C$1502,0),-1)),"-",INDEX(Catalogo!$H$4:$H$1502,_xlfn.IFNA(MATCH(B842,Catalogo!$C$4:$C$1502,0),-1))),"")</f>
        <v/>
      </c>
    </row>
    <row r="843" spans="2:4" x14ac:dyDescent="0.25">
      <c r="B843" s="8"/>
      <c r="C843" s="11" t="str">
        <f>IFERROR(INDEX(Catalogo!$E$4:$E$1502,_xlfn.IFNA(MATCH(B843,Catalogo!$C$4:$C$1502,0),-1)),"")</f>
        <v/>
      </c>
      <c r="D843" s="12" t="str">
        <f>IFERROR(_xlfn.CONCAT(INDEX(Catalogo!$G$4:$G$1502,_xlfn.IFNA(MATCH(B843,Catalogo!$C$4:$C$1502,0),-1)),"-",INDEX(Catalogo!$H$4:$H$1502,_xlfn.IFNA(MATCH(B843,Catalogo!$C$4:$C$1502,0),-1))),"")</f>
        <v/>
      </c>
    </row>
    <row r="844" spans="2:4" x14ac:dyDescent="0.25">
      <c r="B844" s="8"/>
      <c r="C844" s="11" t="str">
        <f>IFERROR(INDEX(Catalogo!$E$4:$E$1502,_xlfn.IFNA(MATCH(B844,Catalogo!$C$4:$C$1502,0),-1)),"")</f>
        <v/>
      </c>
      <c r="D844" s="12" t="str">
        <f>IFERROR(_xlfn.CONCAT(INDEX(Catalogo!$G$4:$G$1502,_xlfn.IFNA(MATCH(B844,Catalogo!$C$4:$C$1502,0),-1)),"-",INDEX(Catalogo!$H$4:$H$1502,_xlfn.IFNA(MATCH(B844,Catalogo!$C$4:$C$1502,0),-1))),"")</f>
        <v/>
      </c>
    </row>
    <row r="845" spans="2:4" x14ac:dyDescent="0.25">
      <c r="B845" s="8"/>
      <c r="C845" s="11" t="str">
        <f>IFERROR(INDEX(Catalogo!$E$4:$E$1502,_xlfn.IFNA(MATCH(B845,Catalogo!$C$4:$C$1502,0),-1)),"")</f>
        <v/>
      </c>
      <c r="D845" s="12" t="str">
        <f>IFERROR(_xlfn.CONCAT(INDEX(Catalogo!$G$4:$G$1502,_xlfn.IFNA(MATCH(B845,Catalogo!$C$4:$C$1502,0),-1)),"-",INDEX(Catalogo!$H$4:$H$1502,_xlfn.IFNA(MATCH(B845,Catalogo!$C$4:$C$1502,0),-1))),"")</f>
        <v/>
      </c>
    </row>
    <row r="846" spans="2:4" x14ac:dyDescent="0.25">
      <c r="B846" s="8"/>
      <c r="C846" s="11" t="str">
        <f>IFERROR(INDEX(Catalogo!$E$4:$E$1502,_xlfn.IFNA(MATCH(B846,Catalogo!$C$4:$C$1502,0),-1)),"")</f>
        <v/>
      </c>
      <c r="D846" s="12" t="str">
        <f>IFERROR(_xlfn.CONCAT(INDEX(Catalogo!$G$4:$G$1502,_xlfn.IFNA(MATCH(B846,Catalogo!$C$4:$C$1502,0),-1)),"-",INDEX(Catalogo!$H$4:$H$1502,_xlfn.IFNA(MATCH(B846,Catalogo!$C$4:$C$1502,0),-1))),"")</f>
        <v/>
      </c>
    </row>
    <row r="847" spans="2:4" x14ac:dyDescent="0.25">
      <c r="B847" s="8"/>
      <c r="C847" s="11" t="str">
        <f>IFERROR(INDEX(Catalogo!$E$4:$E$1502,_xlfn.IFNA(MATCH(B847,Catalogo!$C$4:$C$1502,0),-1)),"")</f>
        <v/>
      </c>
      <c r="D847" s="12" t="str">
        <f>IFERROR(_xlfn.CONCAT(INDEX(Catalogo!$G$4:$G$1502,_xlfn.IFNA(MATCH(B847,Catalogo!$C$4:$C$1502,0),-1)),"-",INDEX(Catalogo!$H$4:$H$1502,_xlfn.IFNA(MATCH(B847,Catalogo!$C$4:$C$1502,0),-1))),"")</f>
        <v/>
      </c>
    </row>
    <row r="848" spans="2:4" x14ac:dyDescent="0.25">
      <c r="B848" s="8"/>
      <c r="C848" s="11" t="str">
        <f>IFERROR(INDEX(Catalogo!$E$4:$E$1502,_xlfn.IFNA(MATCH(B848,Catalogo!$C$4:$C$1502,0),-1)),"")</f>
        <v/>
      </c>
      <c r="D848" s="12" t="str">
        <f>IFERROR(_xlfn.CONCAT(INDEX(Catalogo!$G$4:$G$1502,_xlfn.IFNA(MATCH(B848,Catalogo!$C$4:$C$1502,0),-1)),"-",INDEX(Catalogo!$H$4:$H$1502,_xlfn.IFNA(MATCH(B848,Catalogo!$C$4:$C$1502,0),-1))),"")</f>
        <v/>
      </c>
    </row>
    <row r="849" spans="2:4" x14ac:dyDescent="0.25">
      <c r="B849" s="8"/>
      <c r="C849" s="11" t="str">
        <f>IFERROR(INDEX(Catalogo!$E$4:$E$1502,_xlfn.IFNA(MATCH(B849,Catalogo!$C$4:$C$1502,0),-1)),"")</f>
        <v/>
      </c>
      <c r="D849" s="12" t="str">
        <f>IFERROR(_xlfn.CONCAT(INDEX(Catalogo!$G$4:$G$1502,_xlfn.IFNA(MATCH(B849,Catalogo!$C$4:$C$1502,0),-1)),"-",INDEX(Catalogo!$H$4:$H$1502,_xlfn.IFNA(MATCH(B849,Catalogo!$C$4:$C$1502,0),-1))),"")</f>
        <v/>
      </c>
    </row>
    <row r="850" spans="2:4" x14ac:dyDescent="0.25">
      <c r="B850" s="8"/>
      <c r="C850" s="11" t="str">
        <f>IFERROR(INDEX(Catalogo!$E$4:$E$1502,_xlfn.IFNA(MATCH(B850,Catalogo!$C$4:$C$1502,0),-1)),"")</f>
        <v/>
      </c>
      <c r="D850" s="12" t="str">
        <f>IFERROR(_xlfn.CONCAT(INDEX(Catalogo!$G$4:$G$1502,_xlfn.IFNA(MATCH(B850,Catalogo!$C$4:$C$1502,0),-1)),"-",INDEX(Catalogo!$H$4:$H$1502,_xlfn.IFNA(MATCH(B850,Catalogo!$C$4:$C$1502,0),-1))),"")</f>
        <v/>
      </c>
    </row>
    <row r="851" spans="2:4" x14ac:dyDescent="0.25">
      <c r="B851" s="8"/>
      <c r="C851" s="11" t="str">
        <f>IFERROR(INDEX(Catalogo!$E$4:$E$1502,_xlfn.IFNA(MATCH(B851,Catalogo!$C$4:$C$1502,0),-1)),"")</f>
        <v/>
      </c>
      <c r="D851" s="12" t="str">
        <f>IFERROR(_xlfn.CONCAT(INDEX(Catalogo!$G$4:$G$1502,_xlfn.IFNA(MATCH(B851,Catalogo!$C$4:$C$1502,0),-1)),"-",INDEX(Catalogo!$H$4:$H$1502,_xlfn.IFNA(MATCH(B851,Catalogo!$C$4:$C$1502,0),-1))),"")</f>
        <v/>
      </c>
    </row>
    <row r="852" spans="2:4" x14ac:dyDescent="0.25">
      <c r="B852" s="8"/>
      <c r="C852" s="11" t="str">
        <f>IFERROR(INDEX(Catalogo!$E$4:$E$1502,_xlfn.IFNA(MATCH(B852,Catalogo!$C$4:$C$1502,0),-1)),"")</f>
        <v/>
      </c>
      <c r="D852" s="12" t="str">
        <f>IFERROR(_xlfn.CONCAT(INDEX(Catalogo!$G$4:$G$1502,_xlfn.IFNA(MATCH(B852,Catalogo!$C$4:$C$1502,0),-1)),"-",INDEX(Catalogo!$H$4:$H$1502,_xlfn.IFNA(MATCH(B852,Catalogo!$C$4:$C$1502,0),-1))),"")</f>
        <v/>
      </c>
    </row>
    <row r="853" spans="2:4" x14ac:dyDescent="0.25">
      <c r="B853" s="8"/>
      <c r="C853" s="11" t="str">
        <f>IFERROR(INDEX(Catalogo!$E$4:$E$1502,_xlfn.IFNA(MATCH(B853,Catalogo!$C$4:$C$1502,0),-1)),"")</f>
        <v/>
      </c>
      <c r="D853" s="12" t="str">
        <f>IFERROR(_xlfn.CONCAT(INDEX(Catalogo!$G$4:$G$1502,_xlfn.IFNA(MATCH(B853,Catalogo!$C$4:$C$1502,0),-1)),"-",INDEX(Catalogo!$H$4:$H$1502,_xlfn.IFNA(MATCH(B853,Catalogo!$C$4:$C$1502,0),-1))),"")</f>
        <v/>
      </c>
    </row>
    <row r="854" spans="2:4" x14ac:dyDescent="0.25">
      <c r="B854" s="8"/>
      <c r="C854" s="11" t="str">
        <f>IFERROR(INDEX(Catalogo!$E$4:$E$1502,_xlfn.IFNA(MATCH(B854,Catalogo!$C$4:$C$1502,0),-1)),"")</f>
        <v/>
      </c>
      <c r="D854" s="12" t="str">
        <f>IFERROR(_xlfn.CONCAT(INDEX(Catalogo!$G$4:$G$1502,_xlfn.IFNA(MATCH(B854,Catalogo!$C$4:$C$1502,0),-1)),"-",INDEX(Catalogo!$H$4:$H$1502,_xlfn.IFNA(MATCH(B854,Catalogo!$C$4:$C$1502,0),-1))),"")</f>
        <v/>
      </c>
    </row>
    <row r="855" spans="2:4" x14ac:dyDescent="0.25">
      <c r="B855" s="8"/>
      <c r="C855" s="11" t="str">
        <f>IFERROR(INDEX(Catalogo!$E$4:$E$1502,_xlfn.IFNA(MATCH(B855,Catalogo!$C$4:$C$1502,0),-1)),"")</f>
        <v/>
      </c>
      <c r="D855" s="12" t="str">
        <f>IFERROR(_xlfn.CONCAT(INDEX(Catalogo!$G$4:$G$1502,_xlfn.IFNA(MATCH(B855,Catalogo!$C$4:$C$1502,0),-1)),"-",INDEX(Catalogo!$H$4:$H$1502,_xlfn.IFNA(MATCH(B855,Catalogo!$C$4:$C$1502,0),-1))),"")</f>
        <v/>
      </c>
    </row>
    <row r="856" spans="2:4" x14ac:dyDescent="0.25">
      <c r="B856" s="8"/>
      <c r="C856" s="11" t="str">
        <f>IFERROR(INDEX(Catalogo!$E$4:$E$1502,_xlfn.IFNA(MATCH(B856,Catalogo!$C$4:$C$1502,0),-1)),"")</f>
        <v/>
      </c>
      <c r="D856" s="12" t="str">
        <f>IFERROR(_xlfn.CONCAT(INDEX(Catalogo!$G$4:$G$1502,_xlfn.IFNA(MATCH(B856,Catalogo!$C$4:$C$1502,0),-1)),"-",INDEX(Catalogo!$H$4:$H$1502,_xlfn.IFNA(MATCH(B856,Catalogo!$C$4:$C$1502,0),-1))),"")</f>
        <v/>
      </c>
    </row>
    <row r="857" spans="2:4" x14ac:dyDescent="0.25">
      <c r="B857" s="8"/>
      <c r="C857" s="11" t="str">
        <f>IFERROR(INDEX(Catalogo!$E$4:$E$1502,_xlfn.IFNA(MATCH(B857,Catalogo!$C$4:$C$1502,0),-1)),"")</f>
        <v/>
      </c>
      <c r="D857" s="12" t="str">
        <f>IFERROR(_xlfn.CONCAT(INDEX(Catalogo!$G$4:$G$1502,_xlfn.IFNA(MATCH(B857,Catalogo!$C$4:$C$1502,0),-1)),"-",INDEX(Catalogo!$H$4:$H$1502,_xlfn.IFNA(MATCH(B857,Catalogo!$C$4:$C$1502,0),-1))),"")</f>
        <v/>
      </c>
    </row>
    <row r="858" spans="2:4" x14ac:dyDescent="0.25">
      <c r="B858" s="8"/>
      <c r="C858" s="11" t="str">
        <f>IFERROR(INDEX(Catalogo!$E$4:$E$1502,_xlfn.IFNA(MATCH(B858,Catalogo!$C$4:$C$1502,0),-1)),"")</f>
        <v/>
      </c>
      <c r="D858" s="12" t="str">
        <f>IFERROR(_xlfn.CONCAT(INDEX(Catalogo!$G$4:$G$1502,_xlfn.IFNA(MATCH(B858,Catalogo!$C$4:$C$1502,0),-1)),"-",INDEX(Catalogo!$H$4:$H$1502,_xlfn.IFNA(MATCH(B858,Catalogo!$C$4:$C$1502,0),-1))),"")</f>
        <v/>
      </c>
    </row>
    <row r="859" spans="2:4" x14ac:dyDescent="0.25">
      <c r="B859" s="8"/>
      <c r="C859" s="11" t="str">
        <f>IFERROR(INDEX(Catalogo!$E$4:$E$1502,_xlfn.IFNA(MATCH(B859,Catalogo!$C$4:$C$1502,0),-1)),"")</f>
        <v/>
      </c>
      <c r="D859" s="12" t="str">
        <f>IFERROR(_xlfn.CONCAT(INDEX(Catalogo!$G$4:$G$1502,_xlfn.IFNA(MATCH(B859,Catalogo!$C$4:$C$1502,0),-1)),"-",INDEX(Catalogo!$H$4:$H$1502,_xlfn.IFNA(MATCH(B859,Catalogo!$C$4:$C$1502,0),-1))),"")</f>
        <v/>
      </c>
    </row>
    <row r="860" spans="2:4" x14ac:dyDescent="0.25">
      <c r="B860" s="8"/>
      <c r="C860" s="11" t="str">
        <f>IFERROR(INDEX(Catalogo!$E$4:$E$1502,_xlfn.IFNA(MATCH(B860,Catalogo!$C$4:$C$1502,0),-1)),"")</f>
        <v/>
      </c>
      <c r="D860" s="12" t="str">
        <f>IFERROR(_xlfn.CONCAT(INDEX(Catalogo!$G$4:$G$1502,_xlfn.IFNA(MATCH(B860,Catalogo!$C$4:$C$1502,0),-1)),"-",INDEX(Catalogo!$H$4:$H$1502,_xlfn.IFNA(MATCH(B860,Catalogo!$C$4:$C$1502,0),-1))),"")</f>
        <v/>
      </c>
    </row>
    <row r="861" spans="2:4" x14ac:dyDescent="0.25">
      <c r="B861" s="8"/>
      <c r="C861" s="11" t="str">
        <f>IFERROR(INDEX(Catalogo!$E$4:$E$1502,_xlfn.IFNA(MATCH(B861,Catalogo!$C$4:$C$1502,0),-1)),"")</f>
        <v/>
      </c>
      <c r="D861" s="12" t="str">
        <f>IFERROR(_xlfn.CONCAT(INDEX(Catalogo!$G$4:$G$1502,_xlfn.IFNA(MATCH(B861,Catalogo!$C$4:$C$1502,0),-1)),"-",INDEX(Catalogo!$H$4:$H$1502,_xlfn.IFNA(MATCH(B861,Catalogo!$C$4:$C$1502,0),-1))),"")</f>
        <v/>
      </c>
    </row>
    <row r="862" spans="2:4" x14ac:dyDescent="0.25">
      <c r="B862" s="8"/>
      <c r="C862" s="11" t="str">
        <f>IFERROR(INDEX(Catalogo!$E$4:$E$1502,_xlfn.IFNA(MATCH(B862,Catalogo!$C$4:$C$1502,0),-1)),"")</f>
        <v/>
      </c>
      <c r="D862" s="12" t="str">
        <f>IFERROR(_xlfn.CONCAT(INDEX(Catalogo!$G$4:$G$1502,_xlfn.IFNA(MATCH(B862,Catalogo!$C$4:$C$1502,0),-1)),"-",INDEX(Catalogo!$H$4:$H$1502,_xlfn.IFNA(MATCH(B862,Catalogo!$C$4:$C$1502,0),-1))),"")</f>
        <v/>
      </c>
    </row>
    <row r="863" spans="2:4" x14ac:dyDescent="0.25">
      <c r="B863" s="8"/>
      <c r="C863" s="11" t="str">
        <f>IFERROR(INDEX(Catalogo!$E$4:$E$1502,_xlfn.IFNA(MATCH(B863,Catalogo!$C$4:$C$1502,0),-1)),"")</f>
        <v/>
      </c>
      <c r="D863" s="12" t="str">
        <f>IFERROR(_xlfn.CONCAT(INDEX(Catalogo!$G$4:$G$1502,_xlfn.IFNA(MATCH(B863,Catalogo!$C$4:$C$1502,0),-1)),"-",INDEX(Catalogo!$H$4:$H$1502,_xlfn.IFNA(MATCH(B863,Catalogo!$C$4:$C$1502,0),-1))),"")</f>
        <v/>
      </c>
    </row>
    <row r="864" spans="2:4" x14ac:dyDescent="0.25">
      <c r="B864" s="8"/>
      <c r="C864" s="11" t="str">
        <f>IFERROR(INDEX(Catalogo!$E$4:$E$1502,_xlfn.IFNA(MATCH(B864,Catalogo!$C$4:$C$1502,0),-1)),"")</f>
        <v/>
      </c>
      <c r="D864" s="12" t="str">
        <f>IFERROR(_xlfn.CONCAT(INDEX(Catalogo!$G$4:$G$1502,_xlfn.IFNA(MATCH(B864,Catalogo!$C$4:$C$1502,0),-1)),"-",INDEX(Catalogo!$H$4:$H$1502,_xlfn.IFNA(MATCH(B864,Catalogo!$C$4:$C$1502,0),-1))),"")</f>
        <v/>
      </c>
    </row>
    <row r="865" spans="2:4" x14ac:dyDescent="0.25">
      <c r="B865" s="8"/>
      <c r="C865" s="11" t="str">
        <f>IFERROR(INDEX(Catalogo!$E$4:$E$1502,_xlfn.IFNA(MATCH(B865,Catalogo!$C$4:$C$1502,0),-1)),"")</f>
        <v/>
      </c>
      <c r="D865" s="12" t="str">
        <f>IFERROR(_xlfn.CONCAT(INDEX(Catalogo!$G$4:$G$1502,_xlfn.IFNA(MATCH(B865,Catalogo!$C$4:$C$1502,0),-1)),"-",INDEX(Catalogo!$H$4:$H$1502,_xlfn.IFNA(MATCH(B865,Catalogo!$C$4:$C$1502,0),-1))),"")</f>
        <v/>
      </c>
    </row>
    <row r="866" spans="2:4" x14ac:dyDescent="0.25">
      <c r="B866" s="8"/>
      <c r="C866" s="11" t="str">
        <f>IFERROR(INDEX(Catalogo!$E$4:$E$1502,_xlfn.IFNA(MATCH(B866,Catalogo!$C$4:$C$1502,0),-1)),"")</f>
        <v/>
      </c>
      <c r="D866" s="12" t="str">
        <f>IFERROR(_xlfn.CONCAT(INDEX(Catalogo!$G$4:$G$1502,_xlfn.IFNA(MATCH(B866,Catalogo!$C$4:$C$1502,0),-1)),"-",INDEX(Catalogo!$H$4:$H$1502,_xlfn.IFNA(MATCH(B866,Catalogo!$C$4:$C$1502,0),-1))),"")</f>
        <v/>
      </c>
    </row>
    <row r="867" spans="2:4" x14ac:dyDescent="0.25">
      <c r="B867" s="8"/>
      <c r="C867" s="11" t="str">
        <f>IFERROR(INDEX(Catalogo!$E$4:$E$1502,_xlfn.IFNA(MATCH(B867,Catalogo!$C$4:$C$1502,0),-1)),"")</f>
        <v/>
      </c>
      <c r="D867" s="12" t="str">
        <f>IFERROR(_xlfn.CONCAT(INDEX(Catalogo!$G$4:$G$1502,_xlfn.IFNA(MATCH(B867,Catalogo!$C$4:$C$1502,0),-1)),"-",INDEX(Catalogo!$H$4:$H$1502,_xlfn.IFNA(MATCH(B867,Catalogo!$C$4:$C$1502,0),-1))),"")</f>
        <v/>
      </c>
    </row>
    <row r="868" spans="2:4" x14ac:dyDescent="0.25">
      <c r="B868" s="8"/>
      <c r="C868" s="11" t="str">
        <f>IFERROR(INDEX(Catalogo!$E$4:$E$1502,_xlfn.IFNA(MATCH(B868,Catalogo!$C$4:$C$1502,0),-1)),"")</f>
        <v/>
      </c>
      <c r="D868" s="12" t="str">
        <f>IFERROR(_xlfn.CONCAT(INDEX(Catalogo!$G$4:$G$1502,_xlfn.IFNA(MATCH(B868,Catalogo!$C$4:$C$1502,0),-1)),"-",INDEX(Catalogo!$H$4:$H$1502,_xlfn.IFNA(MATCH(B868,Catalogo!$C$4:$C$1502,0),-1))),"")</f>
        <v/>
      </c>
    </row>
    <row r="869" spans="2:4" x14ac:dyDescent="0.25">
      <c r="B869" s="8"/>
      <c r="C869" s="11" t="str">
        <f>IFERROR(INDEX(Catalogo!$E$4:$E$1502,_xlfn.IFNA(MATCH(B869,Catalogo!$C$4:$C$1502,0),-1)),"")</f>
        <v/>
      </c>
      <c r="D869" s="12" t="str">
        <f>IFERROR(_xlfn.CONCAT(INDEX(Catalogo!$G$4:$G$1502,_xlfn.IFNA(MATCH(B869,Catalogo!$C$4:$C$1502,0),-1)),"-",INDEX(Catalogo!$H$4:$H$1502,_xlfn.IFNA(MATCH(B869,Catalogo!$C$4:$C$1502,0),-1))),"")</f>
        <v/>
      </c>
    </row>
    <row r="870" spans="2:4" x14ac:dyDescent="0.25">
      <c r="B870" s="8"/>
      <c r="C870" s="11" t="str">
        <f>IFERROR(INDEX(Catalogo!$E$4:$E$1502,_xlfn.IFNA(MATCH(B870,Catalogo!$C$4:$C$1502,0),-1)),"")</f>
        <v/>
      </c>
      <c r="D870" s="12" t="str">
        <f>IFERROR(_xlfn.CONCAT(INDEX(Catalogo!$G$4:$G$1502,_xlfn.IFNA(MATCH(B870,Catalogo!$C$4:$C$1502,0),-1)),"-",INDEX(Catalogo!$H$4:$H$1502,_xlfn.IFNA(MATCH(B870,Catalogo!$C$4:$C$1502,0),-1))),"")</f>
        <v/>
      </c>
    </row>
    <row r="871" spans="2:4" x14ac:dyDescent="0.25">
      <c r="B871" s="8"/>
      <c r="C871" s="11" t="str">
        <f>IFERROR(INDEX(Catalogo!$E$4:$E$1502,_xlfn.IFNA(MATCH(B871,Catalogo!$C$4:$C$1502,0),-1)),"")</f>
        <v/>
      </c>
      <c r="D871" s="12" t="str">
        <f>IFERROR(_xlfn.CONCAT(INDEX(Catalogo!$G$4:$G$1502,_xlfn.IFNA(MATCH(B871,Catalogo!$C$4:$C$1502,0),-1)),"-",INDEX(Catalogo!$H$4:$H$1502,_xlfn.IFNA(MATCH(B871,Catalogo!$C$4:$C$1502,0),-1))),"")</f>
        <v/>
      </c>
    </row>
    <row r="872" spans="2:4" x14ac:dyDescent="0.25">
      <c r="B872" s="8"/>
      <c r="C872" s="11" t="str">
        <f>IFERROR(INDEX(Catalogo!$E$4:$E$1502,_xlfn.IFNA(MATCH(B872,Catalogo!$C$4:$C$1502,0),-1)),"")</f>
        <v/>
      </c>
      <c r="D872" s="12" t="str">
        <f>IFERROR(_xlfn.CONCAT(INDEX(Catalogo!$G$4:$G$1502,_xlfn.IFNA(MATCH(B872,Catalogo!$C$4:$C$1502,0),-1)),"-",INDEX(Catalogo!$H$4:$H$1502,_xlfn.IFNA(MATCH(B872,Catalogo!$C$4:$C$1502,0),-1))),"")</f>
        <v/>
      </c>
    </row>
    <row r="873" spans="2:4" x14ac:dyDescent="0.25">
      <c r="B873" s="8"/>
      <c r="C873" s="11" t="str">
        <f>IFERROR(INDEX(Catalogo!$E$4:$E$1502,_xlfn.IFNA(MATCH(B873,Catalogo!$C$4:$C$1502,0),-1)),"")</f>
        <v/>
      </c>
      <c r="D873" s="12" t="str">
        <f>IFERROR(_xlfn.CONCAT(INDEX(Catalogo!$G$4:$G$1502,_xlfn.IFNA(MATCH(B873,Catalogo!$C$4:$C$1502,0),-1)),"-",INDEX(Catalogo!$H$4:$H$1502,_xlfn.IFNA(MATCH(B873,Catalogo!$C$4:$C$1502,0),-1))),"")</f>
        <v/>
      </c>
    </row>
    <row r="874" spans="2:4" x14ac:dyDescent="0.25">
      <c r="B874" s="8"/>
      <c r="C874" s="11" t="str">
        <f>IFERROR(INDEX(Catalogo!$E$4:$E$1502,_xlfn.IFNA(MATCH(B874,Catalogo!$C$4:$C$1502,0),-1)),"")</f>
        <v/>
      </c>
      <c r="D874" s="12" t="str">
        <f>IFERROR(_xlfn.CONCAT(INDEX(Catalogo!$G$4:$G$1502,_xlfn.IFNA(MATCH(B874,Catalogo!$C$4:$C$1502,0),-1)),"-",INDEX(Catalogo!$H$4:$H$1502,_xlfn.IFNA(MATCH(B874,Catalogo!$C$4:$C$1502,0),-1))),"")</f>
        <v/>
      </c>
    </row>
    <row r="875" spans="2:4" x14ac:dyDescent="0.25">
      <c r="B875" s="8"/>
      <c r="C875" s="11" t="str">
        <f>IFERROR(INDEX(Catalogo!$E$4:$E$1502,_xlfn.IFNA(MATCH(B875,Catalogo!$C$4:$C$1502,0),-1)),"")</f>
        <v/>
      </c>
      <c r="D875" s="12" t="str">
        <f>IFERROR(_xlfn.CONCAT(INDEX(Catalogo!$G$4:$G$1502,_xlfn.IFNA(MATCH(B875,Catalogo!$C$4:$C$1502,0),-1)),"-",INDEX(Catalogo!$H$4:$H$1502,_xlfn.IFNA(MATCH(B875,Catalogo!$C$4:$C$1502,0),-1))),"")</f>
        <v/>
      </c>
    </row>
    <row r="876" spans="2:4" x14ac:dyDescent="0.25">
      <c r="B876" s="8"/>
      <c r="C876" s="11" t="str">
        <f>IFERROR(INDEX(Catalogo!$E$4:$E$1502,_xlfn.IFNA(MATCH(B876,Catalogo!$C$4:$C$1502,0),-1)),"")</f>
        <v/>
      </c>
      <c r="D876" s="12" t="str">
        <f>IFERROR(_xlfn.CONCAT(INDEX(Catalogo!$G$4:$G$1502,_xlfn.IFNA(MATCH(B876,Catalogo!$C$4:$C$1502,0),-1)),"-",INDEX(Catalogo!$H$4:$H$1502,_xlfn.IFNA(MATCH(B876,Catalogo!$C$4:$C$1502,0),-1))),"")</f>
        <v/>
      </c>
    </row>
    <row r="877" spans="2:4" x14ac:dyDescent="0.25">
      <c r="B877" s="8"/>
      <c r="C877" s="11" t="str">
        <f>IFERROR(INDEX(Catalogo!$E$4:$E$1502,_xlfn.IFNA(MATCH(B877,Catalogo!$C$4:$C$1502,0),-1)),"")</f>
        <v/>
      </c>
      <c r="D877" s="12" t="str">
        <f>IFERROR(_xlfn.CONCAT(INDEX(Catalogo!$G$4:$G$1502,_xlfn.IFNA(MATCH(B877,Catalogo!$C$4:$C$1502,0),-1)),"-",INDEX(Catalogo!$H$4:$H$1502,_xlfn.IFNA(MATCH(B877,Catalogo!$C$4:$C$1502,0),-1))),"")</f>
        <v/>
      </c>
    </row>
    <row r="878" spans="2:4" x14ac:dyDescent="0.25">
      <c r="B878" s="8"/>
      <c r="C878" s="11" t="str">
        <f>IFERROR(INDEX(Catalogo!$E$4:$E$1502,_xlfn.IFNA(MATCH(B878,Catalogo!$C$4:$C$1502,0),-1)),"")</f>
        <v/>
      </c>
      <c r="D878" s="12" t="str">
        <f>IFERROR(_xlfn.CONCAT(INDEX(Catalogo!$G$4:$G$1502,_xlfn.IFNA(MATCH(B878,Catalogo!$C$4:$C$1502,0),-1)),"-",INDEX(Catalogo!$H$4:$H$1502,_xlfn.IFNA(MATCH(B878,Catalogo!$C$4:$C$1502,0),-1))),"")</f>
        <v/>
      </c>
    </row>
    <row r="879" spans="2:4" x14ac:dyDescent="0.25">
      <c r="B879" s="8"/>
      <c r="C879" s="11" t="str">
        <f>IFERROR(INDEX(Catalogo!$E$4:$E$1502,_xlfn.IFNA(MATCH(B879,Catalogo!$C$4:$C$1502,0),-1)),"")</f>
        <v/>
      </c>
      <c r="D879" s="12" t="str">
        <f>IFERROR(_xlfn.CONCAT(INDEX(Catalogo!$G$4:$G$1502,_xlfn.IFNA(MATCH(B879,Catalogo!$C$4:$C$1502,0),-1)),"-",INDEX(Catalogo!$H$4:$H$1502,_xlfn.IFNA(MATCH(B879,Catalogo!$C$4:$C$1502,0),-1))),"")</f>
        <v/>
      </c>
    </row>
    <row r="880" spans="2:4" x14ac:dyDescent="0.25">
      <c r="B880" s="8"/>
      <c r="C880" s="11" t="str">
        <f>IFERROR(INDEX(Catalogo!$E$4:$E$1502,_xlfn.IFNA(MATCH(B880,Catalogo!$C$4:$C$1502,0),-1)),"")</f>
        <v/>
      </c>
      <c r="D880" s="12" t="str">
        <f>IFERROR(_xlfn.CONCAT(INDEX(Catalogo!$G$4:$G$1502,_xlfn.IFNA(MATCH(B880,Catalogo!$C$4:$C$1502,0),-1)),"-",INDEX(Catalogo!$H$4:$H$1502,_xlfn.IFNA(MATCH(B880,Catalogo!$C$4:$C$1502,0),-1))),"")</f>
        <v/>
      </c>
    </row>
    <row r="881" spans="2:4" x14ac:dyDescent="0.25">
      <c r="B881" s="8"/>
      <c r="C881" s="11" t="str">
        <f>IFERROR(INDEX(Catalogo!$E$4:$E$1502,_xlfn.IFNA(MATCH(B881,Catalogo!$C$4:$C$1502,0),-1)),"")</f>
        <v/>
      </c>
      <c r="D881" s="12" t="str">
        <f>IFERROR(_xlfn.CONCAT(INDEX(Catalogo!$G$4:$G$1502,_xlfn.IFNA(MATCH(B881,Catalogo!$C$4:$C$1502,0),-1)),"-",INDEX(Catalogo!$H$4:$H$1502,_xlfn.IFNA(MATCH(B881,Catalogo!$C$4:$C$1502,0),-1))),"")</f>
        <v/>
      </c>
    </row>
    <row r="882" spans="2:4" x14ac:dyDescent="0.25">
      <c r="B882" s="8"/>
      <c r="C882" s="11" t="str">
        <f>IFERROR(INDEX(Catalogo!$E$4:$E$1502,_xlfn.IFNA(MATCH(B882,Catalogo!$C$4:$C$1502,0),-1)),"")</f>
        <v/>
      </c>
      <c r="D882" s="12" t="str">
        <f>IFERROR(_xlfn.CONCAT(INDEX(Catalogo!$G$4:$G$1502,_xlfn.IFNA(MATCH(B882,Catalogo!$C$4:$C$1502,0),-1)),"-",INDEX(Catalogo!$H$4:$H$1502,_xlfn.IFNA(MATCH(B882,Catalogo!$C$4:$C$1502,0),-1))),"")</f>
        <v/>
      </c>
    </row>
    <row r="883" spans="2:4" x14ac:dyDescent="0.25">
      <c r="B883" s="8"/>
      <c r="C883" s="11" t="str">
        <f>IFERROR(INDEX(Catalogo!$E$4:$E$1502,_xlfn.IFNA(MATCH(B883,Catalogo!$C$4:$C$1502,0),-1)),"")</f>
        <v/>
      </c>
      <c r="D883" s="12" t="str">
        <f>IFERROR(_xlfn.CONCAT(INDEX(Catalogo!$G$4:$G$1502,_xlfn.IFNA(MATCH(B883,Catalogo!$C$4:$C$1502,0),-1)),"-",INDEX(Catalogo!$H$4:$H$1502,_xlfn.IFNA(MATCH(B883,Catalogo!$C$4:$C$1502,0),-1))),"")</f>
        <v/>
      </c>
    </row>
    <row r="884" spans="2:4" x14ac:dyDescent="0.25">
      <c r="B884" s="8"/>
      <c r="C884" s="11" t="str">
        <f>IFERROR(INDEX(Catalogo!$E$4:$E$1502,_xlfn.IFNA(MATCH(B884,Catalogo!$C$4:$C$1502,0),-1)),"")</f>
        <v/>
      </c>
      <c r="D884" s="12" t="str">
        <f>IFERROR(_xlfn.CONCAT(INDEX(Catalogo!$G$4:$G$1502,_xlfn.IFNA(MATCH(B884,Catalogo!$C$4:$C$1502,0),-1)),"-",INDEX(Catalogo!$H$4:$H$1502,_xlfn.IFNA(MATCH(B884,Catalogo!$C$4:$C$1502,0),-1))),"")</f>
        <v/>
      </c>
    </row>
    <row r="885" spans="2:4" x14ac:dyDescent="0.25">
      <c r="B885" s="8"/>
      <c r="C885" s="11" t="str">
        <f>IFERROR(INDEX(Catalogo!$E$4:$E$1502,_xlfn.IFNA(MATCH(B885,Catalogo!$C$4:$C$1502,0),-1)),"")</f>
        <v/>
      </c>
      <c r="D885" s="12" t="str">
        <f>IFERROR(_xlfn.CONCAT(INDEX(Catalogo!$G$4:$G$1502,_xlfn.IFNA(MATCH(B885,Catalogo!$C$4:$C$1502,0),-1)),"-",INDEX(Catalogo!$H$4:$H$1502,_xlfn.IFNA(MATCH(B885,Catalogo!$C$4:$C$1502,0),-1))),"")</f>
        <v/>
      </c>
    </row>
    <row r="886" spans="2:4" x14ac:dyDescent="0.25">
      <c r="B886" s="8"/>
      <c r="C886" s="11" t="str">
        <f>IFERROR(INDEX(Catalogo!$E$4:$E$1502,_xlfn.IFNA(MATCH(B886,Catalogo!$C$4:$C$1502,0),-1)),"")</f>
        <v/>
      </c>
      <c r="D886" s="12" t="str">
        <f>IFERROR(_xlfn.CONCAT(INDEX(Catalogo!$G$4:$G$1502,_xlfn.IFNA(MATCH(B886,Catalogo!$C$4:$C$1502,0),-1)),"-",INDEX(Catalogo!$H$4:$H$1502,_xlfn.IFNA(MATCH(B886,Catalogo!$C$4:$C$1502,0),-1))),"")</f>
        <v/>
      </c>
    </row>
    <row r="887" spans="2:4" x14ac:dyDescent="0.25">
      <c r="B887" s="8"/>
      <c r="C887" s="11" t="str">
        <f>IFERROR(INDEX(Catalogo!$E$4:$E$1502,_xlfn.IFNA(MATCH(B887,Catalogo!$C$4:$C$1502,0),-1)),"")</f>
        <v/>
      </c>
      <c r="D887" s="12" t="str">
        <f>IFERROR(_xlfn.CONCAT(INDEX(Catalogo!$G$4:$G$1502,_xlfn.IFNA(MATCH(B887,Catalogo!$C$4:$C$1502,0),-1)),"-",INDEX(Catalogo!$H$4:$H$1502,_xlfn.IFNA(MATCH(B887,Catalogo!$C$4:$C$1502,0),-1))),"")</f>
        <v/>
      </c>
    </row>
    <row r="888" spans="2:4" x14ac:dyDescent="0.25">
      <c r="B888" s="8"/>
      <c r="C888" s="11" t="str">
        <f>IFERROR(INDEX(Catalogo!$E$4:$E$1502,_xlfn.IFNA(MATCH(B888,Catalogo!$C$4:$C$1502,0),-1)),"")</f>
        <v/>
      </c>
      <c r="D888" s="12" t="str">
        <f>IFERROR(_xlfn.CONCAT(INDEX(Catalogo!$G$4:$G$1502,_xlfn.IFNA(MATCH(B888,Catalogo!$C$4:$C$1502,0),-1)),"-",INDEX(Catalogo!$H$4:$H$1502,_xlfn.IFNA(MATCH(B888,Catalogo!$C$4:$C$1502,0),-1))),"")</f>
        <v/>
      </c>
    </row>
    <row r="889" spans="2:4" x14ac:dyDescent="0.25">
      <c r="B889" s="8"/>
      <c r="C889" s="11" t="str">
        <f>IFERROR(INDEX(Catalogo!$E$4:$E$1502,_xlfn.IFNA(MATCH(B889,Catalogo!$C$4:$C$1502,0),-1)),"")</f>
        <v/>
      </c>
      <c r="D889" s="12" t="str">
        <f>IFERROR(_xlfn.CONCAT(INDEX(Catalogo!$G$4:$G$1502,_xlfn.IFNA(MATCH(B889,Catalogo!$C$4:$C$1502,0),-1)),"-",INDEX(Catalogo!$H$4:$H$1502,_xlfn.IFNA(MATCH(B889,Catalogo!$C$4:$C$1502,0),-1))),"")</f>
        <v/>
      </c>
    </row>
    <row r="890" spans="2:4" x14ac:dyDescent="0.25">
      <c r="B890" s="8"/>
      <c r="C890" s="11" t="str">
        <f>IFERROR(INDEX(Catalogo!$E$4:$E$1502,_xlfn.IFNA(MATCH(B890,Catalogo!$C$4:$C$1502,0),-1)),"")</f>
        <v/>
      </c>
      <c r="D890" s="12" t="str">
        <f>IFERROR(_xlfn.CONCAT(INDEX(Catalogo!$G$4:$G$1502,_xlfn.IFNA(MATCH(B890,Catalogo!$C$4:$C$1502,0),-1)),"-",INDEX(Catalogo!$H$4:$H$1502,_xlfn.IFNA(MATCH(B890,Catalogo!$C$4:$C$1502,0),-1))),"")</f>
        <v/>
      </c>
    </row>
    <row r="891" spans="2:4" x14ac:dyDescent="0.25">
      <c r="B891" s="8"/>
      <c r="C891" s="11" t="str">
        <f>IFERROR(INDEX(Catalogo!$E$4:$E$1502,_xlfn.IFNA(MATCH(B891,Catalogo!$C$4:$C$1502,0),-1)),"")</f>
        <v/>
      </c>
      <c r="D891" s="12" t="str">
        <f>IFERROR(_xlfn.CONCAT(INDEX(Catalogo!$G$4:$G$1502,_xlfn.IFNA(MATCH(B891,Catalogo!$C$4:$C$1502,0),-1)),"-",INDEX(Catalogo!$H$4:$H$1502,_xlfn.IFNA(MATCH(B891,Catalogo!$C$4:$C$1502,0),-1))),"")</f>
        <v/>
      </c>
    </row>
    <row r="892" spans="2:4" x14ac:dyDescent="0.25">
      <c r="B892" s="8"/>
      <c r="C892" s="11" t="str">
        <f>IFERROR(INDEX(Catalogo!$E$4:$E$1502,_xlfn.IFNA(MATCH(B892,Catalogo!$C$4:$C$1502,0),-1)),"")</f>
        <v/>
      </c>
      <c r="D892" s="12" t="str">
        <f>IFERROR(_xlfn.CONCAT(INDEX(Catalogo!$G$4:$G$1502,_xlfn.IFNA(MATCH(B892,Catalogo!$C$4:$C$1502,0),-1)),"-",INDEX(Catalogo!$H$4:$H$1502,_xlfn.IFNA(MATCH(B892,Catalogo!$C$4:$C$1502,0),-1))),"")</f>
        <v/>
      </c>
    </row>
    <row r="893" spans="2:4" x14ac:dyDescent="0.25">
      <c r="B893" s="8"/>
      <c r="C893" s="11" t="str">
        <f>IFERROR(INDEX(Catalogo!$E$4:$E$1502,_xlfn.IFNA(MATCH(B893,Catalogo!$C$4:$C$1502,0),-1)),"")</f>
        <v/>
      </c>
      <c r="D893" s="12" t="str">
        <f>IFERROR(_xlfn.CONCAT(INDEX(Catalogo!$G$4:$G$1502,_xlfn.IFNA(MATCH(B893,Catalogo!$C$4:$C$1502,0),-1)),"-",INDEX(Catalogo!$H$4:$H$1502,_xlfn.IFNA(MATCH(B893,Catalogo!$C$4:$C$1502,0),-1))),"")</f>
        <v/>
      </c>
    </row>
    <row r="894" spans="2:4" x14ac:dyDescent="0.25">
      <c r="B894" s="8"/>
      <c r="C894" s="11" t="str">
        <f>IFERROR(INDEX(Catalogo!$E$4:$E$1502,_xlfn.IFNA(MATCH(B894,Catalogo!$C$4:$C$1502,0),-1)),"")</f>
        <v/>
      </c>
      <c r="D894" s="12" t="str">
        <f>IFERROR(_xlfn.CONCAT(INDEX(Catalogo!$G$4:$G$1502,_xlfn.IFNA(MATCH(B894,Catalogo!$C$4:$C$1502,0),-1)),"-",INDEX(Catalogo!$H$4:$H$1502,_xlfn.IFNA(MATCH(B894,Catalogo!$C$4:$C$1502,0),-1))),"")</f>
        <v/>
      </c>
    </row>
    <row r="895" spans="2:4" x14ac:dyDescent="0.25">
      <c r="B895" s="8"/>
      <c r="C895" s="11" t="str">
        <f>IFERROR(INDEX(Catalogo!$E$4:$E$1502,_xlfn.IFNA(MATCH(B895,Catalogo!$C$4:$C$1502,0),-1)),"")</f>
        <v/>
      </c>
      <c r="D895" s="12" t="str">
        <f>IFERROR(_xlfn.CONCAT(INDEX(Catalogo!$G$4:$G$1502,_xlfn.IFNA(MATCH(B895,Catalogo!$C$4:$C$1502,0),-1)),"-",INDEX(Catalogo!$H$4:$H$1502,_xlfn.IFNA(MATCH(B895,Catalogo!$C$4:$C$1502,0),-1))),"")</f>
        <v/>
      </c>
    </row>
    <row r="896" spans="2:4" x14ac:dyDescent="0.25">
      <c r="B896" s="8"/>
      <c r="C896" s="11" t="str">
        <f>IFERROR(INDEX(Catalogo!$E$4:$E$1502,_xlfn.IFNA(MATCH(B896,Catalogo!$C$4:$C$1502,0),-1)),"")</f>
        <v/>
      </c>
      <c r="D896" s="12" t="str">
        <f>IFERROR(_xlfn.CONCAT(INDEX(Catalogo!$G$4:$G$1502,_xlfn.IFNA(MATCH(B896,Catalogo!$C$4:$C$1502,0),-1)),"-",INDEX(Catalogo!$H$4:$H$1502,_xlfn.IFNA(MATCH(B896,Catalogo!$C$4:$C$1502,0),-1))),"")</f>
        <v/>
      </c>
    </row>
    <row r="897" spans="2:4" x14ac:dyDescent="0.25">
      <c r="B897" s="8"/>
      <c r="C897" s="11" t="str">
        <f>IFERROR(INDEX(Catalogo!$E$4:$E$1502,_xlfn.IFNA(MATCH(B897,Catalogo!$C$4:$C$1502,0),-1)),"")</f>
        <v/>
      </c>
      <c r="D897" s="12" t="str">
        <f>IFERROR(_xlfn.CONCAT(INDEX(Catalogo!$G$4:$G$1502,_xlfn.IFNA(MATCH(B897,Catalogo!$C$4:$C$1502,0),-1)),"-",INDEX(Catalogo!$H$4:$H$1502,_xlfn.IFNA(MATCH(B897,Catalogo!$C$4:$C$1502,0),-1))),"")</f>
        <v/>
      </c>
    </row>
    <row r="898" spans="2:4" x14ac:dyDescent="0.25">
      <c r="B898" s="8"/>
      <c r="C898" s="11" t="str">
        <f>IFERROR(INDEX(Catalogo!$E$4:$E$1502,_xlfn.IFNA(MATCH(B898,Catalogo!$C$4:$C$1502,0),-1)),"")</f>
        <v/>
      </c>
      <c r="D898" s="12" t="str">
        <f>IFERROR(_xlfn.CONCAT(INDEX(Catalogo!$G$4:$G$1502,_xlfn.IFNA(MATCH(B898,Catalogo!$C$4:$C$1502,0),-1)),"-",INDEX(Catalogo!$H$4:$H$1502,_xlfn.IFNA(MATCH(B898,Catalogo!$C$4:$C$1502,0),-1))),"")</f>
        <v/>
      </c>
    </row>
    <row r="899" spans="2:4" x14ac:dyDescent="0.25">
      <c r="B899" s="8"/>
      <c r="C899" s="11" t="str">
        <f>IFERROR(INDEX(Catalogo!$E$4:$E$1502,_xlfn.IFNA(MATCH(B899,Catalogo!$C$4:$C$1502,0),-1)),"")</f>
        <v/>
      </c>
      <c r="D899" s="12" t="str">
        <f>IFERROR(_xlfn.CONCAT(INDEX(Catalogo!$G$4:$G$1502,_xlfn.IFNA(MATCH(B899,Catalogo!$C$4:$C$1502,0),-1)),"-",INDEX(Catalogo!$H$4:$H$1502,_xlfn.IFNA(MATCH(B899,Catalogo!$C$4:$C$1502,0),-1))),"")</f>
        <v/>
      </c>
    </row>
    <row r="900" spans="2:4" x14ac:dyDescent="0.25">
      <c r="B900" s="8"/>
      <c r="C900" s="11" t="str">
        <f>IFERROR(INDEX(Catalogo!$E$4:$E$1502,_xlfn.IFNA(MATCH(B900,Catalogo!$C$4:$C$1502,0),-1)),"")</f>
        <v/>
      </c>
      <c r="D900" s="12" t="str">
        <f>IFERROR(_xlfn.CONCAT(INDEX(Catalogo!$G$4:$G$1502,_xlfn.IFNA(MATCH(B900,Catalogo!$C$4:$C$1502,0),-1)),"-",INDEX(Catalogo!$H$4:$H$1502,_xlfn.IFNA(MATCH(B900,Catalogo!$C$4:$C$1502,0),-1))),"")</f>
        <v/>
      </c>
    </row>
    <row r="901" spans="2:4" x14ac:dyDescent="0.25">
      <c r="B901" s="8"/>
      <c r="C901" s="11" t="str">
        <f>IFERROR(INDEX(Catalogo!$E$4:$E$1502,_xlfn.IFNA(MATCH(B901,Catalogo!$C$4:$C$1502,0),-1)),"")</f>
        <v/>
      </c>
      <c r="D901" s="12" t="str">
        <f>IFERROR(_xlfn.CONCAT(INDEX(Catalogo!$G$4:$G$1502,_xlfn.IFNA(MATCH(B901,Catalogo!$C$4:$C$1502,0),-1)),"-",INDEX(Catalogo!$H$4:$H$1502,_xlfn.IFNA(MATCH(B901,Catalogo!$C$4:$C$1502,0),-1))),"")</f>
        <v/>
      </c>
    </row>
    <row r="902" spans="2:4" x14ac:dyDescent="0.25">
      <c r="B902" s="8"/>
      <c r="C902" s="11" t="str">
        <f>IFERROR(INDEX(Catalogo!$E$4:$E$1502,_xlfn.IFNA(MATCH(B902,Catalogo!$C$4:$C$1502,0),-1)),"")</f>
        <v/>
      </c>
      <c r="D902" s="12" t="str">
        <f>IFERROR(_xlfn.CONCAT(INDEX(Catalogo!$G$4:$G$1502,_xlfn.IFNA(MATCH(B902,Catalogo!$C$4:$C$1502,0),-1)),"-",INDEX(Catalogo!$H$4:$H$1502,_xlfn.IFNA(MATCH(B902,Catalogo!$C$4:$C$1502,0),-1))),"")</f>
        <v/>
      </c>
    </row>
    <row r="903" spans="2:4" x14ac:dyDescent="0.25">
      <c r="B903" s="8"/>
      <c r="C903" s="11" t="str">
        <f>IFERROR(INDEX(Catalogo!$E$4:$E$1502,_xlfn.IFNA(MATCH(B903,Catalogo!$C$4:$C$1502,0),-1)),"")</f>
        <v/>
      </c>
      <c r="D903" s="12" t="str">
        <f>IFERROR(_xlfn.CONCAT(INDEX(Catalogo!$G$4:$G$1502,_xlfn.IFNA(MATCH(B903,Catalogo!$C$4:$C$1502,0),-1)),"-",INDEX(Catalogo!$H$4:$H$1502,_xlfn.IFNA(MATCH(B903,Catalogo!$C$4:$C$1502,0),-1))),"")</f>
        <v/>
      </c>
    </row>
    <row r="904" spans="2:4" x14ac:dyDescent="0.25">
      <c r="B904" s="8"/>
      <c r="C904" s="11" t="str">
        <f>IFERROR(INDEX(Catalogo!$E$4:$E$1502,_xlfn.IFNA(MATCH(B904,Catalogo!$C$4:$C$1502,0),-1)),"")</f>
        <v/>
      </c>
      <c r="D904" s="12" t="str">
        <f>IFERROR(_xlfn.CONCAT(INDEX(Catalogo!$G$4:$G$1502,_xlfn.IFNA(MATCH(B904,Catalogo!$C$4:$C$1502,0),-1)),"-",INDEX(Catalogo!$H$4:$H$1502,_xlfn.IFNA(MATCH(B904,Catalogo!$C$4:$C$1502,0),-1))),"")</f>
        <v/>
      </c>
    </row>
    <row r="905" spans="2:4" x14ac:dyDescent="0.25">
      <c r="B905" s="8"/>
      <c r="C905" s="11" t="str">
        <f>IFERROR(INDEX(Catalogo!$E$4:$E$1502,_xlfn.IFNA(MATCH(B905,Catalogo!$C$4:$C$1502,0),-1)),"")</f>
        <v/>
      </c>
      <c r="D905" s="12" t="str">
        <f>IFERROR(_xlfn.CONCAT(INDEX(Catalogo!$G$4:$G$1502,_xlfn.IFNA(MATCH(B905,Catalogo!$C$4:$C$1502,0),-1)),"-",INDEX(Catalogo!$H$4:$H$1502,_xlfn.IFNA(MATCH(B905,Catalogo!$C$4:$C$1502,0),-1))),"")</f>
        <v/>
      </c>
    </row>
  </sheetData>
  <protectedRanges>
    <protectedRange sqref="B686" name="Rango1_4"/>
    <protectedRange sqref="B692" name="Rango1_1_1_1"/>
    <protectedRange sqref="B694" name="Rango3_6_4_1"/>
  </protectedRanges>
  <mergeCells count="1">
    <mergeCell ref="B2:D2"/>
  </mergeCells>
  <phoneticPr fontId="4" type="noConversion"/>
  <conditionalFormatting sqref="B366:B368">
    <cfRule type="expression" dxfId="4" priority="16">
      <formula>#REF!=1</formula>
    </cfRule>
  </conditionalFormatting>
  <conditionalFormatting sqref="B367:B374">
    <cfRule type="expression" dxfId="3" priority="6">
      <formula>$E367=1</formula>
    </cfRule>
  </conditionalFormatting>
  <conditionalFormatting sqref="B383:B386">
    <cfRule type="expression" dxfId="2" priority="4">
      <formula>$E384=1</formula>
    </cfRule>
  </conditionalFormatting>
  <conditionalFormatting sqref="B385:B389">
    <cfRule type="expression" dxfId="1" priority="2">
      <formula>$E388=1</formula>
    </cfRule>
  </conditionalFormatting>
  <conditionalFormatting sqref="B388:B390">
    <cfRule type="expression" dxfId="0" priority="1">
      <formula>$E389=1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4661-8060-4FD2-B14A-FDC02EEA6538}">
  <sheetPr codeName="Hoja6"/>
  <dimension ref="BA3:BF63"/>
  <sheetViews>
    <sheetView showGridLines="0" tabSelected="1" zoomScale="175" zoomScaleNormal="175" workbookViewId="0">
      <selection activeCell="AN45" sqref="AM45:AN45"/>
    </sheetView>
  </sheetViews>
  <sheetFormatPr baseColWidth="10" defaultColWidth="4.5703125" defaultRowHeight="5.0999999999999996" customHeight="1" x14ac:dyDescent="0.25"/>
  <cols>
    <col min="1" max="52" width="0.85546875" customWidth="1"/>
    <col min="53" max="59" width="5.140625" customWidth="1"/>
  </cols>
  <sheetData>
    <row r="3" spans="53:57" ht="5.0999999999999996" customHeight="1" x14ac:dyDescent="0.25">
      <c r="BA3" s="96" t="s">
        <v>3635</v>
      </c>
      <c r="BB3" s="97"/>
      <c r="BC3" s="95">
        <v>209310643</v>
      </c>
      <c r="BD3" s="95"/>
      <c r="BE3" s="95"/>
    </row>
    <row r="4" spans="53:57" ht="5.0999999999999996" customHeight="1" x14ac:dyDescent="0.25">
      <c r="BA4" s="96"/>
      <c r="BB4" s="97"/>
      <c r="BC4" s="95"/>
      <c r="BD4" s="95"/>
      <c r="BE4" s="95"/>
    </row>
    <row r="5" spans="53:57" ht="5.0999999999999996" customHeight="1" x14ac:dyDescent="0.25">
      <c r="BA5" s="96"/>
      <c r="BB5" s="97"/>
      <c r="BC5" s="95"/>
      <c r="BD5" s="95"/>
      <c r="BE5" s="95"/>
    </row>
    <row r="6" spans="53:57" ht="5.0999999999999996" customHeight="1" x14ac:dyDescent="0.25">
      <c r="BA6" s="96"/>
      <c r="BB6" s="97"/>
      <c r="BC6" s="95"/>
      <c r="BD6" s="95"/>
      <c r="BE6" s="95"/>
    </row>
    <row r="7" spans="53:57" ht="5.0999999999999996" customHeight="1" x14ac:dyDescent="0.25">
      <c r="BA7" s="96"/>
      <c r="BB7" s="97"/>
      <c r="BC7" s="95"/>
      <c r="BD7" s="95"/>
      <c r="BE7" s="95"/>
    </row>
    <row r="10" spans="53:57" ht="5.0999999999999996" customHeight="1" x14ac:dyDescent="0.25">
      <c r="BB10" s="100" t="s">
        <v>11</v>
      </c>
      <c r="BC10" s="98" t="s">
        <v>3005</v>
      </c>
      <c r="BD10" s="98"/>
      <c r="BE10" s="98"/>
    </row>
    <row r="11" spans="53:57" ht="5.0999999999999996" customHeight="1" x14ac:dyDescent="0.25">
      <c r="BB11" s="100"/>
      <c r="BC11" s="98"/>
      <c r="BD11" s="98"/>
      <c r="BE11" s="98"/>
    </row>
    <row r="14" spans="53:57" ht="5.0999999999999996" customHeight="1" x14ac:dyDescent="0.25">
      <c r="BB14" s="100" t="s">
        <v>12</v>
      </c>
      <c r="BC14" s="98" t="s">
        <v>3659</v>
      </c>
      <c r="BD14" s="98"/>
      <c r="BE14" s="98"/>
    </row>
    <row r="15" spans="53:57" ht="5.0999999999999996" customHeight="1" x14ac:dyDescent="0.25">
      <c r="BB15" s="100"/>
      <c r="BC15" s="98"/>
      <c r="BD15" s="98"/>
      <c r="BE15" s="98"/>
    </row>
    <row r="16" spans="53:57" ht="5.0999999999999996" customHeight="1" x14ac:dyDescent="0.25">
      <c r="BD16" s="15"/>
      <c r="BE16" s="15"/>
    </row>
    <row r="18" spans="54:58" ht="5.0999999999999996" customHeight="1" x14ac:dyDescent="0.25">
      <c r="BB18" s="100" t="s">
        <v>10</v>
      </c>
      <c r="BC18" s="99" t="s">
        <v>1569</v>
      </c>
      <c r="BD18" s="98"/>
    </row>
    <row r="19" spans="54:58" ht="5.0999999999999996" customHeight="1" x14ac:dyDescent="0.25">
      <c r="BB19" s="100"/>
      <c r="BC19" s="98"/>
      <c r="BD19" s="98"/>
    </row>
    <row r="22" spans="54:58" ht="5.0999999999999996" customHeight="1" x14ac:dyDescent="0.25">
      <c r="BB22" s="100" t="s">
        <v>3656</v>
      </c>
      <c r="BC22" s="98" t="s">
        <v>3632</v>
      </c>
      <c r="BD22" s="98"/>
    </row>
    <row r="23" spans="54:58" ht="5.0999999999999996" customHeight="1" x14ac:dyDescent="0.25">
      <c r="BB23" s="100"/>
      <c r="BC23" s="98"/>
      <c r="BD23" s="98"/>
    </row>
    <row r="29" spans="54:58" ht="5.0999999999999996" customHeight="1" x14ac:dyDescent="0.25">
      <c r="BB29" s="101" t="s">
        <v>3645</v>
      </c>
      <c r="BC29" s="101"/>
      <c r="BD29" s="94" t="s">
        <v>1569</v>
      </c>
      <c r="BE29" s="94"/>
      <c r="BF29" s="94"/>
    </row>
    <row r="30" spans="54:58" ht="5.0999999999999996" customHeight="1" x14ac:dyDescent="0.25">
      <c r="BB30" s="101"/>
      <c r="BC30" s="101"/>
      <c r="BD30" s="94"/>
      <c r="BE30" s="94"/>
      <c r="BF30" s="94"/>
    </row>
    <row r="31" spans="54:58" ht="5.0999999999999996" customHeight="1" x14ac:dyDescent="0.25">
      <c r="BB31" s="101"/>
      <c r="BC31" s="101"/>
      <c r="BD31" s="94"/>
      <c r="BE31" s="94"/>
      <c r="BF31" s="94"/>
    </row>
    <row r="32" spans="54:58" ht="5.0999999999999996" customHeight="1" x14ac:dyDescent="0.25">
      <c r="BC32" s="102" t="s">
        <v>3658</v>
      </c>
      <c r="BD32" s="102"/>
      <c r="BE32" s="102"/>
      <c r="BF32" s="102"/>
    </row>
    <row r="33" spans="55:58" ht="5.0999999999999996" customHeight="1" x14ac:dyDescent="0.25">
      <c r="BC33" s="102"/>
      <c r="BD33" s="102"/>
      <c r="BE33" s="102"/>
      <c r="BF33" s="102"/>
    </row>
    <row r="63" spans="53:53" ht="5.0999999999999996" customHeight="1" x14ac:dyDescent="0.25">
      <c r="BA63" s="92"/>
    </row>
  </sheetData>
  <mergeCells count="13">
    <mergeCell ref="BC32:BF33"/>
    <mergeCell ref="BD29:BF31"/>
    <mergeCell ref="BC3:BE7"/>
    <mergeCell ref="BA3:BB7"/>
    <mergeCell ref="BC10:BE11"/>
    <mergeCell ref="BC14:BE15"/>
    <mergeCell ref="BC18:BD19"/>
    <mergeCell ref="BB18:BB19"/>
    <mergeCell ref="BB14:BB15"/>
    <mergeCell ref="BB10:BB11"/>
    <mergeCell ref="BB22:BB23"/>
    <mergeCell ref="BC22:BD23"/>
    <mergeCell ref="BB29:BC31"/>
  </mergeCells>
  <pageMargins left="0" right="0" top="0" bottom="0" header="0" footer="0"/>
  <pageSetup paperSize="122" scale="105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6" r:id="rId4" name="btnImprimir">
          <controlPr defaultSize="0" autoLine="0" autoPict="0" r:id="rId5">
            <anchor moveWithCells="1">
              <from>
                <xdr:col>63</xdr:col>
                <xdr:colOff>85725</xdr:colOff>
                <xdr:row>2</xdr:row>
                <xdr:rowOff>28575</xdr:rowOff>
              </from>
              <to>
                <xdr:col>71</xdr:col>
                <xdr:colOff>95250</xdr:colOff>
                <xdr:row>32</xdr:row>
                <xdr:rowOff>57150</xdr:rowOff>
              </to>
            </anchor>
          </controlPr>
        </control>
      </mc:Choice>
      <mc:Fallback>
        <control shapeId="3086" r:id="rId4" name="btnImprimir"/>
      </mc:Fallback>
    </mc:AlternateContent>
    <mc:AlternateContent xmlns:mc="http://schemas.openxmlformats.org/markup-compatibility/2006">
      <mc:Choice Requires="x14">
        <control shapeId="3085" r:id="rId6" name="btnBuscarCed">
          <controlPr defaultSize="0" autoLine="0" r:id="rId7">
            <anchor moveWithCells="1">
              <from>
                <xdr:col>58</xdr:col>
                <xdr:colOff>85725</xdr:colOff>
                <xdr:row>27</xdr:row>
                <xdr:rowOff>19050</xdr:rowOff>
              </from>
              <to>
                <xdr:col>61</xdr:col>
                <xdr:colOff>57150</xdr:colOff>
                <xdr:row>31</xdr:row>
                <xdr:rowOff>47625</xdr:rowOff>
              </to>
            </anchor>
          </controlPr>
        </control>
      </mc:Choice>
      <mc:Fallback>
        <control shapeId="3085" r:id="rId6" name="btnBuscarCe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D1422-6584-46FE-B96E-0754AF1D4509}">
  <sheetPr codeName="Hoja9"/>
  <dimension ref="A1"/>
  <sheetViews>
    <sheetView showGridLines="0" zoomScale="175" zoomScaleNormal="175" workbookViewId="0">
      <selection activeCell="L25" sqref="L25"/>
    </sheetView>
  </sheetViews>
  <sheetFormatPr baseColWidth="10" defaultColWidth="2.28515625" defaultRowHeight="9.9499999999999993" customHeight="1" x14ac:dyDescent="0.25"/>
  <sheetData>
    <row r="1" spans="1:1" ht="9.9499999999999993" customHeight="1" x14ac:dyDescent="0.25">
      <c r="A1" s="14" t="s">
        <v>8</v>
      </c>
    </row>
  </sheetData>
  <pageMargins left="0" right="0" top="0" bottom="0" header="0" footer="0"/>
  <pageSetup paperSize="122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Import 2025</vt:lpstr>
      <vt:lpstr>Catalogo</vt:lpstr>
      <vt:lpstr>Casilleros</vt:lpstr>
      <vt:lpstr>Import_Comedor</vt:lpstr>
      <vt:lpstr>Hoja2</vt:lpstr>
      <vt:lpstr>Transporte</vt:lpstr>
      <vt:lpstr>Comedor</vt:lpstr>
      <vt:lpstr>FRENTE</vt:lpstr>
      <vt:lpstr>ATRAS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Analista</dc:creator>
  <cp:lastModifiedBy>Soporte</cp:lastModifiedBy>
  <cp:lastPrinted>2025-11-12T17:00:24Z</cp:lastPrinted>
  <dcterms:created xsi:type="dcterms:W3CDTF">2023-03-16T21:45:04Z</dcterms:created>
  <dcterms:modified xsi:type="dcterms:W3CDTF">2026-03-26T16:35:40Z</dcterms:modified>
</cp:coreProperties>
</file>